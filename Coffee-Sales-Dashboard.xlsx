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2b9198061c094d75/Desktop/CoffeeSales-Dashboard/"/>
    </mc:Choice>
  </mc:AlternateContent>
  <xr:revisionPtr revIDLastSave="6" documentId="13_ncr:1_{49C6C815-5FC6-4386-A3BD-67D40BCF0A51}" xr6:coauthVersionLast="47" xr6:coauthVersionMax="47" xr10:uidLastSave="{6CF4D599-2C16-41E2-A073-F60451753167}"/>
  <bookViews>
    <workbookView xWindow="-110" yWindow="-110" windowWidth="19420" windowHeight="11500" xr2:uid="{00000000-000D-0000-FFFF-FFFF00000000}"/>
  </bookViews>
  <sheets>
    <sheet name="Dashboard" sheetId="27" r:id="rId1"/>
    <sheet name="sales by coffee type" sheetId="18" r:id="rId2"/>
    <sheet name="Trend Analysis" sheetId="19" r:id="rId3"/>
    <sheet name="Average Weekly Sales" sheetId="20" r:id="rId4"/>
    <sheet name="Sales Contribution" sheetId="21" r:id="rId5"/>
    <sheet name="Sales By Roast Type" sheetId="22" r:id="rId6"/>
    <sheet name="Top 5 Customer Sales" sheetId="23" r:id="rId7"/>
    <sheet name="Top 5 Cities By Sales" sheetId="24" r:id="rId8"/>
    <sheet name="Combination Chart" sheetId="25" r:id="rId9"/>
    <sheet name="orders" sheetId="17" r:id="rId10"/>
    <sheet name="customers" sheetId="13" r:id="rId11"/>
    <sheet name="products" sheetId="2" r:id="rId12"/>
    <sheet name="Sheet9" sheetId="26" r:id="rId13"/>
  </sheets>
  <definedNames>
    <definedName name="_xlnm._FilterDatabase" localSheetId="9" hidden="1">orders!$A$1:$Q$1001</definedName>
    <definedName name="_xlnm._FilterDatabase" localSheetId="11" hidden="1">products!$A$1:$G$49</definedName>
    <definedName name="Slicer_Coffee_Type">#N/A</definedName>
    <definedName name="Slicer_Country">#N/A</definedName>
    <definedName name="Slicer_Roast_Type">#N/A</definedName>
    <definedName name="Slicer_Sales_Category">#N/A</definedName>
    <definedName name="Slicer_Weekday">#N/A</definedName>
    <definedName name="Slicer_Year">#N/A</definedName>
  </definedNames>
  <calcPr calcId="191028"/>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7" l="1" a="1"/>
  <c r="R3" i="17" s="1"/>
  <c r="R4" i="17" a="1"/>
  <c r="R4" i="17" s="1"/>
  <c r="R5" i="17" a="1"/>
  <c r="R5" i="17" s="1"/>
  <c r="R6" i="17" a="1"/>
  <c r="R6" i="17" s="1"/>
  <c r="R7" i="17" a="1"/>
  <c r="R7" i="17" s="1"/>
  <c r="R8" i="17" a="1"/>
  <c r="R8" i="17"/>
  <c r="R9" i="17" a="1"/>
  <c r="R9" i="17" s="1"/>
  <c r="R10" i="17" a="1"/>
  <c r="R10" i="17" s="1"/>
  <c r="R11" i="17" a="1"/>
  <c r="R11" i="17" s="1"/>
  <c r="R12" i="17" a="1"/>
  <c r="R12" i="17" s="1"/>
  <c r="R13" i="17" a="1"/>
  <c r="R13" i="17" s="1"/>
  <c r="R14" i="17" a="1"/>
  <c r="R14" i="17" s="1"/>
  <c r="R15" i="17" a="1"/>
  <c r="R15" i="17" s="1"/>
  <c r="R16" i="17" a="1"/>
  <c r="R16" i="17" s="1"/>
  <c r="R17" i="17" a="1"/>
  <c r="R17" i="17"/>
  <c r="R18" i="17" a="1"/>
  <c r="R18" i="17"/>
  <c r="R19" i="17" a="1"/>
  <c r="R19" i="17" s="1"/>
  <c r="R20" i="17" a="1"/>
  <c r="R20" i="17" s="1"/>
  <c r="R21" i="17" a="1"/>
  <c r="R21" i="17" s="1"/>
  <c r="R22" i="17" a="1"/>
  <c r="R22" i="17" s="1"/>
  <c r="R23" i="17" a="1"/>
  <c r="R23" i="17" s="1"/>
  <c r="R24" i="17" a="1"/>
  <c r="R24" i="17" s="1"/>
  <c r="R25" i="17" a="1"/>
  <c r="R25" i="17"/>
  <c r="R26" i="17" a="1"/>
  <c r="R26" i="17" s="1"/>
  <c r="R27" i="17" a="1"/>
  <c r="R27" i="17"/>
  <c r="R28" i="17" a="1"/>
  <c r="R28" i="17" s="1"/>
  <c r="R29" i="17" a="1"/>
  <c r="R29" i="17" s="1"/>
  <c r="R30" i="17" a="1"/>
  <c r="R30" i="17" s="1"/>
  <c r="R31" i="17" a="1"/>
  <c r="R31" i="17" s="1"/>
  <c r="R32" i="17" a="1"/>
  <c r="R32" i="17" s="1"/>
  <c r="R33" i="17" a="1"/>
  <c r="R33" i="17" s="1"/>
  <c r="R34" i="17" a="1"/>
  <c r="R34" i="17"/>
  <c r="R35" i="17" a="1"/>
  <c r="R35" i="17"/>
  <c r="R36" i="17" a="1"/>
  <c r="R36" i="17"/>
  <c r="R37" i="17" a="1"/>
  <c r="R37" i="17"/>
  <c r="R38" i="17" a="1"/>
  <c r="R38" i="17" s="1"/>
  <c r="R39" i="17" a="1"/>
  <c r="R39" i="17" s="1"/>
  <c r="R40" i="17" a="1"/>
  <c r="R40" i="17" s="1"/>
  <c r="R41" i="17" a="1"/>
  <c r="R41" i="17" s="1"/>
  <c r="R42" i="17" a="1"/>
  <c r="R42" i="17" s="1"/>
  <c r="R43" i="17" a="1"/>
  <c r="R43" i="17"/>
  <c r="R44" i="17" a="1"/>
  <c r="R44" i="17"/>
  <c r="R45" i="17" a="1"/>
  <c r="R45" i="17"/>
  <c r="R46" i="17" a="1"/>
  <c r="R46" i="17" s="1"/>
  <c r="R47" i="17" a="1"/>
  <c r="R47" i="17" s="1"/>
  <c r="R48" i="17" a="1"/>
  <c r="R48" i="17" s="1"/>
  <c r="R49" i="17" a="1"/>
  <c r="R49" i="17" s="1"/>
  <c r="R50" i="17" a="1"/>
  <c r="R50" i="17" s="1"/>
  <c r="R51" i="17" a="1"/>
  <c r="R51" i="17" s="1"/>
  <c r="R52" i="17" a="1"/>
  <c r="R52" i="17" s="1"/>
  <c r="R53" i="17" a="1"/>
  <c r="R53" i="17" s="1"/>
  <c r="R54" i="17" a="1"/>
  <c r="R54" i="17"/>
  <c r="R55" i="17" a="1"/>
  <c r="R55" i="17"/>
  <c r="R56" i="17" a="1"/>
  <c r="R56" i="17" s="1"/>
  <c r="R57" i="17" a="1"/>
  <c r="R57" i="17" s="1"/>
  <c r="R58" i="17" a="1"/>
  <c r="R58" i="17" s="1"/>
  <c r="R59" i="17" a="1"/>
  <c r="R59" i="17" s="1"/>
  <c r="R60" i="17" a="1"/>
  <c r="R60" i="17" s="1"/>
  <c r="R61" i="17" a="1"/>
  <c r="R61" i="17" s="1"/>
  <c r="R62" i="17" a="1"/>
  <c r="R62" i="17"/>
  <c r="R63" i="17" a="1"/>
  <c r="R63" i="17" s="1"/>
  <c r="R64" i="17" a="1"/>
  <c r="R64" i="17"/>
  <c r="R65" i="17" a="1"/>
  <c r="R65" i="17" s="1"/>
  <c r="R66" i="17" a="1"/>
  <c r="R66" i="17" s="1"/>
  <c r="R67" i="17" a="1"/>
  <c r="R67" i="17" s="1"/>
  <c r="R68" i="17" a="1"/>
  <c r="R68" i="17" s="1"/>
  <c r="R69" i="17" a="1"/>
  <c r="R69" i="17" s="1"/>
  <c r="R70" i="17" a="1"/>
  <c r="R70" i="17" s="1"/>
  <c r="R71" i="17" a="1"/>
  <c r="R71" i="17"/>
  <c r="R72" i="17" a="1"/>
  <c r="R72" i="17"/>
  <c r="R73" i="17" a="1"/>
  <c r="R73" i="17"/>
  <c r="R74" i="17" a="1"/>
  <c r="R74" i="17" s="1"/>
  <c r="R75" i="17" a="1"/>
  <c r="R75" i="17" s="1"/>
  <c r="R76" i="17" a="1"/>
  <c r="R76" i="17" s="1"/>
  <c r="R77" i="17" a="1"/>
  <c r="R77" i="17" s="1"/>
  <c r="R78" i="17" a="1"/>
  <c r="R78" i="17" s="1"/>
  <c r="R79" i="17" a="1"/>
  <c r="R79" i="17" s="1"/>
  <c r="R80" i="17" a="1"/>
  <c r="R80" i="17"/>
  <c r="R81" i="17" a="1"/>
  <c r="R81" i="17"/>
  <c r="R82" i="17" a="1"/>
  <c r="R82" i="17"/>
  <c r="R83" i="17" a="1"/>
  <c r="R83" i="17" s="1"/>
  <c r="R84" i="17" a="1"/>
  <c r="R84" i="17" s="1"/>
  <c r="R85" i="17" a="1"/>
  <c r="R85" i="17" s="1"/>
  <c r="R86" i="17" a="1"/>
  <c r="R86" i="17" s="1"/>
  <c r="R87" i="17" a="1"/>
  <c r="R87" i="17" s="1"/>
  <c r="R88" i="17" a="1"/>
  <c r="R88" i="17"/>
  <c r="R89" i="17" a="1"/>
  <c r="R89" i="17"/>
  <c r="R90" i="17" a="1"/>
  <c r="R90" i="17"/>
  <c r="R91" i="17" a="1"/>
  <c r="R91" i="17"/>
  <c r="R92" i="17" a="1"/>
  <c r="R92" i="17" s="1"/>
  <c r="R93" i="17" a="1"/>
  <c r="R93" i="17" s="1"/>
  <c r="R94" i="17" a="1"/>
  <c r="R94" i="17" s="1"/>
  <c r="R95" i="17" a="1"/>
  <c r="R95" i="17" s="1"/>
  <c r="R96" i="17" a="1"/>
  <c r="R96" i="17" s="1"/>
  <c r="R97" i="17" a="1"/>
  <c r="R97" i="17" s="1"/>
  <c r="R98" i="17" a="1"/>
  <c r="R98" i="17" s="1"/>
  <c r="R99" i="17" a="1"/>
  <c r="R99" i="17"/>
  <c r="R100" i="17" a="1"/>
  <c r="R100" i="17" s="1"/>
  <c r="R101" i="17" a="1"/>
  <c r="R101" i="17" s="1"/>
  <c r="R102" i="17" a="1"/>
  <c r="R102" i="17" s="1"/>
  <c r="R103" i="17" a="1"/>
  <c r="R103" i="17" s="1"/>
  <c r="R104" i="17" a="1"/>
  <c r="R104" i="17" s="1"/>
  <c r="R105" i="17" a="1"/>
  <c r="R105" i="17" s="1"/>
  <c r="R106" i="17" a="1"/>
  <c r="R106" i="17"/>
  <c r="R107" i="17" a="1"/>
  <c r="R107" i="17" s="1"/>
  <c r="R108" i="17" a="1"/>
  <c r="R108" i="17"/>
  <c r="R109" i="17" a="1"/>
  <c r="R109" i="17"/>
  <c r="R110" i="17" a="1"/>
  <c r="R110" i="17" s="1"/>
  <c r="R111" i="17" a="1"/>
  <c r="R111" i="17" s="1"/>
  <c r="R112" i="17" a="1"/>
  <c r="R112" i="17"/>
  <c r="R113" i="17" a="1"/>
  <c r="R113" i="17" s="1"/>
  <c r="R114" i="17" a="1"/>
  <c r="R114" i="17" s="1"/>
  <c r="R115" i="17" a="1"/>
  <c r="R115" i="17"/>
  <c r="R116" i="17" a="1"/>
  <c r="R116" i="17" s="1"/>
  <c r="R117" i="17" a="1"/>
  <c r="R117" i="17"/>
  <c r="R118" i="17" a="1"/>
  <c r="R118" i="17" s="1"/>
  <c r="R119" i="17" a="1"/>
  <c r="R119" i="17" s="1"/>
  <c r="R120" i="17" a="1"/>
  <c r="R120" i="17" s="1"/>
  <c r="R121" i="17" a="1"/>
  <c r="R121" i="17"/>
  <c r="R122" i="17" a="1"/>
  <c r="R122" i="17" s="1"/>
  <c r="R123" i="17" a="1"/>
  <c r="R123" i="17" s="1"/>
  <c r="R124" i="17" a="1"/>
  <c r="R124" i="17" s="1"/>
  <c r="R125" i="17" a="1"/>
  <c r="R125" i="17" s="1"/>
  <c r="R126" i="17" a="1"/>
  <c r="R126" i="17"/>
  <c r="R127" i="17" a="1"/>
  <c r="R127" i="17" s="1"/>
  <c r="R128" i="17" a="1"/>
  <c r="R128" i="17" s="1"/>
  <c r="R129" i="17" a="1"/>
  <c r="R129" i="17" s="1"/>
  <c r="R130" i="17" a="1"/>
  <c r="R130" i="17"/>
  <c r="R131" i="17" a="1"/>
  <c r="R131" i="17" s="1"/>
  <c r="R132" i="17" a="1"/>
  <c r="R132" i="17" s="1"/>
  <c r="R133" i="17" a="1"/>
  <c r="R133" i="17"/>
  <c r="R134" i="17" a="1"/>
  <c r="R134" i="17"/>
  <c r="R135" i="17" a="1"/>
  <c r="R135" i="17" s="1"/>
  <c r="R136" i="17" a="1"/>
  <c r="R136" i="17" s="1"/>
  <c r="R137" i="17" a="1"/>
  <c r="R137" i="17" s="1"/>
  <c r="R138" i="17" a="1"/>
  <c r="R138" i="17" s="1"/>
  <c r="R139" i="17" a="1"/>
  <c r="R139" i="17"/>
  <c r="R140" i="17" a="1"/>
  <c r="R140" i="17" s="1"/>
  <c r="R141" i="17" a="1"/>
  <c r="R141" i="17" s="1"/>
  <c r="R142" i="17" a="1"/>
  <c r="R142" i="17" s="1"/>
  <c r="R143" i="17" a="1"/>
  <c r="R143" i="17"/>
  <c r="R144" i="17" a="1"/>
  <c r="R144" i="17"/>
  <c r="R145" i="17" a="1"/>
  <c r="R145" i="17"/>
  <c r="R146" i="17" a="1"/>
  <c r="R146" i="17" s="1"/>
  <c r="R147" i="17" a="1"/>
  <c r="R147" i="17" s="1"/>
  <c r="R148" i="17" a="1"/>
  <c r="R148" i="17" s="1"/>
  <c r="R149" i="17" a="1"/>
  <c r="R149" i="17" s="1"/>
  <c r="R150" i="17" a="1"/>
  <c r="R150" i="17" s="1"/>
  <c r="R151" i="17" a="1"/>
  <c r="R151" i="17" s="1"/>
  <c r="R152" i="17" a="1"/>
  <c r="R152" i="17"/>
  <c r="R153" i="17" a="1"/>
  <c r="R153" i="17"/>
  <c r="R154" i="17" a="1"/>
  <c r="R154" i="17"/>
  <c r="R155" i="17" a="1"/>
  <c r="R155" i="17" s="1"/>
  <c r="R156" i="17" a="1"/>
  <c r="R156" i="17" s="1"/>
  <c r="R157" i="17" a="1"/>
  <c r="R157" i="17" s="1"/>
  <c r="R158" i="17" a="1"/>
  <c r="R158" i="17" s="1"/>
  <c r="R159" i="17" a="1"/>
  <c r="R159" i="17" s="1"/>
  <c r="R160" i="17" a="1"/>
  <c r="R160" i="17" s="1"/>
  <c r="R161" i="17" a="1"/>
  <c r="R161" i="17" s="1"/>
  <c r="R162" i="17" a="1"/>
  <c r="R162" i="17"/>
  <c r="R163" i="17" a="1"/>
  <c r="R163" i="17"/>
  <c r="R164" i="17" a="1"/>
  <c r="R164" i="17" s="1"/>
  <c r="R165" i="17" a="1"/>
  <c r="R165" i="17" s="1"/>
  <c r="R166" i="17" a="1"/>
  <c r="R166" i="17" s="1"/>
  <c r="R167" i="17" a="1"/>
  <c r="R167" i="17" s="1"/>
  <c r="R168" i="17" a="1"/>
  <c r="R168" i="17" s="1"/>
  <c r="R169" i="17" a="1"/>
  <c r="R169" i="17" s="1"/>
  <c r="R170" i="17" a="1"/>
  <c r="R170" i="17" s="1"/>
  <c r="R171" i="17" a="1"/>
  <c r="R171" i="17"/>
  <c r="R172" i="17" a="1"/>
  <c r="R172" i="17" s="1"/>
  <c r="R173" i="17" a="1"/>
  <c r="R173" i="17" s="1"/>
  <c r="R174" i="17" a="1"/>
  <c r="R174" i="17" s="1"/>
  <c r="R175" i="17" a="1"/>
  <c r="R175" i="17" s="1"/>
  <c r="R176" i="17" a="1"/>
  <c r="R176" i="17" s="1"/>
  <c r="R177" i="17" a="1"/>
  <c r="R177" i="17" s="1"/>
  <c r="R178" i="17" a="1"/>
  <c r="R178" i="17"/>
  <c r="R179" i="17" a="1"/>
  <c r="R179" i="17" s="1"/>
  <c r="R180" i="17" a="1"/>
  <c r="R180" i="17"/>
  <c r="R181" i="17" a="1"/>
  <c r="R181" i="17"/>
  <c r="R182" i="17" a="1"/>
  <c r="R182" i="17" s="1"/>
  <c r="R183" i="17" a="1"/>
  <c r="R183" i="17" s="1"/>
  <c r="R184" i="17" a="1"/>
  <c r="R184" i="17" s="1"/>
  <c r="R185" i="17" a="1"/>
  <c r="R185" i="17" s="1"/>
  <c r="R186" i="17" a="1"/>
  <c r="R186" i="17" s="1"/>
  <c r="R187" i="17" a="1"/>
  <c r="R187" i="17"/>
  <c r="R188" i="17" a="1"/>
  <c r="R188" i="17" s="1"/>
  <c r="R189" i="17" a="1"/>
  <c r="R189" i="17"/>
  <c r="R190" i="17" a="1"/>
  <c r="R190" i="17"/>
  <c r="R191" i="17" a="1"/>
  <c r="R191" i="17" s="1"/>
  <c r="R192" i="17" a="1"/>
  <c r="R192" i="17" s="1"/>
  <c r="R193" i="17" a="1"/>
  <c r="R193" i="17" s="1"/>
  <c r="R194" i="17" a="1"/>
  <c r="R194" i="17" s="1"/>
  <c r="R195" i="17" a="1"/>
  <c r="R195" i="17" s="1"/>
  <c r="R196" i="17" a="1"/>
  <c r="R196" i="17"/>
  <c r="R197" i="17" a="1"/>
  <c r="R197" i="17" s="1"/>
  <c r="R198" i="17" a="1"/>
  <c r="R198" i="17" s="1"/>
  <c r="R199" i="17" a="1"/>
  <c r="R199" i="17"/>
  <c r="R200" i="17" a="1"/>
  <c r="R200" i="17" s="1"/>
  <c r="R201" i="17" a="1"/>
  <c r="R201" i="17" s="1"/>
  <c r="R202" i="17" a="1"/>
  <c r="R202" i="17" s="1"/>
  <c r="R203" i="17" a="1"/>
  <c r="R203" i="17" s="1"/>
  <c r="R204" i="17" a="1"/>
  <c r="R204" i="17" s="1"/>
  <c r="R205" i="17" a="1"/>
  <c r="R205" i="17"/>
  <c r="R206" i="17" a="1"/>
  <c r="R206" i="17" s="1"/>
  <c r="R207" i="17" a="1"/>
  <c r="R207" i="17" s="1"/>
  <c r="R208" i="17" a="1"/>
  <c r="R208" i="17"/>
  <c r="R209" i="17" a="1"/>
  <c r="R209" i="17" s="1"/>
  <c r="R210" i="17" a="1"/>
  <c r="R210" i="17" s="1"/>
  <c r="R211" i="17" a="1"/>
  <c r="R211" i="17" s="1"/>
  <c r="R212" i="17" a="1"/>
  <c r="R212" i="17" s="1"/>
  <c r="R213" i="17" a="1"/>
  <c r="R213" i="17" s="1"/>
  <c r="R214" i="17" a="1"/>
  <c r="R214" i="17" s="1"/>
  <c r="R215" i="17" a="1"/>
  <c r="R215" i="17"/>
  <c r="R216" i="17" a="1"/>
  <c r="R216" i="17" s="1"/>
  <c r="R217" i="17" a="1"/>
  <c r="R217" i="17"/>
  <c r="R218" i="17" a="1"/>
  <c r="R218" i="17" s="1"/>
  <c r="R219" i="17" a="1"/>
  <c r="R219" i="17" s="1"/>
  <c r="R220" i="17" a="1"/>
  <c r="R220" i="17" s="1"/>
  <c r="R221" i="17" a="1"/>
  <c r="R221" i="17" s="1"/>
  <c r="R222" i="17" a="1"/>
  <c r="R222" i="17" s="1"/>
  <c r="R223" i="17" a="1"/>
  <c r="R223" i="17" s="1"/>
  <c r="R224" i="17" a="1"/>
  <c r="R224" i="17"/>
  <c r="R225" i="17" a="1"/>
  <c r="R225" i="17" s="1"/>
  <c r="R226" i="17" a="1"/>
  <c r="R226" i="17"/>
  <c r="R227" i="17" a="1"/>
  <c r="R227" i="17" s="1"/>
  <c r="R228" i="17" a="1"/>
  <c r="R228" i="17" s="1"/>
  <c r="R229" i="17" a="1"/>
  <c r="R229" i="17" s="1"/>
  <c r="R230" i="17" a="1"/>
  <c r="R230" i="17" s="1"/>
  <c r="R231" i="17" a="1"/>
  <c r="R231" i="17" s="1"/>
  <c r="R232" i="17" a="1"/>
  <c r="R232" i="17"/>
  <c r="R233" i="17" a="1"/>
  <c r="R233" i="17"/>
  <c r="R234" i="17" a="1"/>
  <c r="R234" i="17" s="1"/>
  <c r="R235" i="17" a="1"/>
  <c r="R235" i="17" s="1"/>
  <c r="R236" i="17" a="1"/>
  <c r="R236" i="17" s="1"/>
  <c r="R237" i="17" a="1"/>
  <c r="R237" i="17" s="1"/>
  <c r="R238" i="17" a="1"/>
  <c r="R238" i="17" s="1"/>
  <c r="R239" i="17" a="1"/>
  <c r="R239" i="17" s="1"/>
  <c r="R240" i="17" a="1"/>
  <c r="R240" i="17" s="1"/>
  <c r="R241" i="17" a="1"/>
  <c r="R241" i="17"/>
  <c r="R242" i="17" a="1"/>
  <c r="R242" i="17"/>
  <c r="R243" i="17" a="1"/>
  <c r="R243" i="17" s="1"/>
  <c r="R244" i="17" a="1"/>
  <c r="R244" i="17" s="1"/>
  <c r="R245" i="17" a="1"/>
  <c r="R245" i="17" s="1"/>
  <c r="R246" i="17" a="1"/>
  <c r="R246" i="17" s="1"/>
  <c r="R247" i="17" a="1"/>
  <c r="R247" i="17" s="1"/>
  <c r="R248" i="17" a="1"/>
  <c r="R248" i="17" s="1"/>
  <c r="R249" i="17" a="1"/>
  <c r="R249" i="17" s="1"/>
  <c r="R250" i="17" a="1"/>
  <c r="R250" i="17"/>
  <c r="R251" i="17" a="1"/>
  <c r="R251" i="17"/>
  <c r="R252" i="17" a="1"/>
  <c r="R252" i="17"/>
  <c r="R253" i="17" a="1"/>
  <c r="R253" i="17" s="1"/>
  <c r="R254" i="17" a="1"/>
  <c r="R254" i="17" s="1"/>
  <c r="R255" i="17" a="1"/>
  <c r="R255" i="17" s="1"/>
  <c r="R256" i="17" a="1"/>
  <c r="R256" i="17"/>
  <c r="R257" i="17" a="1"/>
  <c r="R257" i="17" s="1"/>
  <c r="R258" i="17" a="1"/>
  <c r="R258" i="17" s="1"/>
  <c r="R259" i="17" a="1"/>
  <c r="R259" i="17" s="1"/>
  <c r="R260" i="17" a="1"/>
  <c r="R260" i="17" s="1"/>
  <c r="R261" i="17" a="1"/>
  <c r="R261" i="17"/>
  <c r="R262" i="17" a="1"/>
  <c r="R262" i="17" s="1"/>
  <c r="R263" i="17" a="1"/>
  <c r="R263" i="17" s="1"/>
  <c r="R264" i="17" a="1"/>
  <c r="R264" i="17" s="1"/>
  <c r="R265" i="17" a="1"/>
  <c r="R265" i="17" s="1"/>
  <c r="R266" i="17" a="1"/>
  <c r="R266" i="17" s="1"/>
  <c r="R267" i="17" a="1"/>
  <c r="R267" i="17" s="1"/>
  <c r="R268" i="17" a="1"/>
  <c r="R268" i="17"/>
  <c r="R269" i="17" a="1"/>
  <c r="R269" i="17"/>
  <c r="R270" i="17" a="1"/>
  <c r="R270" i="17" s="1"/>
  <c r="R271" i="17" a="1"/>
  <c r="R271" i="17" s="1"/>
  <c r="R272" i="17" a="1"/>
  <c r="R272" i="17" s="1"/>
  <c r="R273" i="17" a="1"/>
  <c r="R273" i="17" s="1"/>
  <c r="R274" i="17" a="1"/>
  <c r="R274" i="17" s="1"/>
  <c r="R275" i="17" a="1"/>
  <c r="R275" i="17" s="1"/>
  <c r="R276" i="17" a="1"/>
  <c r="R276" i="17" s="1"/>
  <c r="R277" i="17" a="1"/>
  <c r="R277" i="17" s="1"/>
  <c r="R278" i="17" a="1"/>
  <c r="R278" i="17"/>
  <c r="R279" i="17" a="1"/>
  <c r="R279" i="17"/>
  <c r="R280" i="17" a="1"/>
  <c r="R280" i="17"/>
  <c r="R281" i="17" a="1"/>
  <c r="R281" i="17" s="1"/>
  <c r="R282" i="17" a="1"/>
  <c r="R282" i="17" s="1"/>
  <c r="R283" i="17" a="1"/>
  <c r="R283" i="17" s="1"/>
  <c r="R284" i="17" a="1"/>
  <c r="R284" i="17" s="1"/>
  <c r="R285" i="17" a="1"/>
  <c r="R285" i="17" s="1"/>
  <c r="R286" i="17" a="1"/>
  <c r="R286" i="17" s="1"/>
  <c r="R287" i="17" a="1"/>
  <c r="R287" i="17"/>
  <c r="R288" i="17" a="1"/>
  <c r="R288" i="17" s="1"/>
  <c r="R289" i="17" a="1"/>
  <c r="R289" i="17"/>
  <c r="R290" i="17" a="1"/>
  <c r="R290" i="17" s="1"/>
  <c r="R291" i="17" a="1"/>
  <c r="R291" i="17" s="1"/>
  <c r="R292" i="17" a="1"/>
  <c r="R292" i="17"/>
  <c r="R293" i="17" a="1"/>
  <c r="R293" i="17" s="1"/>
  <c r="R294" i="17" a="1"/>
  <c r="R294" i="17" s="1"/>
  <c r="R295" i="17" a="1"/>
  <c r="R295" i="17" s="1"/>
  <c r="R296" i="17" a="1"/>
  <c r="R296" i="17"/>
  <c r="R297" i="17" a="1"/>
  <c r="R297" i="17" s="1"/>
  <c r="R298" i="17" a="1"/>
  <c r="R298" i="17"/>
  <c r="R299" i="17" a="1"/>
  <c r="R299" i="17" s="1"/>
  <c r="R300" i="17" a="1"/>
  <c r="R300" i="17" s="1"/>
  <c r="R301" i="17" a="1"/>
  <c r="R301" i="17"/>
  <c r="R302" i="17" a="1"/>
  <c r="R302" i="17" s="1"/>
  <c r="R303" i="17" a="1"/>
  <c r="R303" i="17" s="1"/>
  <c r="R304" i="17" a="1"/>
  <c r="R304" i="17"/>
  <c r="R305" i="17" a="1"/>
  <c r="R305" i="17" s="1"/>
  <c r="R306" i="17" a="1"/>
  <c r="R306" i="17" s="1"/>
  <c r="R307" i="17" a="1"/>
  <c r="R307" i="17"/>
  <c r="R308" i="17" a="1"/>
  <c r="R308" i="17" s="1"/>
  <c r="R309" i="17" a="1"/>
  <c r="R309" i="17" s="1"/>
  <c r="R310" i="17" a="1"/>
  <c r="R310" i="17"/>
  <c r="R311" i="17" a="1"/>
  <c r="R311" i="17" s="1"/>
  <c r="R312" i="17" a="1"/>
  <c r="R312" i="17" s="1"/>
  <c r="R313" i="17" a="1"/>
  <c r="R313" i="17"/>
  <c r="R314" i="17" a="1"/>
  <c r="R314" i="17"/>
  <c r="R315" i="17" a="1"/>
  <c r="R315" i="17"/>
  <c r="R316" i="17" a="1"/>
  <c r="R316" i="17" s="1"/>
  <c r="R317" i="17" a="1"/>
  <c r="R317" i="17" s="1"/>
  <c r="R318" i="17" a="1"/>
  <c r="R318" i="17" s="1"/>
  <c r="R319" i="17" a="1"/>
  <c r="R319" i="17"/>
  <c r="R320" i="17" a="1"/>
  <c r="R320" i="17" s="1"/>
  <c r="R321" i="17" a="1"/>
  <c r="R321" i="17" s="1"/>
  <c r="R322" i="17" a="1"/>
  <c r="R322" i="17"/>
  <c r="R323" i="17" a="1"/>
  <c r="R323" i="17" s="1"/>
  <c r="R324" i="17" a="1"/>
  <c r="R324" i="17"/>
  <c r="R325" i="17" a="1"/>
  <c r="R325" i="17"/>
  <c r="R326" i="17" a="1"/>
  <c r="R326" i="17" s="1"/>
  <c r="R327" i="17" a="1"/>
  <c r="R327" i="17" s="1"/>
  <c r="R328" i="17" a="1"/>
  <c r="R328" i="17" s="1"/>
  <c r="R329" i="17" a="1"/>
  <c r="R329" i="17" s="1"/>
  <c r="R330" i="17" a="1"/>
  <c r="R330" i="17" s="1"/>
  <c r="R331" i="17" a="1"/>
  <c r="R331" i="17"/>
  <c r="R332" i="17" a="1"/>
  <c r="R332" i="17" s="1"/>
  <c r="R333" i="17" a="1"/>
  <c r="R333" i="17"/>
  <c r="R334" i="17" a="1"/>
  <c r="R334" i="17" s="1"/>
  <c r="R335" i="17" a="1"/>
  <c r="R335" i="17" s="1"/>
  <c r="R336" i="17" a="1"/>
  <c r="R336" i="17" s="1"/>
  <c r="R337" i="17" a="1"/>
  <c r="R337" i="17"/>
  <c r="R338" i="17" a="1"/>
  <c r="R338" i="17" s="1"/>
  <c r="R339" i="17" a="1"/>
  <c r="R339" i="17" s="1"/>
  <c r="R340" i="17" a="1"/>
  <c r="R340" i="17" s="1"/>
  <c r="R341" i="17" a="1"/>
  <c r="R341" i="17" s="1"/>
  <c r="R342" i="17" a="1"/>
  <c r="R342" i="17"/>
  <c r="R343" i="17" a="1"/>
  <c r="R343" i="17" s="1"/>
  <c r="R344" i="17" a="1"/>
  <c r="R344" i="17" s="1"/>
  <c r="R345" i="17" a="1"/>
  <c r="R345" i="17" s="1"/>
  <c r="R346" i="17" a="1"/>
  <c r="R346" i="17" s="1"/>
  <c r="R347" i="17" a="1"/>
  <c r="R347" i="17" s="1"/>
  <c r="R348" i="17" a="1"/>
  <c r="R348" i="17" s="1"/>
  <c r="R349" i="17" a="1"/>
  <c r="R349" i="17"/>
  <c r="R350" i="17" a="1"/>
  <c r="R350" i="17"/>
  <c r="R351" i="17" a="1"/>
  <c r="R351" i="17" s="1"/>
  <c r="R352" i="17" a="1"/>
  <c r="R352" i="17" s="1"/>
  <c r="R353" i="17" a="1"/>
  <c r="R353" i="17" s="1"/>
  <c r="R354" i="17" a="1"/>
  <c r="R354" i="17" s="1"/>
  <c r="R355" i="17" a="1"/>
  <c r="R355" i="17" s="1"/>
  <c r="R356" i="17" a="1"/>
  <c r="R356" i="17" s="1"/>
  <c r="R357" i="17" a="1"/>
  <c r="R357" i="17" s="1"/>
  <c r="R358" i="17" a="1"/>
  <c r="R358" i="17" s="1"/>
  <c r="R359" i="17" a="1"/>
  <c r="R359" i="17"/>
  <c r="R360" i="17" a="1"/>
  <c r="R360" i="17"/>
  <c r="R361" i="17" a="1"/>
  <c r="R361" i="17"/>
  <c r="R362" i="17" a="1"/>
  <c r="R362" i="17" s="1"/>
  <c r="R363" i="17" a="1"/>
  <c r="R363" i="17" s="1"/>
  <c r="R364" i="17" a="1"/>
  <c r="R364" i="17" s="1"/>
  <c r="R365" i="17" a="1"/>
  <c r="R365" i="17" s="1"/>
  <c r="R366" i="17" a="1"/>
  <c r="R366" i="17" s="1"/>
  <c r="R367" i="17" a="1"/>
  <c r="R367" i="17" s="1"/>
  <c r="R368" i="17" a="1"/>
  <c r="R368" i="17"/>
  <c r="R369" i="17" a="1"/>
  <c r="R369" i="17" s="1"/>
  <c r="R370" i="17" a="1"/>
  <c r="R370" i="17"/>
  <c r="R371" i="17" a="1"/>
  <c r="R371" i="17" s="1"/>
  <c r="R372" i="17" a="1"/>
  <c r="R372" i="17" s="1"/>
  <c r="R373" i="17" a="1"/>
  <c r="R373" i="17"/>
  <c r="R374" i="17" a="1"/>
  <c r="R374" i="17" s="1"/>
  <c r="R375" i="17" a="1"/>
  <c r="R375" i="17" s="1"/>
  <c r="R376" i="17" a="1"/>
  <c r="R376" i="17" s="1"/>
  <c r="R377" i="17" a="1"/>
  <c r="R377" i="17"/>
  <c r="R378" i="17" a="1"/>
  <c r="R378" i="17" s="1"/>
  <c r="R379" i="17" a="1"/>
  <c r="R379" i="17"/>
  <c r="R380" i="17" a="1"/>
  <c r="R380" i="17" s="1"/>
  <c r="R381" i="17" a="1"/>
  <c r="R381" i="17" s="1"/>
  <c r="R382" i="17" a="1"/>
  <c r="R382" i="17"/>
  <c r="R383" i="17" a="1"/>
  <c r="R383" i="17" s="1"/>
  <c r="R384" i="17" a="1"/>
  <c r="R384" i="17" s="1"/>
  <c r="R385" i="17" a="1"/>
  <c r="R385" i="17"/>
  <c r="R386" i="17" a="1"/>
  <c r="R386" i="17" s="1"/>
  <c r="R387" i="17" a="1"/>
  <c r="R387" i="17" s="1"/>
  <c r="R388" i="17" a="1"/>
  <c r="R388" i="17" s="1"/>
  <c r="R389" i="17" a="1"/>
  <c r="R389" i="17" s="1"/>
  <c r="R390" i="17" a="1"/>
  <c r="R390" i="17" s="1"/>
  <c r="R391" i="17" a="1"/>
  <c r="R391" i="17"/>
  <c r="R392" i="17" a="1"/>
  <c r="R392" i="17" s="1"/>
  <c r="R393" i="17" a="1"/>
  <c r="R393" i="17" s="1"/>
  <c r="R394" i="17" a="1"/>
  <c r="R394" i="17" s="1"/>
  <c r="R395" i="17" a="1"/>
  <c r="R395" i="17" s="1"/>
  <c r="R396" i="17" a="1"/>
  <c r="R396" i="17"/>
  <c r="R397" i="17" a="1"/>
  <c r="R397" i="17" s="1"/>
  <c r="R398" i="17" a="1"/>
  <c r="R398" i="17"/>
  <c r="R399" i="17" a="1"/>
  <c r="R399" i="17" s="1"/>
  <c r="R400" i="17" a="1"/>
  <c r="R400" i="17" s="1"/>
  <c r="R401" i="17" a="1"/>
  <c r="R401" i="17" s="1"/>
  <c r="R402" i="17" a="1"/>
  <c r="R402" i="17" s="1"/>
  <c r="R403" i="17" a="1"/>
  <c r="R403" i="17" s="1"/>
  <c r="R404" i="17" a="1"/>
  <c r="R404" i="17"/>
  <c r="R405" i="17" a="1"/>
  <c r="R405" i="17"/>
  <c r="R406" i="17" a="1"/>
  <c r="R406" i="17"/>
  <c r="R407" i="17" a="1"/>
  <c r="R407" i="17" s="1"/>
  <c r="R408" i="17" a="1"/>
  <c r="R408" i="17" s="1"/>
  <c r="R409" i="17" a="1"/>
  <c r="R409" i="17"/>
  <c r="R410" i="17" a="1"/>
  <c r="R410" i="17" s="1"/>
  <c r="R411" i="17" a="1"/>
  <c r="R411" i="17" s="1"/>
  <c r="R412" i="17" a="1"/>
  <c r="R412" i="17"/>
  <c r="R413" i="17" a="1"/>
  <c r="R413" i="17"/>
  <c r="R414" i="17" a="1"/>
  <c r="R414" i="17"/>
  <c r="R415" i="17" a="1"/>
  <c r="R415" i="17" s="1"/>
  <c r="R416" i="17" a="1"/>
  <c r="R416" i="17" s="1"/>
  <c r="R417" i="17" a="1"/>
  <c r="R417" i="17" s="1"/>
  <c r="R418" i="17" a="1"/>
  <c r="R418" i="17" s="1"/>
  <c r="R419" i="17" a="1"/>
  <c r="R419" i="17" s="1"/>
  <c r="R420" i="17" a="1"/>
  <c r="R420" i="17" s="1"/>
  <c r="R421" i="17" a="1"/>
  <c r="R421" i="17"/>
  <c r="R422" i="17" a="1"/>
  <c r="R422" i="17" s="1"/>
  <c r="R423" i="17" a="1"/>
  <c r="R423" i="17"/>
  <c r="R424" i="17" a="1"/>
  <c r="R424" i="17" s="1"/>
  <c r="R425" i="17" a="1"/>
  <c r="R425" i="17"/>
  <c r="R426" i="17" a="1"/>
  <c r="R426" i="17" s="1"/>
  <c r="R427" i="17" a="1"/>
  <c r="R427" i="17" s="1"/>
  <c r="R428" i="17" a="1"/>
  <c r="R428" i="17" s="1"/>
  <c r="R429" i="17" a="1"/>
  <c r="R429" i="17" s="1"/>
  <c r="R430" i="17" a="1"/>
  <c r="R430" i="17" s="1"/>
  <c r="R431" i="17" a="1"/>
  <c r="R431" i="17"/>
  <c r="R432" i="17" a="1"/>
  <c r="R432" i="17" s="1"/>
  <c r="R433" i="17" a="1"/>
  <c r="R433" i="17"/>
  <c r="R434" i="17" a="1"/>
  <c r="R434" i="17"/>
  <c r="R435" i="17" a="1"/>
  <c r="R435" i="17" s="1"/>
  <c r="R436" i="17" a="1"/>
  <c r="R436" i="17"/>
  <c r="R437" i="17" a="1"/>
  <c r="R437" i="17" s="1"/>
  <c r="R438" i="17" a="1"/>
  <c r="R438" i="17" s="1"/>
  <c r="R439" i="17" a="1"/>
  <c r="R439" i="17"/>
  <c r="R440" i="17" a="1"/>
  <c r="R440" i="17" s="1"/>
  <c r="R441" i="17" a="1"/>
  <c r="R441" i="17" s="1"/>
  <c r="R442" i="17" a="1"/>
  <c r="R442" i="17"/>
  <c r="R443" i="17" a="1"/>
  <c r="R443" i="17" s="1"/>
  <c r="R444" i="17" a="1"/>
  <c r="R444" i="17" s="1"/>
  <c r="R445" i="17" a="1"/>
  <c r="R445" i="17"/>
  <c r="R446" i="17" a="1"/>
  <c r="R446" i="17" s="1"/>
  <c r="R447" i="17" a="1"/>
  <c r="R447" i="17" s="1"/>
  <c r="R448" i="17" a="1"/>
  <c r="R448" i="17" s="1"/>
  <c r="R449" i="17" a="1"/>
  <c r="R449" i="17" s="1"/>
  <c r="R450" i="17" a="1"/>
  <c r="R450" i="17"/>
  <c r="R451" i="17" a="1"/>
  <c r="R451" i="17" s="1"/>
  <c r="R452" i="17" a="1"/>
  <c r="R452" i="17"/>
  <c r="R453" i="17" a="1"/>
  <c r="R453" i="17" s="1"/>
  <c r="R454" i="17" a="1"/>
  <c r="R454" i="17" s="1"/>
  <c r="R455" i="17" a="1"/>
  <c r="R455" i="17" s="1"/>
  <c r="R456" i="17" a="1"/>
  <c r="R456" i="17" s="1"/>
  <c r="R457" i="17" a="1"/>
  <c r="R457" i="17" s="1"/>
  <c r="R458" i="17" a="1"/>
  <c r="R458" i="17"/>
  <c r="R459" i="17" a="1"/>
  <c r="R459" i="17"/>
  <c r="R460" i="17" a="1"/>
  <c r="R460" i="17"/>
  <c r="R461" i="17" a="1"/>
  <c r="R461" i="17" s="1"/>
  <c r="R462" i="17" a="1"/>
  <c r="R462" i="17" s="1"/>
  <c r="R463" i="17" a="1"/>
  <c r="R463" i="17"/>
  <c r="R464" i="17" a="1"/>
  <c r="R464" i="17" s="1"/>
  <c r="R465" i="17" a="1"/>
  <c r="R465" i="17" s="1"/>
  <c r="R466" i="17" a="1"/>
  <c r="R466" i="17"/>
  <c r="R467" i="17" a="1"/>
  <c r="R467" i="17"/>
  <c r="R468" i="17" a="1"/>
  <c r="R468" i="17"/>
  <c r="R469" i="17" a="1"/>
  <c r="R469" i="17" s="1"/>
  <c r="R470" i="17" a="1"/>
  <c r="R470" i="17" s="1"/>
  <c r="R471" i="17" a="1"/>
  <c r="R471" i="17" s="1"/>
  <c r="R472" i="17" a="1"/>
  <c r="R472" i="17" s="1"/>
  <c r="R473" i="17" a="1"/>
  <c r="R473" i="17" s="1"/>
  <c r="R474" i="17" a="1"/>
  <c r="R474" i="17" s="1"/>
  <c r="R475" i="17" a="1"/>
  <c r="R475" i="17"/>
  <c r="R476" i="17" a="1"/>
  <c r="R476" i="17" s="1"/>
  <c r="R477" i="17" a="1"/>
  <c r="R477" i="17"/>
  <c r="R478" i="17" a="1"/>
  <c r="R478" i="17" s="1"/>
  <c r="R479" i="17" a="1"/>
  <c r="R479" i="17"/>
  <c r="R480" i="17" a="1"/>
  <c r="R480" i="17" s="1"/>
  <c r="R481" i="17" a="1"/>
  <c r="R481" i="17" s="1"/>
  <c r="R482" i="17" a="1"/>
  <c r="R482" i="17" s="1"/>
  <c r="R483" i="17" a="1"/>
  <c r="R483" i="17" s="1"/>
  <c r="R484" i="17" a="1"/>
  <c r="R484" i="17" s="1"/>
  <c r="R485" i="17" a="1"/>
  <c r="R485" i="17"/>
  <c r="R486" i="17" a="1"/>
  <c r="R486" i="17" s="1"/>
  <c r="R487" i="17" a="1"/>
  <c r="R487" i="17"/>
  <c r="R488" i="17" a="1"/>
  <c r="R488" i="17"/>
  <c r="R489" i="17" a="1"/>
  <c r="R489" i="17" s="1"/>
  <c r="R490" i="17" a="1"/>
  <c r="R490" i="17"/>
  <c r="R491" i="17" a="1"/>
  <c r="R491" i="17" s="1"/>
  <c r="R492" i="17" a="1"/>
  <c r="R492" i="17" s="1"/>
  <c r="R493" i="17" a="1"/>
  <c r="R493" i="17"/>
  <c r="R494" i="17" a="1"/>
  <c r="R494" i="17" s="1"/>
  <c r="R495" i="17" a="1"/>
  <c r="R495" i="17" s="1"/>
  <c r="R496" i="17" a="1"/>
  <c r="R496" i="17"/>
  <c r="R497" i="17" a="1"/>
  <c r="R497" i="17" s="1"/>
  <c r="R498" i="17" a="1"/>
  <c r="R498" i="17" s="1"/>
  <c r="R499" i="17" a="1"/>
  <c r="R499" i="17"/>
  <c r="R500" i="17" a="1"/>
  <c r="R500" i="17" s="1"/>
  <c r="R501" i="17" a="1"/>
  <c r="R501" i="17" s="1"/>
  <c r="R502" i="17" a="1"/>
  <c r="R502" i="17" s="1"/>
  <c r="R503" i="17" a="1"/>
  <c r="R503" i="17" s="1"/>
  <c r="R504" i="17" a="1"/>
  <c r="R504" i="17"/>
  <c r="R505" i="17" a="1"/>
  <c r="R505" i="17" s="1"/>
  <c r="R506" i="17" a="1"/>
  <c r="R506" i="17"/>
  <c r="R507" i="17" a="1"/>
  <c r="R507" i="17" s="1"/>
  <c r="R508" i="17" a="1"/>
  <c r="R508" i="17" s="1"/>
  <c r="R509" i="17" a="1"/>
  <c r="R509" i="17" s="1"/>
  <c r="R510" i="17" a="1"/>
  <c r="R510" i="17" s="1"/>
  <c r="R511" i="17" a="1"/>
  <c r="R511" i="17" s="1"/>
  <c r="R512" i="17" a="1"/>
  <c r="R512" i="17"/>
  <c r="R513" i="17" a="1"/>
  <c r="R513" i="17"/>
  <c r="R514" i="17" a="1"/>
  <c r="R514" i="17"/>
  <c r="R515" i="17" a="1"/>
  <c r="R515" i="17" s="1"/>
  <c r="R516" i="17" a="1"/>
  <c r="R516" i="17" s="1"/>
  <c r="R517" i="17" a="1"/>
  <c r="R517" i="17"/>
  <c r="R518" i="17" a="1"/>
  <c r="R518" i="17" s="1"/>
  <c r="R519" i="17" a="1"/>
  <c r="R519" i="17" s="1"/>
  <c r="R520" i="17" a="1"/>
  <c r="R520" i="17"/>
  <c r="R521" i="17" a="1"/>
  <c r="R521" i="17"/>
  <c r="R522" i="17" a="1"/>
  <c r="R522" i="17"/>
  <c r="R523" i="17" a="1"/>
  <c r="R523" i="17" s="1"/>
  <c r="R524" i="17" a="1"/>
  <c r="R524" i="17" s="1"/>
  <c r="R525" i="17" a="1"/>
  <c r="R525" i="17" s="1"/>
  <c r="R526" i="17" a="1"/>
  <c r="R526" i="17" s="1"/>
  <c r="R527" i="17" a="1"/>
  <c r="R527" i="17" s="1"/>
  <c r="R528" i="17" a="1"/>
  <c r="R528" i="17" s="1"/>
  <c r="R529" i="17" a="1"/>
  <c r="R529" i="17"/>
  <c r="R530" i="17" a="1"/>
  <c r="R530" i="17" s="1"/>
  <c r="R531" i="17" a="1"/>
  <c r="R531" i="17"/>
  <c r="R532" i="17" a="1"/>
  <c r="R532" i="17" s="1"/>
  <c r="R533" i="17" a="1"/>
  <c r="R533" i="17"/>
  <c r="R534" i="17" a="1"/>
  <c r="R534" i="17" s="1"/>
  <c r="R535" i="17" a="1"/>
  <c r="R535" i="17" s="1"/>
  <c r="R536" i="17" a="1"/>
  <c r="R536" i="17" s="1"/>
  <c r="R537" i="17" a="1"/>
  <c r="R537" i="17" s="1"/>
  <c r="R538" i="17" a="1"/>
  <c r="R538" i="17" s="1"/>
  <c r="R539" i="17" a="1"/>
  <c r="R539" i="17"/>
  <c r="R540" i="17" a="1"/>
  <c r="R540" i="17" s="1"/>
  <c r="R541" i="17" a="1"/>
  <c r="R541" i="17"/>
  <c r="R542" i="17" a="1"/>
  <c r="R542" i="17"/>
  <c r="R543" i="17" a="1"/>
  <c r="R543" i="17" s="1"/>
  <c r="R544" i="17" a="1"/>
  <c r="R544" i="17"/>
  <c r="R545" i="17" a="1"/>
  <c r="R545" i="17" s="1"/>
  <c r="R546" i="17" a="1"/>
  <c r="R546" i="17" s="1"/>
  <c r="R547" i="17" a="1"/>
  <c r="R547" i="17"/>
  <c r="R548" i="17" a="1"/>
  <c r="R548" i="17" s="1"/>
  <c r="R549" i="17" a="1"/>
  <c r="R549" i="17" s="1"/>
  <c r="R550" i="17" a="1"/>
  <c r="R550" i="17"/>
  <c r="R551" i="17" a="1"/>
  <c r="R551" i="17" s="1"/>
  <c r="R552" i="17" a="1"/>
  <c r="R552" i="17" s="1"/>
  <c r="R553" i="17" a="1"/>
  <c r="R553" i="17"/>
  <c r="R554" i="17" a="1"/>
  <c r="R554" i="17" s="1"/>
  <c r="R555" i="17" a="1"/>
  <c r="R555" i="17" s="1"/>
  <c r="R556" i="17" a="1"/>
  <c r="R556" i="17" s="1"/>
  <c r="R557" i="17" a="1"/>
  <c r="R557" i="17" s="1"/>
  <c r="R558" i="17" a="1"/>
  <c r="R558" i="17"/>
  <c r="R559" i="17" a="1"/>
  <c r="R559" i="17" s="1"/>
  <c r="R560" i="17" a="1"/>
  <c r="R560" i="17"/>
  <c r="R561" i="17" a="1"/>
  <c r="R561" i="17" s="1"/>
  <c r="R562" i="17" a="1"/>
  <c r="R562" i="17" s="1"/>
  <c r="R563" i="17" a="1"/>
  <c r="R563" i="17" s="1"/>
  <c r="R564" i="17" a="1"/>
  <c r="R564" i="17" s="1"/>
  <c r="R565" i="17" a="1"/>
  <c r="R565" i="17" s="1"/>
  <c r="R566" i="17" a="1"/>
  <c r="R566" i="17"/>
  <c r="R567" i="17" a="1"/>
  <c r="R567" i="17"/>
  <c r="R568" i="17" a="1"/>
  <c r="R568" i="17"/>
  <c r="R569" i="17" a="1"/>
  <c r="R569" i="17" s="1"/>
  <c r="R570" i="17" a="1"/>
  <c r="R570" i="17" s="1"/>
  <c r="R571" i="17" a="1"/>
  <c r="R571" i="17"/>
  <c r="R572" i="17" a="1"/>
  <c r="R572" i="17" s="1"/>
  <c r="R573" i="17" a="1"/>
  <c r="R573" i="17" s="1"/>
  <c r="R574" i="17" a="1"/>
  <c r="R574" i="17"/>
  <c r="R575" i="17" a="1"/>
  <c r="R575" i="17"/>
  <c r="R576" i="17" a="1"/>
  <c r="R576" i="17"/>
  <c r="R577" i="17" a="1"/>
  <c r="R577" i="17" s="1"/>
  <c r="R578" i="17" a="1"/>
  <c r="R578" i="17" s="1"/>
  <c r="R579" i="17" a="1"/>
  <c r="R579" i="17" s="1"/>
  <c r="R580" i="17" a="1"/>
  <c r="R580" i="17" s="1"/>
  <c r="R581" i="17" a="1"/>
  <c r="R581" i="17" s="1"/>
  <c r="R582" i="17" a="1"/>
  <c r="R582" i="17" s="1"/>
  <c r="R583" i="17" a="1"/>
  <c r="R583" i="17"/>
  <c r="R584" i="17" a="1"/>
  <c r="R584" i="17" s="1"/>
  <c r="R585" i="17" a="1"/>
  <c r="R585" i="17"/>
  <c r="R586" i="17" a="1"/>
  <c r="R586" i="17" s="1"/>
  <c r="R587" i="17" a="1"/>
  <c r="R587" i="17"/>
  <c r="R588" i="17" a="1"/>
  <c r="R588" i="17" s="1"/>
  <c r="R589" i="17" a="1"/>
  <c r="R589" i="17" s="1"/>
  <c r="R590" i="17" a="1"/>
  <c r="R590" i="17" s="1"/>
  <c r="R591" i="17" a="1"/>
  <c r="R591" i="17" s="1"/>
  <c r="R592" i="17" a="1"/>
  <c r="R592" i="17" s="1"/>
  <c r="R593" i="17" a="1"/>
  <c r="R593" i="17"/>
  <c r="R594" i="17" a="1"/>
  <c r="R594" i="17" s="1"/>
  <c r="R595" i="17" a="1"/>
  <c r="R595" i="17"/>
  <c r="R596" i="17" a="1"/>
  <c r="R596" i="17"/>
  <c r="R597" i="17" a="1"/>
  <c r="R597" i="17" s="1"/>
  <c r="R598" i="17" a="1"/>
  <c r="R598" i="17"/>
  <c r="R599" i="17" a="1"/>
  <c r="R599" i="17" s="1"/>
  <c r="R600" i="17" a="1"/>
  <c r="R600" i="17" s="1"/>
  <c r="R601" i="17" a="1"/>
  <c r="R601" i="17"/>
  <c r="R602" i="17" a="1"/>
  <c r="R602" i="17" s="1"/>
  <c r="R603" i="17" a="1"/>
  <c r="R603" i="17" s="1"/>
  <c r="R604" i="17" a="1"/>
  <c r="R604" i="17"/>
  <c r="R605" i="17" a="1"/>
  <c r="R605" i="17" s="1"/>
  <c r="R606" i="17" a="1"/>
  <c r="R606" i="17" s="1"/>
  <c r="R607" i="17" a="1"/>
  <c r="R607" i="17"/>
  <c r="R608" i="17" a="1"/>
  <c r="R608" i="17" s="1"/>
  <c r="R609" i="17" a="1"/>
  <c r="R609" i="17" s="1"/>
  <c r="R610" i="17" a="1"/>
  <c r="R610" i="17" s="1"/>
  <c r="R611" i="17" a="1"/>
  <c r="R611" i="17" s="1"/>
  <c r="R612" i="17" a="1"/>
  <c r="R612" i="17" s="1"/>
  <c r="R613" i="17" a="1"/>
  <c r="R613" i="17" s="1"/>
  <c r="R614" i="17" a="1"/>
  <c r="R614" i="17"/>
  <c r="R615" i="17" a="1"/>
  <c r="R615" i="17" s="1"/>
  <c r="R616" i="17" a="1"/>
  <c r="R616" i="17" s="1"/>
  <c r="R617" i="17" a="1"/>
  <c r="R617" i="17" s="1"/>
  <c r="R618" i="17" a="1"/>
  <c r="R618" i="17" s="1"/>
  <c r="R619" i="17" a="1"/>
  <c r="R619" i="17" s="1"/>
  <c r="R620" i="17" a="1"/>
  <c r="R620" i="17"/>
  <c r="R621" i="17" a="1"/>
  <c r="R621" i="17"/>
  <c r="R622" i="17" a="1"/>
  <c r="R622" i="17"/>
  <c r="R623" i="17" a="1"/>
  <c r="R623" i="17" s="1"/>
  <c r="R624" i="17" a="1"/>
  <c r="R624" i="17" s="1"/>
  <c r="R625" i="17" a="1"/>
  <c r="R625" i="17"/>
  <c r="R626" i="17" a="1"/>
  <c r="R626" i="17" s="1"/>
  <c r="R627" i="17" a="1"/>
  <c r="R627" i="17" s="1"/>
  <c r="R628" i="17" a="1"/>
  <c r="R628" i="17" s="1"/>
  <c r="R629" i="17" a="1"/>
  <c r="R629" i="17"/>
  <c r="R630" i="17" a="1"/>
  <c r="R630" i="17"/>
  <c r="R631" i="17" a="1"/>
  <c r="R631" i="17" s="1"/>
  <c r="R632" i="17" a="1"/>
  <c r="R632" i="17" s="1"/>
  <c r="R633" i="17" a="1"/>
  <c r="R633" i="17" s="1"/>
  <c r="R634" i="17" a="1"/>
  <c r="R634" i="17" s="1"/>
  <c r="R635" i="17" a="1"/>
  <c r="R635" i="17" s="1"/>
  <c r="R636" i="17" a="1"/>
  <c r="R636" i="17" s="1"/>
  <c r="R637" i="17" a="1"/>
  <c r="R637" i="17"/>
  <c r="R638" i="17" a="1"/>
  <c r="R638" i="17" s="1"/>
  <c r="R639" i="17" a="1"/>
  <c r="R639" i="17"/>
  <c r="R640" i="17" a="1"/>
  <c r="R640" i="17" s="1"/>
  <c r="R641" i="17" a="1"/>
  <c r="R641" i="17"/>
  <c r="R642" i="17" a="1"/>
  <c r="R642" i="17" s="1"/>
  <c r="R643" i="17" a="1"/>
  <c r="R643" i="17" s="1"/>
  <c r="R644" i="17" a="1"/>
  <c r="R644" i="17" s="1"/>
  <c r="R645" i="17" a="1"/>
  <c r="R645" i="17" s="1"/>
  <c r="R646" i="17" a="1"/>
  <c r="R646" i="17" s="1"/>
  <c r="R647" i="17" a="1"/>
  <c r="R647" i="17"/>
  <c r="R648" i="17" a="1"/>
  <c r="R648" i="17" s="1"/>
  <c r="R649" i="17" a="1"/>
  <c r="R649" i="17" s="1"/>
  <c r="R650" i="17" a="1"/>
  <c r="R650" i="17"/>
  <c r="R651" i="17" a="1"/>
  <c r="R651" i="17"/>
  <c r="R652" i="17" a="1"/>
  <c r="R652" i="17" s="1"/>
  <c r="R653" i="17" a="1"/>
  <c r="R653" i="17" s="1"/>
  <c r="R654" i="17" a="1"/>
  <c r="R654" i="17" s="1"/>
  <c r="R655" i="17" a="1"/>
  <c r="R655" i="17" s="1"/>
  <c r="R656" i="17" a="1"/>
  <c r="R656" i="17" s="1"/>
  <c r="R657" i="17" a="1"/>
  <c r="R657" i="17"/>
  <c r="R658" i="17" a="1"/>
  <c r="R658" i="17" s="1"/>
  <c r="R659" i="17" a="1"/>
  <c r="R659" i="17" s="1"/>
  <c r="R660" i="17" a="1"/>
  <c r="R660" i="17"/>
  <c r="R661" i="17" a="1"/>
  <c r="R661" i="17"/>
  <c r="R662" i="17" a="1"/>
  <c r="R662" i="17" s="1"/>
  <c r="R663" i="17" a="1"/>
  <c r="R663" i="17" s="1"/>
  <c r="R664" i="17" a="1"/>
  <c r="R664" i="17" s="1"/>
  <c r="R665" i="17" a="1"/>
  <c r="R665" i="17" s="1"/>
  <c r="R666" i="17" a="1"/>
  <c r="R666" i="17" s="1"/>
  <c r="R667" i="17" a="1"/>
  <c r="R667" i="17"/>
  <c r="R668" i="17" a="1"/>
  <c r="R668" i="17" s="1"/>
  <c r="R669" i="17" a="1"/>
  <c r="R669" i="17" s="1"/>
  <c r="R670" i="17" a="1"/>
  <c r="R670" i="17"/>
  <c r="R671" i="17" a="1"/>
  <c r="R671" i="17" s="1"/>
  <c r="R672" i="17" a="1"/>
  <c r="R672" i="17" s="1"/>
  <c r="R673" i="17" a="1"/>
  <c r="R673" i="17" s="1"/>
  <c r="R674" i="17" a="1"/>
  <c r="R674" i="17" s="1"/>
  <c r="R675" i="17" a="1"/>
  <c r="R675" i="17" s="1"/>
  <c r="R676" i="17" a="1"/>
  <c r="R676" i="17" s="1"/>
  <c r="R677" i="17" a="1"/>
  <c r="R677" i="17"/>
  <c r="R678" i="17" a="1"/>
  <c r="R678" i="17" s="1"/>
  <c r="R679" i="17" a="1"/>
  <c r="R679" i="17" s="1"/>
  <c r="R680" i="17" a="1"/>
  <c r="R680" i="17" s="1"/>
  <c r="R681" i="17" a="1"/>
  <c r="R681" i="17" s="1"/>
  <c r="R682" i="17" a="1"/>
  <c r="R682" i="17"/>
  <c r="R683" i="17" a="1"/>
  <c r="R683" i="17" s="1"/>
  <c r="R684" i="17" a="1"/>
  <c r="R684" i="17" s="1"/>
  <c r="R685" i="17" a="1"/>
  <c r="R685" i="17" s="1"/>
  <c r="R686" i="17" a="1"/>
  <c r="R686" i="17" s="1"/>
  <c r="R687" i="17" a="1"/>
  <c r="R687" i="17"/>
  <c r="R688" i="17" a="1"/>
  <c r="R688" i="17" s="1"/>
  <c r="R689" i="17" a="1"/>
  <c r="R689" i="17" s="1"/>
  <c r="R690" i="17" a="1"/>
  <c r="R690" i="17"/>
  <c r="R691" i="17" a="1"/>
  <c r="R691" i="17" s="1"/>
  <c r="R692" i="17" a="1"/>
  <c r="R692" i="17"/>
  <c r="R693" i="17" a="1"/>
  <c r="R693" i="17"/>
  <c r="R694" i="17" a="1"/>
  <c r="R694" i="17"/>
  <c r="R695" i="17" a="1"/>
  <c r="R695" i="17" s="1"/>
  <c r="R696" i="17" a="1"/>
  <c r="R696" i="17" s="1"/>
  <c r="R697" i="17" a="1"/>
  <c r="R697" i="17"/>
  <c r="R698" i="17" a="1"/>
  <c r="R698" i="17" s="1"/>
  <c r="R699" i="17" a="1"/>
  <c r="R699" i="17" s="1"/>
  <c r="R700" i="17" a="1"/>
  <c r="R700" i="17"/>
  <c r="R701" i="17" a="1"/>
  <c r="R701" i="17"/>
  <c r="R702" i="17" a="1"/>
  <c r="R702" i="17" s="1"/>
  <c r="R703" i="17" a="1"/>
  <c r="R703" i="17" s="1"/>
  <c r="R704" i="17" a="1"/>
  <c r="R704" i="17" s="1"/>
  <c r="R705" i="17" a="1"/>
  <c r="R705" i="17" s="1"/>
  <c r="R706" i="17" a="1"/>
  <c r="R706" i="17"/>
  <c r="R707" i="17" a="1"/>
  <c r="R707" i="17" s="1"/>
  <c r="R708" i="17" a="1"/>
  <c r="R708" i="17"/>
  <c r="R709" i="17" a="1"/>
  <c r="R709" i="17"/>
  <c r="R710" i="17" a="1"/>
  <c r="R710" i="17" s="1"/>
  <c r="R711" i="17" a="1"/>
  <c r="R711" i="17"/>
  <c r="R712" i="17" a="1"/>
  <c r="R712" i="17"/>
  <c r="R713" i="17" a="1"/>
  <c r="R713" i="17"/>
  <c r="R714" i="17" a="1"/>
  <c r="R714" i="17" s="1"/>
  <c r="R715" i="17" a="1"/>
  <c r="R715" i="17" s="1"/>
  <c r="R716" i="17" a="1"/>
  <c r="R716" i="17" s="1"/>
  <c r="R717" i="17" a="1"/>
  <c r="R717" i="17" s="1"/>
  <c r="R718" i="17" a="1"/>
  <c r="R718" i="17" s="1"/>
  <c r="R719" i="17" a="1"/>
  <c r="R719" i="17"/>
  <c r="R720" i="17" a="1"/>
  <c r="R720" i="17"/>
  <c r="R721" i="17" a="1"/>
  <c r="R721" i="17" s="1"/>
  <c r="R722" i="17" a="1"/>
  <c r="R722" i="17" s="1"/>
  <c r="R723" i="17" a="1"/>
  <c r="R723" i="17" s="1"/>
  <c r="R724" i="17" a="1"/>
  <c r="R724" i="17" s="1"/>
  <c r="R725" i="17" a="1"/>
  <c r="R725" i="17" s="1"/>
  <c r="R726" i="17" a="1"/>
  <c r="R726" i="17"/>
  <c r="R727" i="17" a="1"/>
  <c r="R727" i="17"/>
  <c r="R728" i="17" a="1"/>
  <c r="R728" i="17"/>
  <c r="R729" i="17" a="1"/>
  <c r="R729" i="17" s="1"/>
  <c r="R730" i="17" a="1"/>
  <c r="R730" i="17"/>
  <c r="R731" i="17" a="1"/>
  <c r="R731" i="17"/>
  <c r="R732" i="17" a="1"/>
  <c r="R732" i="17"/>
  <c r="R733" i="17" a="1"/>
  <c r="R733" i="17" s="1"/>
  <c r="R734" i="17" a="1"/>
  <c r="R734" i="17" s="1"/>
  <c r="R735" i="17" a="1"/>
  <c r="R735" i="17"/>
  <c r="R736" i="17" a="1"/>
  <c r="R736" i="17" s="1"/>
  <c r="R737" i="17" a="1"/>
  <c r="R737" i="17" s="1"/>
  <c r="R738" i="17" a="1"/>
  <c r="R738" i="17"/>
  <c r="R739" i="17" a="1"/>
  <c r="R739" i="17"/>
  <c r="R740" i="17" a="1"/>
  <c r="R740" i="17" s="1"/>
  <c r="R741" i="17" a="1"/>
  <c r="R741" i="17" s="1"/>
  <c r="R742" i="17" a="1"/>
  <c r="R742" i="17" s="1"/>
  <c r="R743" i="17" a="1"/>
  <c r="R743" i="17" s="1"/>
  <c r="R744" i="17" a="1"/>
  <c r="R744" i="17" s="1"/>
  <c r="R745" i="17" a="1"/>
  <c r="R745" i="17"/>
  <c r="R746" i="17" a="1"/>
  <c r="R746" i="17"/>
  <c r="R747" i="17" a="1"/>
  <c r="R747" i="17"/>
  <c r="R748" i="17" a="1"/>
  <c r="R748" i="17" s="1"/>
  <c r="R749" i="17" a="1"/>
  <c r="R749" i="17"/>
  <c r="R750" i="17" a="1"/>
  <c r="R750" i="17"/>
  <c r="R751" i="17" a="1"/>
  <c r="R751" i="17"/>
  <c r="R752" i="17" a="1"/>
  <c r="R752" i="17" s="1"/>
  <c r="R753" i="17" a="1"/>
  <c r="R753" i="17" s="1"/>
  <c r="R754" i="17" a="1"/>
  <c r="R754" i="17"/>
  <c r="R755" i="17" a="1"/>
  <c r="R755" i="17" s="1"/>
  <c r="R756" i="17" a="1"/>
  <c r="R756" i="17" s="1"/>
  <c r="R757" i="17" a="1"/>
  <c r="R757" i="17"/>
  <c r="R758" i="17" a="1"/>
  <c r="R758" i="17"/>
  <c r="R759" i="17" a="1"/>
  <c r="R759" i="17" s="1"/>
  <c r="R760" i="17" a="1"/>
  <c r="R760" i="17" s="1"/>
  <c r="R761" i="17" a="1"/>
  <c r="R761" i="17" s="1"/>
  <c r="R762" i="17" a="1"/>
  <c r="R762" i="17" s="1"/>
  <c r="R763" i="17" a="1"/>
  <c r="R763" i="17" s="1"/>
  <c r="R764" i="17" a="1"/>
  <c r="R764" i="17"/>
  <c r="R765" i="17" a="1"/>
  <c r="R765" i="17"/>
  <c r="R766" i="17" a="1"/>
  <c r="R766" i="17"/>
  <c r="R767" i="17" a="1"/>
  <c r="R767" i="17" s="1"/>
  <c r="R768" i="17" a="1"/>
  <c r="R768" i="17"/>
  <c r="R769" i="17" a="1"/>
  <c r="R769" i="17"/>
  <c r="R770" i="17" a="1"/>
  <c r="R770" i="17"/>
  <c r="R771" i="17" a="1"/>
  <c r="R771" i="17" s="1"/>
  <c r="R772" i="17" a="1"/>
  <c r="R772" i="17" s="1"/>
  <c r="R773" i="17" a="1"/>
  <c r="R773" i="17"/>
  <c r="R774" i="17" a="1"/>
  <c r="R774" i="17"/>
  <c r="R775" i="17" a="1"/>
  <c r="R775" i="17"/>
  <c r="R776" i="17" a="1"/>
  <c r="R776" i="17" s="1"/>
  <c r="R777" i="17" a="1"/>
  <c r="R777" i="17"/>
  <c r="R778" i="17" a="1"/>
  <c r="R778" i="17"/>
  <c r="R779" i="17" a="1"/>
  <c r="R779" i="17"/>
  <c r="R780" i="17" a="1"/>
  <c r="R780" i="17" s="1"/>
  <c r="R781" i="17" a="1"/>
  <c r="R781" i="17" s="1"/>
  <c r="R782" i="17" a="1"/>
  <c r="R782" i="17"/>
  <c r="R783" i="17" a="1"/>
  <c r="R783" i="17"/>
  <c r="R784" i="17" a="1"/>
  <c r="R784" i="17"/>
  <c r="R785" i="17" a="1"/>
  <c r="R785" i="17" s="1"/>
  <c r="R786" i="17" a="1"/>
  <c r="R786" i="17"/>
  <c r="R787" i="17" a="1"/>
  <c r="R787" i="17"/>
  <c r="R788" i="17" a="1"/>
  <c r="R788" i="17"/>
  <c r="R789" i="17" a="1"/>
  <c r="R789" i="17" s="1"/>
  <c r="R790" i="17" a="1"/>
  <c r="R790" i="17" s="1"/>
  <c r="R791" i="17" a="1"/>
  <c r="R791" i="17"/>
  <c r="R792" i="17" a="1"/>
  <c r="R792" i="17"/>
  <c r="R793" i="17" a="1"/>
  <c r="R793" i="17"/>
  <c r="R794" i="17" a="1"/>
  <c r="R794" i="17" s="1"/>
  <c r="R795" i="17" a="1"/>
  <c r="R795" i="17"/>
  <c r="R796" i="17" a="1"/>
  <c r="R796" i="17"/>
  <c r="R797" i="17" a="1"/>
  <c r="R797" i="17"/>
  <c r="R798" i="17" a="1"/>
  <c r="R798" i="17" s="1"/>
  <c r="R799" i="17" a="1"/>
  <c r="R799" i="17" s="1"/>
  <c r="R800" i="17" a="1"/>
  <c r="R800" i="17"/>
  <c r="R801" i="17" a="1"/>
  <c r="R801" i="17" s="1"/>
  <c r="R802" i="17" a="1"/>
  <c r="R802" i="17"/>
  <c r="R803" i="17" a="1"/>
  <c r="R803" i="17" s="1"/>
  <c r="R804" i="17" a="1"/>
  <c r="R804" i="17"/>
  <c r="R805" i="17" a="1"/>
  <c r="R805" i="17"/>
  <c r="R806" i="17" a="1"/>
  <c r="R806" i="17" s="1"/>
  <c r="R807" i="17" a="1"/>
  <c r="R807" i="17" s="1"/>
  <c r="R808" i="17" a="1"/>
  <c r="R808" i="17" s="1"/>
  <c r="R809" i="17" a="1"/>
  <c r="R809" i="17"/>
  <c r="R810" i="17" a="1"/>
  <c r="R810" i="17" s="1"/>
  <c r="R811" i="17" a="1"/>
  <c r="R811" i="17"/>
  <c r="R812" i="17" a="1"/>
  <c r="R812" i="17" s="1"/>
  <c r="R813" i="17" a="1"/>
  <c r="R813" i="17"/>
  <c r="R814" i="17" a="1"/>
  <c r="R814" i="17"/>
  <c r="R815" i="17" a="1"/>
  <c r="R815" i="17"/>
  <c r="R816" i="17" a="1"/>
  <c r="R816" i="17" s="1"/>
  <c r="R817" i="17" a="1"/>
  <c r="R817" i="17" s="1"/>
  <c r="R818" i="17" a="1"/>
  <c r="R818" i="17"/>
  <c r="R819" i="17" a="1"/>
  <c r="R819" i="17" s="1"/>
  <c r="R820" i="17" a="1"/>
  <c r="R820" i="17"/>
  <c r="R821" i="17" a="1"/>
  <c r="R821" i="17" s="1"/>
  <c r="R822" i="17" a="1"/>
  <c r="R822" i="17"/>
  <c r="R823" i="17" a="1"/>
  <c r="R823" i="17"/>
  <c r="R824" i="17" a="1"/>
  <c r="R824" i="17"/>
  <c r="R825" i="17" a="1"/>
  <c r="R825" i="17" s="1"/>
  <c r="R826" i="17" a="1"/>
  <c r="R826" i="17" s="1"/>
  <c r="R827" i="17" a="1"/>
  <c r="R827" i="17"/>
  <c r="R828" i="17" a="1"/>
  <c r="R828" i="17" s="1"/>
  <c r="R829" i="17" a="1"/>
  <c r="R829" i="17"/>
  <c r="R830" i="17" a="1"/>
  <c r="R830" i="17" s="1"/>
  <c r="R831" i="17" a="1"/>
  <c r="R831" i="17"/>
  <c r="R832" i="17" a="1"/>
  <c r="R832" i="17"/>
  <c r="R833" i="17" a="1"/>
  <c r="R833" i="17"/>
  <c r="R834" i="17" a="1"/>
  <c r="R834" i="17" s="1"/>
  <c r="R835" i="17" a="1"/>
  <c r="R835" i="17" s="1"/>
  <c r="R836" i="17" a="1"/>
  <c r="R836" i="17"/>
  <c r="R837" i="17" a="1"/>
  <c r="R837" i="17" s="1"/>
  <c r="R838" i="17" a="1"/>
  <c r="R838" i="17"/>
  <c r="R839" i="17" a="1"/>
  <c r="R839" i="17" s="1"/>
  <c r="R840" i="17" a="1"/>
  <c r="R840" i="17"/>
  <c r="R841" i="17" a="1"/>
  <c r="R841" i="17"/>
  <c r="R842" i="17" a="1"/>
  <c r="R842" i="17"/>
  <c r="R843" i="17" a="1"/>
  <c r="R843" i="17" s="1"/>
  <c r="R844" i="17" a="1"/>
  <c r="R844" i="17" s="1"/>
  <c r="R845" i="17" a="1"/>
  <c r="R845" i="17"/>
  <c r="R846" i="17" a="1"/>
  <c r="R846" i="17" s="1"/>
  <c r="R847" i="17" a="1"/>
  <c r="R847" i="17"/>
  <c r="R848" i="17" a="1"/>
  <c r="R848" i="17" s="1"/>
  <c r="R849" i="17" a="1"/>
  <c r="R849" i="17"/>
  <c r="R850" i="17" a="1"/>
  <c r="R850" i="17"/>
  <c r="R851" i="17" a="1"/>
  <c r="R851" i="17"/>
  <c r="R852" i="17" a="1"/>
  <c r="R852" i="17" s="1"/>
  <c r="R853" i="17" a="1"/>
  <c r="R853" i="17" s="1"/>
  <c r="R854" i="17" a="1"/>
  <c r="R854" i="17"/>
  <c r="R855" i="17" a="1"/>
  <c r="R855" i="17" s="1"/>
  <c r="R856" i="17" a="1"/>
  <c r="R856" i="17"/>
  <c r="R857" i="17" a="1"/>
  <c r="R857" i="17" s="1"/>
  <c r="R858" i="17" a="1"/>
  <c r="R858" i="17"/>
  <c r="R859" i="17" a="1"/>
  <c r="R859" i="17"/>
  <c r="R860" i="17" a="1"/>
  <c r="R860" i="17"/>
  <c r="R861" i="17" a="1"/>
  <c r="R861" i="17" s="1"/>
  <c r="R862" i="17" a="1"/>
  <c r="R862" i="17" s="1"/>
  <c r="R863" i="17" a="1"/>
  <c r="R863" i="17"/>
  <c r="R864" i="17" a="1"/>
  <c r="R864" i="17" s="1"/>
  <c r="R865" i="17" a="1"/>
  <c r="R865" i="17"/>
  <c r="R866" i="17" a="1"/>
  <c r="R866" i="17" s="1"/>
  <c r="R867" i="17" a="1"/>
  <c r="R867" i="17"/>
  <c r="R868" i="17" a="1"/>
  <c r="R868" i="17"/>
  <c r="R869" i="17" a="1"/>
  <c r="R869" i="17"/>
  <c r="R870" i="17" a="1"/>
  <c r="R870" i="17" s="1"/>
  <c r="R871" i="17" a="1"/>
  <c r="R871" i="17" s="1"/>
  <c r="R872" i="17" a="1"/>
  <c r="R872" i="17"/>
  <c r="R873" i="17" a="1"/>
  <c r="R873" i="17" s="1"/>
  <c r="R874" i="17" a="1"/>
  <c r="R874" i="17"/>
  <c r="R875" i="17" a="1"/>
  <c r="R875" i="17" s="1"/>
  <c r="R876" i="17" a="1"/>
  <c r="R876" i="17"/>
  <c r="R877" i="17" a="1"/>
  <c r="R877" i="17"/>
  <c r="R878" i="17" a="1"/>
  <c r="R878" i="17"/>
  <c r="R879" i="17" a="1"/>
  <c r="R879" i="17" s="1"/>
  <c r="R880" i="17" a="1"/>
  <c r="R880" i="17" s="1"/>
  <c r="R881" i="17" a="1"/>
  <c r="R881" i="17"/>
  <c r="R882" i="17" a="1"/>
  <c r="R882" i="17" s="1"/>
  <c r="R883" i="17" a="1"/>
  <c r="R883" i="17"/>
  <c r="R884" i="17" a="1"/>
  <c r="R884" i="17" s="1"/>
  <c r="R885" i="17" a="1"/>
  <c r="R885" i="17"/>
  <c r="R886" i="17" a="1"/>
  <c r="R886" i="17"/>
  <c r="R887" i="17" a="1"/>
  <c r="R887" i="17"/>
  <c r="R888" i="17" a="1"/>
  <c r="R888" i="17" s="1"/>
  <c r="R889" i="17" a="1"/>
  <c r="R889" i="17" s="1"/>
  <c r="R890" i="17" a="1"/>
  <c r="R890" i="17"/>
  <c r="R891" i="17" a="1"/>
  <c r="R891" i="17" s="1"/>
  <c r="R892" i="17" a="1"/>
  <c r="R892" i="17"/>
  <c r="R893" i="17" a="1"/>
  <c r="R893" i="17" s="1"/>
  <c r="R894" i="17" a="1"/>
  <c r="R894" i="17"/>
  <c r="R895" i="17" a="1"/>
  <c r="R895" i="17"/>
  <c r="R896" i="17" a="1"/>
  <c r="R896" i="17"/>
  <c r="R897" i="17" a="1"/>
  <c r="R897" i="17" s="1"/>
  <c r="R898" i="17" a="1"/>
  <c r="R898" i="17" s="1"/>
  <c r="R899" i="17" a="1"/>
  <c r="R899" i="17" s="1"/>
  <c r="R900" i="17" a="1"/>
  <c r="R900" i="17" s="1"/>
  <c r="R901" i="17" a="1"/>
  <c r="R901" i="17"/>
  <c r="R902" i="17" a="1"/>
  <c r="R902" i="17" s="1"/>
  <c r="R903" i="17" a="1"/>
  <c r="R903" i="17"/>
  <c r="R904" i="17" a="1"/>
  <c r="R904" i="17"/>
  <c r="R905" i="17" a="1"/>
  <c r="R905" i="17"/>
  <c r="R906" i="17" a="1"/>
  <c r="R906" i="17" s="1"/>
  <c r="R907" i="17" a="1"/>
  <c r="R907" i="17" s="1"/>
  <c r="R908" i="17" a="1"/>
  <c r="R908" i="17" s="1"/>
  <c r="R909" i="17" a="1"/>
  <c r="R909" i="17" s="1"/>
  <c r="R910" i="17" a="1"/>
  <c r="R910" i="17"/>
  <c r="R911" i="17" a="1"/>
  <c r="R911" i="17" s="1"/>
  <c r="R912" i="17" a="1"/>
  <c r="R912" i="17"/>
  <c r="R913" i="17" a="1"/>
  <c r="R913" i="17"/>
  <c r="R914" i="17" a="1"/>
  <c r="R914" i="17"/>
  <c r="R915" i="17" a="1"/>
  <c r="R915" i="17" s="1"/>
  <c r="R916" i="17" a="1"/>
  <c r="R916" i="17" s="1"/>
  <c r="R917" i="17" a="1"/>
  <c r="R917" i="17" s="1"/>
  <c r="R918" i="17" a="1"/>
  <c r="R918" i="17" s="1"/>
  <c r="R919" i="17" a="1"/>
  <c r="R919" i="17"/>
  <c r="R920" i="17" a="1"/>
  <c r="R920" i="17" s="1"/>
  <c r="R921" i="17" a="1"/>
  <c r="R921" i="17"/>
  <c r="R922" i="17" a="1"/>
  <c r="R922" i="17"/>
  <c r="R923" i="17" a="1"/>
  <c r="R923" i="17"/>
  <c r="R924" i="17" a="1"/>
  <c r="R924" i="17" s="1"/>
  <c r="R925" i="17" a="1"/>
  <c r="R925" i="17" s="1"/>
  <c r="R926" i="17" a="1"/>
  <c r="R926" i="17" s="1"/>
  <c r="R927" i="17" a="1"/>
  <c r="R927" i="17" s="1"/>
  <c r="R928" i="17" a="1"/>
  <c r="R928" i="17"/>
  <c r="R929" i="17" a="1"/>
  <c r="R929" i="17" s="1"/>
  <c r="R930" i="17" a="1"/>
  <c r="R930" i="17"/>
  <c r="R931" i="17" a="1"/>
  <c r="R931" i="17"/>
  <c r="R932" i="17" a="1"/>
  <c r="R932" i="17"/>
  <c r="R933" i="17" a="1"/>
  <c r="R933" i="17" s="1"/>
  <c r="R934" i="17" a="1"/>
  <c r="R934" i="17" s="1"/>
  <c r="R935" i="17" a="1"/>
  <c r="R935" i="17" s="1"/>
  <c r="R936" i="17" a="1"/>
  <c r="R936" i="17" s="1"/>
  <c r="R937" i="17" a="1"/>
  <c r="R937" i="17"/>
  <c r="R938" i="17" a="1"/>
  <c r="R938" i="17" s="1"/>
  <c r="R939" i="17" a="1"/>
  <c r="R939" i="17"/>
  <c r="R940" i="17" a="1"/>
  <c r="R940" i="17"/>
  <c r="R941" i="17" a="1"/>
  <c r="R941" i="17"/>
  <c r="R942" i="17" a="1"/>
  <c r="R942" i="17" s="1"/>
  <c r="R943" i="17" a="1"/>
  <c r="R943" i="17" s="1"/>
  <c r="R944" i="17" a="1"/>
  <c r="R944" i="17" s="1"/>
  <c r="R945" i="17" a="1"/>
  <c r="R945" i="17" s="1"/>
  <c r="R946" i="17" a="1"/>
  <c r="R946" i="17"/>
  <c r="R947" i="17" a="1"/>
  <c r="R947" i="17" s="1"/>
  <c r="R948" i="17" a="1"/>
  <c r="R948" i="17"/>
  <c r="R949" i="17" a="1"/>
  <c r="R949" i="17"/>
  <c r="R950" i="17" a="1"/>
  <c r="R950" i="17"/>
  <c r="R951" i="17" a="1"/>
  <c r="R951" i="17" s="1"/>
  <c r="R952" i="17" a="1"/>
  <c r="R952" i="17" s="1"/>
  <c r="R953" i="17" a="1"/>
  <c r="R953" i="17" s="1"/>
  <c r="R954" i="17" a="1"/>
  <c r="R954" i="17" s="1"/>
  <c r="R955" i="17" a="1"/>
  <c r="R955" i="17"/>
  <c r="R956" i="17" a="1"/>
  <c r="R956" i="17" s="1"/>
  <c r="R957" i="17" a="1"/>
  <c r="R957" i="17"/>
  <c r="R958" i="17" a="1"/>
  <c r="R958" i="17"/>
  <c r="R959" i="17" a="1"/>
  <c r="R959" i="17"/>
  <c r="R960" i="17" a="1"/>
  <c r="R960" i="17" s="1"/>
  <c r="R961" i="17" a="1"/>
  <c r="R961" i="17" s="1"/>
  <c r="R962" i="17" a="1"/>
  <c r="R962" i="17" s="1"/>
  <c r="R963" i="17" a="1"/>
  <c r="R963" i="17" s="1"/>
  <c r="R964" i="17" a="1"/>
  <c r="R964" i="17"/>
  <c r="R965" i="17" a="1"/>
  <c r="R965" i="17" s="1"/>
  <c r="R966" i="17" a="1"/>
  <c r="R966" i="17"/>
  <c r="R967" i="17" a="1"/>
  <c r="R967" i="17"/>
  <c r="R968" i="17" a="1"/>
  <c r="R968" i="17"/>
  <c r="R969" i="17" a="1"/>
  <c r="R969" i="17" s="1"/>
  <c r="R970" i="17" a="1"/>
  <c r="R970" i="17" s="1"/>
  <c r="R971" i="17" a="1"/>
  <c r="R971" i="17" s="1"/>
  <c r="R972" i="17" a="1"/>
  <c r="R972" i="17" s="1"/>
  <c r="R973" i="17" a="1"/>
  <c r="R973" i="17"/>
  <c r="R974" i="17" a="1"/>
  <c r="R974" i="17" s="1"/>
  <c r="R975" i="17" a="1"/>
  <c r="R975" i="17"/>
  <c r="R976" i="17" a="1"/>
  <c r="R976" i="17"/>
  <c r="R977" i="17" a="1"/>
  <c r="R977" i="17"/>
  <c r="R978" i="17" a="1"/>
  <c r="R978" i="17" s="1"/>
  <c r="R979" i="17" a="1"/>
  <c r="R979" i="17" s="1"/>
  <c r="R980" i="17" a="1"/>
  <c r="R980" i="17" s="1"/>
  <c r="R981" i="17" a="1"/>
  <c r="R981" i="17" s="1"/>
  <c r="R982" i="17" a="1"/>
  <c r="R982" i="17"/>
  <c r="R983" i="17" a="1"/>
  <c r="R983" i="17" s="1"/>
  <c r="R984" i="17" a="1"/>
  <c r="R984" i="17"/>
  <c r="R985" i="17" a="1"/>
  <c r="R985" i="17"/>
  <c r="R986" i="17" a="1"/>
  <c r="R986" i="17"/>
  <c r="R987" i="17" a="1"/>
  <c r="R987" i="17" s="1"/>
  <c r="R988" i="17" a="1"/>
  <c r="R988" i="17" s="1"/>
  <c r="R989" i="17" a="1"/>
  <c r="R989" i="17" s="1"/>
  <c r="R990" i="17" a="1"/>
  <c r="R990" i="17" s="1"/>
  <c r="R991" i="17" a="1"/>
  <c r="R991" i="17"/>
  <c r="R992" i="17" a="1"/>
  <c r="R992" i="17" s="1"/>
  <c r="R993" i="17" a="1"/>
  <c r="R993" i="17"/>
  <c r="R994" i="17" a="1"/>
  <c r="R994" i="17"/>
  <c r="R995" i="17" a="1"/>
  <c r="R995" i="17"/>
  <c r="R996" i="17" a="1"/>
  <c r="R996" i="17" s="1"/>
  <c r="R997" i="17" a="1"/>
  <c r="R997" i="17" s="1"/>
  <c r="R998" i="17" a="1"/>
  <c r="R998" i="17" s="1"/>
  <c r="R999" i="17" a="1"/>
  <c r="R999" i="17" s="1"/>
  <c r="R1000" i="17" a="1"/>
  <c r="R1000" i="17"/>
  <c r="R1001" i="17" a="1"/>
  <c r="R1001" i="17" s="1"/>
  <c r="R2" i="17" a="1"/>
  <c r="R2" i="17"/>
  <c r="E3" i="17"/>
  <c r="E4" i="17"/>
  <c r="E5" i="17"/>
  <c r="E6" i="17"/>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54" i="17"/>
  <c r="E55" i="17"/>
  <c r="E56" i="17"/>
  <c r="E57" i="17"/>
  <c r="E58" i="17"/>
  <c r="E59" i="17"/>
  <c r="E60" i="17"/>
  <c r="E61" i="17"/>
  <c r="E62" i="17"/>
  <c r="E63" i="17"/>
  <c r="E64" i="17"/>
  <c r="E65" i="17"/>
  <c r="E66" i="17"/>
  <c r="E67" i="17"/>
  <c r="E68" i="17"/>
  <c r="E69" i="17"/>
  <c r="E70" i="17"/>
  <c r="E71" i="17"/>
  <c r="E72" i="17"/>
  <c r="E73" i="17"/>
  <c r="E74" i="17"/>
  <c r="E75" i="17"/>
  <c r="E76" i="17"/>
  <c r="E77" i="17"/>
  <c r="E78" i="17"/>
  <c r="E79" i="17"/>
  <c r="E80" i="17"/>
  <c r="E81" i="17"/>
  <c r="E82" i="17"/>
  <c r="E83" i="17"/>
  <c r="E84" i="17"/>
  <c r="E85" i="17"/>
  <c r="E86" i="17"/>
  <c r="E87" i="17"/>
  <c r="E88" i="17"/>
  <c r="E89" i="17"/>
  <c r="E90" i="17"/>
  <c r="E91" i="17"/>
  <c r="E92" i="17"/>
  <c r="E93" i="17"/>
  <c r="E94" i="17"/>
  <c r="E95" i="17"/>
  <c r="E96" i="17"/>
  <c r="E97" i="17"/>
  <c r="E98" i="17"/>
  <c r="E99" i="17"/>
  <c r="E100" i="17"/>
  <c r="E101" i="17"/>
  <c r="E102" i="17"/>
  <c r="E103" i="17"/>
  <c r="E104" i="17"/>
  <c r="E105" i="17"/>
  <c r="E106" i="17"/>
  <c r="E107" i="17"/>
  <c r="E108" i="17"/>
  <c r="E109" i="17"/>
  <c r="E110" i="17"/>
  <c r="E111" i="17"/>
  <c r="E112" i="17"/>
  <c r="E113" i="17"/>
  <c r="E114" i="17"/>
  <c r="E115" i="17"/>
  <c r="E116" i="17"/>
  <c r="E117" i="17"/>
  <c r="E118" i="17"/>
  <c r="E119" i="17"/>
  <c r="E120" i="17"/>
  <c r="E121" i="17"/>
  <c r="E122" i="17"/>
  <c r="E123" i="17"/>
  <c r="E124" i="17"/>
  <c r="E125" i="17"/>
  <c r="E126" i="17"/>
  <c r="E127" i="17"/>
  <c r="E128" i="17"/>
  <c r="E129" i="17"/>
  <c r="E130" i="17"/>
  <c r="E131" i="17"/>
  <c r="E132" i="17"/>
  <c r="E133" i="17"/>
  <c r="E134" i="17"/>
  <c r="E135" i="17"/>
  <c r="E136" i="17"/>
  <c r="E137" i="17"/>
  <c r="E138" i="17"/>
  <c r="E139" i="17"/>
  <c r="E140" i="17"/>
  <c r="E141" i="17"/>
  <c r="E142" i="17"/>
  <c r="E143" i="17"/>
  <c r="E144" i="17"/>
  <c r="E145" i="17"/>
  <c r="E146" i="17"/>
  <c r="E147" i="17"/>
  <c r="E148" i="17"/>
  <c r="E149" i="17"/>
  <c r="E150" i="17"/>
  <c r="E151" i="17"/>
  <c r="E152" i="17"/>
  <c r="E153" i="17"/>
  <c r="E154" i="17"/>
  <c r="E155" i="17"/>
  <c r="E156" i="17"/>
  <c r="E157" i="17"/>
  <c r="E158" i="17"/>
  <c r="E159" i="17"/>
  <c r="E160" i="17"/>
  <c r="E161" i="17"/>
  <c r="E162" i="17"/>
  <c r="E163" i="17"/>
  <c r="E164" i="17"/>
  <c r="E165" i="17"/>
  <c r="E166" i="17"/>
  <c r="E167" i="17"/>
  <c r="E168" i="17"/>
  <c r="E169" i="17"/>
  <c r="E170" i="17"/>
  <c r="E171" i="17"/>
  <c r="E172" i="17"/>
  <c r="E173" i="17"/>
  <c r="E174" i="17"/>
  <c r="E175" i="17"/>
  <c r="E176" i="17"/>
  <c r="E177" i="17"/>
  <c r="E178" i="17"/>
  <c r="E179" i="17"/>
  <c r="E180" i="17"/>
  <c r="E181" i="17"/>
  <c r="E182" i="17"/>
  <c r="E183" i="17"/>
  <c r="E184" i="17"/>
  <c r="E185" i="17"/>
  <c r="E186" i="17"/>
  <c r="E187" i="17"/>
  <c r="E188" i="17"/>
  <c r="E189" i="17"/>
  <c r="E190" i="17"/>
  <c r="E191" i="17"/>
  <c r="E192" i="17"/>
  <c r="E193" i="17"/>
  <c r="E194" i="17"/>
  <c r="E195" i="17"/>
  <c r="E196" i="17"/>
  <c r="E197" i="17"/>
  <c r="E198" i="17"/>
  <c r="E199" i="17"/>
  <c r="E200" i="17"/>
  <c r="E201" i="17"/>
  <c r="E202" i="17"/>
  <c r="E203" i="17"/>
  <c r="E204" i="17"/>
  <c r="E205" i="17"/>
  <c r="E206" i="17"/>
  <c r="E207" i="17"/>
  <c r="E208" i="17"/>
  <c r="E209" i="17"/>
  <c r="E210" i="17"/>
  <c r="E211" i="17"/>
  <c r="E212" i="17"/>
  <c r="E213" i="17"/>
  <c r="E214" i="17"/>
  <c r="E215" i="17"/>
  <c r="E216" i="17"/>
  <c r="E217" i="17"/>
  <c r="E218" i="17"/>
  <c r="E219" i="17"/>
  <c r="E220" i="17"/>
  <c r="E221" i="17"/>
  <c r="E222" i="17"/>
  <c r="E223" i="17"/>
  <c r="E224" i="17"/>
  <c r="E225" i="17"/>
  <c r="E226" i="17"/>
  <c r="E227" i="17"/>
  <c r="E228" i="17"/>
  <c r="E229" i="17"/>
  <c r="E230" i="17"/>
  <c r="E231" i="17"/>
  <c r="E232" i="17"/>
  <c r="E233" i="17"/>
  <c r="E234" i="17"/>
  <c r="E235" i="17"/>
  <c r="E236" i="17"/>
  <c r="E237" i="17"/>
  <c r="E238" i="17"/>
  <c r="E239" i="17"/>
  <c r="E240" i="17"/>
  <c r="E241" i="17"/>
  <c r="E242" i="17"/>
  <c r="E243" i="17"/>
  <c r="E244" i="17"/>
  <c r="E245" i="17"/>
  <c r="E246" i="17"/>
  <c r="E247" i="17"/>
  <c r="E248" i="17"/>
  <c r="E249" i="17"/>
  <c r="E250" i="17"/>
  <c r="E251" i="17"/>
  <c r="E252" i="17"/>
  <c r="E253" i="17"/>
  <c r="E254" i="17"/>
  <c r="E255" i="17"/>
  <c r="E256" i="17"/>
  <c r="E257" i="17"/>
  <c r="E258" i="17"/>
  <c r="E259" i="17"/>
  <c r="E260" i="17"/>
  <c r="E261" i="17"/>
  <c r="E262" i="17"/>
  <c r="E263" i="17"/>
  <c r="E264" i="17"/>
  <c r="E265" i="17"/>
  <c r="E266" i="17"/>
  <c r="E267" i="17"/>
  <c r="E268" i="17"/>
  <c r="E269" i="17"/>
  <c r="E270" i="17"/>
  <c r="E271" i="17"/>
  <c r="E272" i="17"/>
  <c r="E273" i="17"/>
  <c r="E274" i="17"/>
  <c r="E275" i="17"/>
  <c r="E276" i="17"/>
  <c r="E277" i="17"/>
  <c r="E278" i="17"/>
  <c r="E279" i="17"/>
  <c r="E280" i="17"/>
  <c r="E281" i="17"/>
  <c r="E282" i="17"/>
  <c r="E283" i="17"/>
  <c r="E284" i="17"/>
  <c r="E285" i="17"/>
  <c r="E286" i="17"/>
  <c r="E287" i="17"/>
  <c r="E288" i="17"/>
  <c r="E289" i="17"/>
  <c r="E290" i="17"/>
  <c r="E291" i="17"/>
  <c r="E292" i="17"/>
  <c r="E293" i="17"/>
  <c r="E294" i="17"/>
  <c r="E295" i="17"/>
  <c r="E296" i="17"/>
  <c r="E297" i="17"/>
  <c r="E298" i="17"/>
  <c r="E299" i="17"/>
  <c r="E300" i="17"/>
  <c r="E301" i="17"/>
  <c r="E302" i="17"/>
  <c r="E303" i="17"/>
  <c r="E304" i="17"/>
  <c r="E305" i="17"/>
  <c r="E306" i="17"/>
  <c r="E307" i="17"/>
  <c r="E308" i="17"/>
  <c r="E309" i="17"/>
  <c r="E310" i="17"/>
  <c r="E311" i="17"/>
  <c r="E312" i="17"/>
  <c r="E313" i="17"/>
  <c r="E314" i="17"/>
  <c r="E315" i="17"/>
  <c r="E316" i="17"/>
  <c r="E317" i="17"/>
  <c r="E318" i="17"/>
  <c r="E319" i="17"/>
  <c r="E320" i="17"/>
  <c r="E321" i="17"/>
  <c r="E322" i="17"/>
  <c r="E323" i="17"/>
  <c r="E324" i="17"/>
  <c r="E325" i="17"/>
  <c r="E326" i="17"/>
  <c r="E327" i="17"/>
  <c r="E328" i="17"/>
  <c r="E329" i="17"/>
  <c r="E330" i="17"/>
  <c r="E331" i="17"/>
  <c r="E332" i="17"/>
  <c r="E333" i="17"/>
  <c r="E334" i="17"/>
  <c r="E335" i="17"/>
  <c r="E336" i="17"/>
  <c r="E337" i="17"/>
  <c r="E338" i="17"/>
  <c r="E339" i="17"/>
  <c r="E340" i="17"/>
  <c r="E341" i="17"/>
  <c r="E342" i="17"/>
  <c r="E343" i="17"/>
  <c r="E344" i="17"/>
  <c r="E345" i="17"/>
  <c r="E346" i="17"/>
  <c r="E347" i="17"/>
  <c r="E348" i="17"/>
  <c r="E349" i="17"/>
  <c r="E350" i="17"/>
  <c r="E351" i="17"/>
  <c r="E352" i="17"/>
  <c r="E353" i="17"/>
  <c r="E354" i="17"/>
  <c r="E355" i="17"/>
  <c r="E356" i="17"/>
  <c r="E357" i="17"/>
  <c r="E358" i="17"/>
  <c r="E359" i="17"/>
  <c r="E360" i="17"/>
  <c r="E361" i="17"/>
  <c r="E362" i="17"/>
  <c r="E363" i="17"/>
  <c r="E364" i="17"/>
  <c r="E365" i="17"/>
  <c r="E366" i="17"/>
  <c r="E367" i="17"/>
  <c r="E368" i="17"/>
  <c r="E369" i="17"/>
  <c r="E370" i="17"/>
  <c r="E371" i="17"/>
  <c r="E372" i="17"/>
  <c r="E373" i="17"/>
  <c r="E374" i="17"/>
  <c r="E375" i="17"/>
  <c r="E376" i="17"/>
  <c r="E377" i="17"/>
  <c r="E378" i="17"/>
  <c r="E379" i="17"/>
  <c r="E380" i="17"/>
  <c r="E381" i="17"/>
  <c r="E382" i="17"/>
  <c r="E383" i="17"/>
  <c r="E384" i="17"/>
  <c r="E385" i="17"/>
  <c r="E386" i="17"/>
  <c r="E387" i="17"/>
  <c r="E388" i="17"/>
  <c r="E389" i="17"/>
  <c r="E390" i="17"/>
  <c r="E391" i="17"/>
  <c r="E392" i="17"/>
  <c r="E393" i="17"/>
  <c r="E394" i="17"/>
  <c r="E395" i="17"/>
  <c r="E396" i="17"/>
  <c r="E397" i="17"/>
  <c r="E398" i="17"/>
  <c r="E399" i="17"/>
  <c r="E400" i="17"/>
  <c r="E401" i="17"/>
  <c r="E402" i="17"/>
  <c r="E403" i="17"/>
  <c r="E404" i="17"/>
  <c r="E405" i="17"/>
  <c r="E406" i="17"/>
  <c r="E407" i="17"/>
  <c r="E408" i="17"/>
  <c r="E409" i="17"/>
  <c r="E410" i="17"/>
  <c r="E411" i="17"/>
  <c r="E412" i="17"/>
  <c r="E413" i="17"/>
  <c r="E414" i="17"/>
  <c r="E415" i="17"/>
  <c r="E416" i="17"/>
  <c r="E417" i="17"/>
  <c r="E418" i="17"/>
  <c r="E419" i="17"/>
  <c r="E420" i="17"/>
  <c r="E421" i="17"/>
  <c r="E422" i="17"/>
  <c r="E423" i="17"/>
  <c r="E424" i="17"/>
  <c r="E425" i="17"/>
  <c r="E426" i="17"/>
  <c r="E427" i="17"/>
  <c r="E428" i="17"/>
  <c r="E429" i="17"/>
  <c r="E430" i="17"/>
  <c r="E431" i="17"/>
  <c r="E432" i="17"/>
  <c r="E433" i="17"/>
  <c r="E434" i="17"/>
  <c r="E435" i="17"/>
  <c r="E436" i="17"/>
  <c r="E437" i="17"/>
  <c r="E438" i="17"/>
  <c r="E439" i="17"/>
  <c r="E440" i="17"/>
  <c r="E441" i="17"/>
  <c r="E442" i="17"/>
  <c r="E443" i="17"/>
  <c r="E444" i="17"/>
  <c r="E445" i="17"/>
  <c r="E446" i="17"/>
  <c r="E447" i="17"/>
  <c r="E448" i="17"/>
  <c r="E449" i="17"/>
  <c r="E450" i="17"/>
  <c r="E451" i="17"/>
  <c r="E452" i="17"/>
  <c r="E453" i="17"/>
  <c r="E454" i="17"/>
  <c r="E455" i="17"/>
  <c r="E456" i="17"/>
  <c r="E457" i="17"/>
  <c r="E458" i="17"/>
  <c r="E459" i="17"/>
  <c r="E460" i="17"/>
  <c r="E461" i="17"/>
  <c r="E462" i="17"/>
  <c r="E463" i="17"/>
  <c r="E464" i="17"/>
  <c r="E465" i="17"/>
  <c r="E466" i="17"/>
  <c r="E467" i="17"/>
  <c r="E468" i="17"/>
  <c r="E469" i="17"/>
  <c r="E470" i="17"/>
  <c r="E471" i="17"/>
  <c r="E472" i="17"/>
  <c r="E473" i="17"/>
  <c r="E474" i="17"/>
  <c r="E475" i="17"/>
  <c r="E476" i="17"/>
  <c r="E477" i="17"/>
  <c r="E478" i="17"/>
  <c r="E479" i="17"/>
  <c r="E480" i="17"/>
  <c r="E481" i="17"/>
  <c r="E482" i="17"/>
  <c r="E483" i="17"/>
  <c r="E484" i="17"/>
  <c r="E485" i="17"/>
  <c r="E486" i="17"/>
  <c r="E487" i="17"/>
  <c r="E488" i="17"/>
  <c r="E489" i="17"/>
  <c r="E490" i="17"/>
  <c r="E491" i="17"/>
  <c r="E492" i="17"/>
  <c r="E493" i="17"/>
  <c r="E494" i="17"/>
  <c r="E495" i="17"/>
  <c r="E496" i="17"/>
  <c r="E497" i="17"/>
  <c r="E498" i="17"/>
  <c r="E499" i="17"/>
  <c r="E500" i="17"/>
  <c r="E501" i="17"/>
  <c r="E502" i="17"/>
  <c r="E503" i="17"/>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E710" i="17"/>
  <c r="E711" i="17"/>
  <c r="E712" i="17"/>
  <c r="E713" i="17"/>
  <c r="E714" i="17"/>
  <c r="E715" i="17"/>
  <c r="E716" i="17"/>
  <c r="E717" i="17"/>
  <c r="E718" i="17"/>
  <c r="E719" i="17"/>
  <c r="E720" i="17"/>
  <c r="E721" i="17"/>
  <c r="E722" i="17"/>
  <c r="E723" i="17"/>
  <c r="E724" i="17"/>
  <c r="E725" i="17"/>
  <c r="E726" i="17"/>
  <c r="E727" i="17"/>
  <c r="E728" i="17"/>
  <c r="E729" i="17"/>
  <c r="E730" i="17"/>
  <c r="E731" i="17"/>
  <c r="E732" i="17"/>
  <c r="E733" i="17"/>
  <c r="E734" i="17"/>
  <c r="E735" i="17"/>
  <c r="E736" i="17"/>
  <c r="E737" i="17"/>
  <c r="E738" i="17"/>
  <c r="E739" i="17"/>
  <c r="E740" i="17"/>
  <c r="E741" i="17"/>
  <c r="E742" i="17"/>
  <c r="E743" i="17"/>
  <c r="E744" i="17"/>
  <c r="E745" i="17"/>
  <c r="E746" i="17"/>
  <c r="E747" i="17"/>
  <c r="E748" i="17"/>
  <c r="E749" i="17"/>
  <c r="E750" i="17"/>
  <c r="E751" i="17"/>
  <c r="E752" i="17"/>
  <c r="E753" i="17"/>
  <c r="E754" i="17"/>
  <c r="E755" i="17"/>
  <c r="E756" i="17"/>
  <c r="E757" i="17"/>
  <c r="E758" i="17"/>
  <c r="E759" i="17"/>
  <c r="E760" i="17"/>
  <c r="E761" i="17"/>
  <c r="E762" i="17"/>
  <c r="E763" i="17"/>
  <c r="E764" i="17"/>
  <c r="E765" i="17"/>
  <c r="E766" i="17"/>
  <c r="E767" i="17"/>
  <c r="E768" i="17"/>
  <c r="E769" i="17"/>
  <c r="E770" i="17"/>
  <c r="E771" i="17"/>
  <c r="E772" i="17"/>
  <c r="E773" i="17"/>
  <c r="E774" i="17"/>
  <c r="E775" i="17"/>
  <c r="E776" i="17"/>
  <c r="E777" i="17"/>
  <c r="E778" i="17"/>
  <c r="E779" i="17"/>
  <c r="E780" i="17"/>
  <c r="E781" i="17"/>
  <c r="E782" i="17"/>
  <c r="E783" i="17"/>
  <c r="E784" i="17"/>
  <c r="E785" i="17"/>
  <c r="E786" i="17"/>
  <c r="E787" i="17"/>
  <c r="E788" i="17"/>
  <c r="E789" i="17"/>
  <c r="E790" i="17"/>
  <c r="E791" i="17"/>
  <c r="E792" i="17"/>
  <c r="E793" i="17"/>
  <c r="E794" i="17"/>
  <c r="E795" i="17"/>
  <c r="E796" i="17"/>
  <c r="E797" i="17"/>
  <c r="E798" i="17"/>
  <c r="E799" i="17"/>
  <c r="E800" i="17"/>
  <c r="E801" i="17"/>
  <c r="E802" i="17"/>
  <c r="E803" i="17"/>
  <c r="E804" i="17"/>
  <c r="E805" i="17"/>
  <c r="E806" i="17"/>
  <c r="E807" i="17"/>
  <c r="E808" i="17"/>
  <c r="E809" i="17"/>
  <c r="E810" i="17"/>
  <c r="E811" i="17"/>
  <c r="E812" i="17"/>
  <c r="E813" i="17"/>
  <c r="E814" i="17"/>
  <c r="E815" i="17"/>
  <c r="E816" i="17"/>
  <c r="E817" i="17"/>
  <c r="E818" i="17"/>
  <c r="E819" i="17"/>
  <c r="E820" i="17"/>
  <c r="E821" i="17"/>
  <c r="E822" i="17"/>
  <c r="E823" i="17"/>
  <c r="E824" i="17"/>
  <c r="E825" i="17"/>
  <c r="E826" i="17"/>
  <c r="E827" i="17"/>
  <c r="E828" i="17"/>
  <c r="E829" i="17"/>
  <c r="E830" i="17"/>
  <c r="E831" i="17"/>
  <c r="E832" i="17"/>
  <c r="E833" i="17"/>
  <c r="E834" i="17"/>
  <c r="E835" i="17"/>
  <c r="E836" i="17"/>
  <c r="E837" i="17"/>
  <c r="E838" i="17"/>
  <c r="E839" i="17"/>
  <c r="E840" i="17"/>
  <c r="E841" i="17"/>
  <c r="E842" i="17"/>
  <c r="E843" i="17"/>
  <c r="E844" i="17"/>
  <c r="E845" i="17"/>
  <c r="E846" i="17"/>
  <c r="E847" i="17"/>
  <c r="E848" i="17"/>
  <c r="E849" i="17"/>
  <c r="E850" i="17"/>
  <c r="E851" i="17"/>
  <c r="E852" i="17"/>
  <c r="E853" i="17"/>
  <c r="E854" i="17"/>
  <c r="E855" i="17"/>
  <c r="E856" i="17"/>
  <c r="E857" i="17"/>
  <c r="E858" i="17"/>
  <c r="E859" i="17"/>
  <c r="E860" i="17"/>
  <c r="E861" i="17"/>
  <c r="E862" i="17"/>
  <c r="E863" i="17"/>
  <c r="E864" i="17"/>
  <c r="E865" i="17"/>
  <c r="E866" i="17"/>
  <c r="E867" i="17"/>
  <c r="E868" i="17"/>
  <c r="E869" i="17"/>
  <c r="E870" i="17"/>
  <c r="E871" i="17"/>
  <c r="E872" i="17"/>
  <c r="E873" i="17"/>
  <c r="E874" i="17"/>
  <c r="E875" i="17"/>
  <c r="E876" i="17"/>
  <c r="E877" i="17"/>
  <c r="E878" i="17"/>
  <c r="E879" i="17"/>
  <c r="E880" i="17"/>
  <c r="E881" i="17"/>
  <c r="E882" i="17"/>
  <c r="E883" i="17"/>
  <c r="E884" i="17"/>
  <c r="E885" i="17"/>
  <c r="E886" i="17"/>
  <c r="E887" i="17"/>
  <c r="E888" i="17"/>
  <c r="E889" i="17"/>
  <c r="E890" i="17"/>
  <c r="E891" i="17"/>
  <c r="E892" i="17"/>
  <c r="E893" i="17"/>
  <c r="E894" i="17"/>
  <c r="E895" i="17"/>
  <c r="E896" i="17"/>
  <c r="E897" i="17"/>
  <c r="E898" i="17"/>
  <c r="E899" i="17"/>
  <c r="E900" i="17"/>
  <c r="E901" i="17"/>
  <c r="E902" i="17"/>
  <c r="E903" i="17"/>
  <c r="E904" i="17"/>
  <c r="E905" i="17"/>
  <c r="E906" i="17"/>
  <c r="E907" i="17"/>
  <c r="E908" i="17"/>
  <c r="E909" i="17"/>
  <c r="E910" i="17"/>
  <c r="E911" i="17"/>
  <c r="E912" i="17"/>
  <c r="E913" i="17"/>
  <c r="E914" i="17"/>
  <c r="E915" i="17"/>
  <c r="E916" i="17"/>
  <c r="E917" i="17"/>
  <c r="E918" i="17"/>
  <c r="E919" i="17"/>
  <c r="E920" i="17"/>
  <c r="E921" i="17"/>
  <c r="E922" i="17"/>
  <c r="E923" i="17"/>
  <c r="E924" i="17"/>
  <c r="E925" i="17"/>
  <c r="E926" i="17"/>
  <c r="E927" i="17"/>
  <c r="E928" i="17"/>
  <c r="E929" i="17"/>
  <c r="E930" i="17"/>
  <c r="E931" i="17"/>
  <c r="E932" i="17"/>
  <c r="E933" i="17"/>
  <c r="E934" i="17"/>
  <c r="E935" i="17"/>
  <c r="E936" i="17"/>
  <c r="E937" i="17"/>
  <c r="E938" i="17"/>
  <c r="E939" i="17"/>
  <c r="E940" i="17"/>
  <c r="E941" i="17"/>
  <c r="E942" i="17"/>
  <c r="E943" i="17"/>
  <c r="E944" i="17"/>
  <c r="E945" i="17"/>
  <c r="E946" i="17"/>
  <c r="E947" i="17"/>
  <c r="E948" i="17"/>
  <c r="E949" i="17"/>
  <c r="E950" i="17"/>
  <c r="E951" i="17"/>
  <c r="E952" i="17"/>
  <c r="E953" i="17"/>
  <c r="E954" i="17"/>
  <c r="E955" i="17"/>
  <c r="E956" i="17"/>
  <c r="E957" i="17"/>
  <c r="E958" i="17"/>
  <c r="E959" i="17"/>
  <c r="E960" i="17"/>
  <c r="E961" i="17"/>
  <c r="E962" i="17"/>
  <c r="E963" i="17"/>
  <c r="E964" i="17"/>
  <c r="E965" i="17"/>
  <c r="E966" i="17"/>
  <c r="E967" i="17"/>
  <c r="E968" i="17"/>
  <c r="E969" i="17"/>
  <c r="E970" i="17"/>
  <c r="E971" i="17"/>
  <c r="E972" i="17"/>
  <c r="E973" i="17"/>
  <c r="E974" i="17"/>
  <c r="E975" i="17"/>
  <c r="E976" i="17"/>
  <c r="E977" i="17"/>
  <c r="E978" i="17"/>
  <c r="E979" i="17"/>
  <c r="E980" i="17"/>
  <c r="E981" i="17"/>
  <c r="E982" i="17"/>
  <c r="E983" i="17"/>
  <c r="E984" i="17"/>
  <c r="E985" i="17"/>
  <c r="E986" i="17"/>
  <c r="E987" i="17"/>
  <c r="E988" i="17"/>
  <c r="E989" i="17"/>
  <c r="E990" i="17"/>
  <c r="E991" i="17"/>
  <c r="E992" i="17"/>
  <c r="E993" i="17"/>
  <c r="E994" i="17"/>
  <c r="E995" i="17"/>
  <c r="E996" i="17"/>
  <c r="E997" i="17"/>
  <c r="E998" i="17"/>
  <c r="E999" i="17"/>
  <c r="E1000" i="17"/>
  <c r="E1001" i="17"/>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8"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E2" i="17"/>
  <c r="D2" i="17"/>
  <c r="C2" i="17"/>
  <c r="Q61" i="17"/>
  <c r="Q65" i="17"/>
  <c r="Q74" i="17"/>
  <c r="Q97" i="17"/>
  <c r="Q267" i="17"/>
  <c r="Q277" i="17"/>
  <c r="Q278" i="17"/>
  <c r="Q280" i="17"/>
  <c r="Q340" i="17"/>
  <c r="Q349" i="17"/>
  <c r="Q371" i="17"/>
  <c r="Q447" i="17"/>
  <c r="Q547" i="17"/>
  <c r="Q548" i="17"/>
  <c r="Q605" i="17"/>
  <c r="Q610" i="17"/>
  <c r="Q618" i="17"/>
  <c r="Q668" i="17"/>
  <c r="Q695" i="17"/>
  <c r="Q709" i="17"/>
  <c r="Q712" i="17"/>
  <c r="Q817" i="17"/>
  <c r="Q893" i="17"/>
  <c r="Q894" i="17"/>
  <c r="Q895" i="17"/>
  <c r="Q943" i="17"/>
  <c r="Q947" i="17"/>
  <c r="Q965" i="17"/>
  <c r="Q966" i="17"/>
  <c r="P3" i="17"/>
  <c r="Q3" i="17" s="1"/>
  <c r="P4" i="17"/>
  <c r="Q4" i="17" s="1"/>
  <c r="P5" i="17"/>
  <c r="Q5" i="17" s="1"/>
  <c r="P6" i="17"/>
  <c r="Q6" i="17" s="1"/>
  <c r="P7" i="17"/>
  <c r="Q7" i="17" s="1"/>
  <c r="P8" i="17"/>
  <c r="Q8" i="17" s="1"/>
  <c r="P9" i="17"/>
  <c r="Q9" i="17" s="1"/>
  <c r="P10" i="17"/>
  <c r="Q10" i="17" s="1"/>
  <c r="P11" i="17"/>
  <c r="Q11" i="17" s="1"/>
  <c r="P12" i="17"/>
  <c r="Q12" i="17" s="1"/>
  <c r="P13" i="17"/>
  <c r="Q13" i="17" s="1"/>
  <c r="P14" i="17"/>
  <c r="Q14" i="17" s="1"/>
  <c r="P15" i="17"/>
  <c r="Q15" i="17" s="1"/>
  <c r="P16" i="17"/>
  <c r="Q16" i="17" s="1"/>
  <c r="P17" i="17"/>
  <c r="Q17" i="17" s="1"/>
  <c r="P18" i="17"/>
  <c r="Q18" i="17" s="1"/>
  <c r="P19" i="17"/>
  <c r="Q19" i="17" s="1"/>
  <c r="P20" i="17"/>
  <c r="Q20" i="17" s="1"/>
  <c r="P21" i="17"/>
  <c r="Q21" i="17" s="1"/>
  <c r="P22" i="17"/>
  <c r="Q22" i="17" s="1"/>
  <c r="P23" i="17"/>
  <c r="Q23" i="17" s="1"/>
  <c r="P24" i="17"/>
  <c r="Q24" i="17" s="1"/>
  <c r="P25" i="17"/>
  <c r="Q25" i="17" s="1"/>
  <c r="P26" i="17"/>
  <c r="Q26" i="17" s="1"/>
  <c r="P27" i="17"/>
  <c r="Q27" i="17" s="1"/>
  <c r="P28" i="17"/>
  <c r="Q28" i="17" s="1"/>
  <c r="P29" i="17"/>
  <c r="Q29" i="17" s="1"/>
  <c r="P30" i="17"/>
  <c r="Q30" i="17" s="1"/>
  <c r="P31" i="17"/>
  <c r="Q31" i="17" s="1"/>
  <c r="P32" i="17"/>
  <c r="Q32" i="17" s="1"/>
  <c r="P33" i="17"/>
  <c r="Q33" i="17" s="1"/>
  <c r="P34" i="17"/>
  <c r="Q34" i="17" s="1"/>
  <c r="P35" i="17"/>
  <c r="Q35" i="17" s="1"/>
  <c r="P36" i="17"/>
  <c r="Q36" i="17" s="1"/>
  <c r="P37" i="17"/>
  <c r="Q37" i="17" s="1"/>
  <c r="P38" i="17"/>
  <c r="Q38" i="17" s="1"/>
  <c r="P39" i="17"/>
  <c r="Q39" i="17" s="1"/>
  <c r="P40" i="17"/>
  <c r="Q40" i="17" s="1"/>
  <c r="P41" i="17"/>
  <c r="Q41" i="17" s="1"/>
  <c r="P42" i="17"/>
  <c r="Q42" i="17" s="1"/>
  <c r="P43" i="17"/>
  <c r="Q43" i="17" s="1"/>
  <c r="P44" i="17"/>
  <c r="Q44" i="17" s="1"/>
  <c r="P45" i="17"/>
  <c r="Q45" i="17" s="1"/>
  <c r="P46" i="17"/>
  <c r="Q46" i="17" s="1"/>
  <c r="P47" i="17"/>
  <c r="Q47" i="17" s="1"/>
  <c r="P48" i="17"/>
  <c r="Q48" i="17" s="1"/>
  <c r="P49" i="17"/>
  <c r="Q49" i="17" s="1"/>
  <c r="P50" i="17"/>
  <c r="Q50" i="17" s="1"/>
  <c r="P51" i="17"/>
  <c r="Q51" i="17" s="1"/>
  <c r="P52" i="17"/>
  <c r="Q52" i="17" s="1"/>
  <c r="P53" i="17"/>
  <c r="Q53" i="17" s="1"/>
  <c r="P54" i="17"/>
  <c r="Q54" i="17" s="1"/>
  <c r="P55" i="17"/>
  <c r="Q55" i="17" s="1"/>
  <c r="P56" i="17"/>
  <c r="Q56" i="17" s="1"/>
  <c r="P57" i="17"/>
  <c r="Q57" i="17" s="1"/>
  <c r="P58" i="17"/>
  <c r="Q58" i="17" s="1"/>
  <c r="P59" i="17"/>
  <c r="Q59" i="17" s="1"/>
  <c r="P60" i="17"/>
  <c r="Q60" i="17" s="1"/>
  <c r="P61" i="17"/>
  <c r="P62" i="17"/>
  <c r="Q62" i="17" s="1"/>
  <c r="P63" i="17"/>
  <c r="Q63" i="17" s="1"/>
  <c r="P64" i="17"/>
  <c r="Q64" i="17" s="1"/>
  <c r="P65" i="17"/>
  <c r="P66" i="17"/>
  <c r="Q66" i="17" s="1"/>
  <c r="P67" i="17"/>
  <c r="Q67" i="17" s="1"/>
  <c r="P68" i="17"/>
  <c r="Q68" i="17" s="1"/>
  <c r="P69" i="17"/>
  <c r="Q69" i="17" s="1"/>
  <c r="P70" i="17"/>
  <c r="Q70" i="17" s="1"/>
  <c r="P71" i="17"/>
  <c r="Q71" i="17" s="1"/>
  <c r="P72" i="17"/>
  <c r="Q72" i="17" s="1"/>
  <c r="P73" i="17"/>
  <c r="Q73" i="17" s="1"/>
  <c r="P74" i="17"/>
  <c r="P75" i="17"/>
  <c r="Q75" i="17" s="1"/>
  <c r="P76" i="17"/>
  <c r="Q76" i="17" s="1"/>
  <c r="P77" i="17"/>
  <c r="Q77" i="17" s="1"/>
  <c r="P78" i="17"/>
  <c r="Q78" i="17" s="1"/>
  <c r="P79" i="17"/>
  <c r="Q79" i="17" s="1"/>
  <c r="P80" i="17"/>
  <c r="Q80" i="17" s="1"/>
  <c r="P81" i="17"/>
  <c r="Q81" i="17" s="1"/>
  <c r="P82" i="17"/>
  <c r="Q82" i="17" s="1"/>
  <c r="P83" i="17"/>
  <c r="Q83" i="17" s="1"/>
  <c r="P84" i="17"/>
  <c r="Q84" i="17" s="1"/>
  <c r="P85" i="17"/>
  <c r="Q85" i="17" s="1"/>
  <c r="P86" i="17"/>
  <c r="Q86" i="17" s="1"/>
  <c r="P87" i="17"/>
  <c r="Q87" i="17" s="1"/>
  <c r="P88" i="17"/>
  <c r="Q88" i="17" s="1"/>
  <c r="P89" i="17"/>
  <c r="Q89" i="17" s="1"/>
  <c r="P90" i="17"/>
  <c r="Q90" i="17" s="1"/>
  <c r="P91" i="17"/>
  <c r="Q91" i="17" s="1"/>
  <c r="P92" i="17"/>
  <c r="Q92" i="17" s="1"/>
  <c r="P93" i="17"/>
  <c r="Q93" i="17" s="1"/>
  <c r="P94" i="17"/>
  <c r="Q94" i="17" s="1"/>
  <c r="P95" i="17"/>
  <c r="Q95" i="17" s="1"/>
  <c r="P96" i="17"/>
  <c r="Q96" i="17" s="1"/>
  <c r="P97" i="17"/>
  <c r="P98" i="17"/>
  <c r="Q98" i="17" s="1"/>
  <c r="P99" i="17"/>
  <c r="Q99" i="17" s="1"/>
  <c r="P100" i="17"/>
  <c r="Q100" i="17" s="1"/>
  <c r="P101" i="17"/>
  <c r="Q101" i="17" s="1"/>
  <c r="P102" i="17"/>
  <c r="Q102" i="17" s="1"/>
  <c r="P103" i="17"/>
  <c r="Q103" i="17" s="1"/>
  <c r="P104" i="17"/>
  <c r="Q104" i="17" s="1"/>
  <c r="P105" i="17"/>
  <c r="Q105" i="17" s="1"/>
  <c r="P106" i="17"/>
  <c r="Q106" i="17" s="1"/>
  <c r="P107" i="17"/>
  <c r="Q107" i="17" s="1"/>
  <c r="P108" i="17"/>
  <c r="Q108" i="17" s="1"/>
  <c r="P109" i="17"/>
  <c r="Q109" i="17" s="1"/>
  <c r="P110" i="17"/>
  <c r="Q110" i="17" s="1"/>
  <c r="P111" i="17"/>
  <c r="Q111" i="17" s="1"/>
  <c r="P112" i="17"/>
  <c r="Q112" i="17" s="1"/>
  <c r="P113" i="17"/>
  <c r="Q113" i="17" s="1"/>
  <c r="P114" i="17"/>
  <c r="Q114" i="17" s="1"/>
  <c r="P115" i="17"/>
  <c r="Q115" i="17" s="1"/>
  <c r="P116" i="17"/>
  <c r="Q116" i="17" s="1"/>
  <c r="P117" i="17"/>
  <c r="Q117" i="17" s="1"/>
  <c r="P118" i="17"/>
  <c r="Q118" i="17" s="1"/>
  <c r="P119" i="17"/>
  <c r="Q119" i="17" s="1"/>
  <c r="P120" i="17"/>
  <c r="Q120" i="17" s="1"/>
  <c r="P121" i="17"/>
  <c r="Q121" i="17" s="1"/>
  <c r="P122" i="17"/>
  <c r="Q122" i="17" s="1"/>
  <c r="P123" i="17"/>
  <c r="Q123" i="17" s="1"/>
  <c r="P124" i="17"/>
  <c r="Q124" i="17" s="1"/>
  <c r="P125" i="17"/>
  <c r="Q125" i="17" s="1"/>
  <c r="P126" i="17"/>
  <c r="Q126" i="17" s="1"/>
  <c r="P127" i="17"/>
  <c r="Q127" i="17" s="1"/>
  <c r="P128" i="17"/>
  <c r="Q128" i="17" s="1"/>
  <c r="P129" i="17"/>
  <c r="Q129" i="17" s="1"/>
  <c r="P130" i="17"/>
  <c r="Q130" i="17" s="1"/>
  <c r="P131" i="17"/>
  <c r="Q131" i="17" s="1"/>
  <c r="P132" i="17"/>
  <c r="Q132" i="17" s="1"/>
  <c r="P133" i="17"/>
  <c r="Q133" i="17" s="1"/>
  <c r="P134" i="17"/>
  <c r="Q134" i="17" s="1"/>
  <c r="P135" i="17"/>
  <c r="Q135" i="17" s="1"/>
  <c r="P136" i="17"/>
  <c r="Q136" i="17" s="1"/>
  <c r="P137" i="17"/>
  <c r="Q137" i="17" s="1"/>
  <c r="P138" i="17"/>
  <c r="Q138" i="17" s="1"/>
  <c r="P139" i="17"/>
  <c r="Q139" i="17" s="1"/>
  <c r="P140" i="17"/>
  <c r="Q140" i="17" s="1"/>
  <c r="P141" i="17"/>
  <c r="Q141" i="17" s="1"/>
  <c r="P142" i="17"/>
  <c r="Q142" i="17" s="1"/>
  <c r="P143" i="17"/>
  <c r="Q143" i="17" s="1"/>
  <c r="P144" i="17"/>
  <c r="Q144" i="17" s="1"/>
  <c r="P145" i="17"/>
  <c r="Q145" i="17" s="1"/>
  <c r="P146" i="17"/>
  <c r="Q146" i="17" s="1"/>
  <c r="P147" i="17"/>
  <c r="Q147" i="17" s="1"/>
  <c r="P148" i="17"/>
  <c r="Q148" i="17" s="1"/>
  <c r="P149" i="17"/>
  <c r="Q149" i="17" s="1"/>
  <c r="P150" i="17"/>
  <c r="Q150" i="17" s="1"/>
  <c r="P151" i="17"/>
  <c r="Q151" i="17" s="1"/>
  <c r="P152" i="17"/>
  <c r="Q152" i="17" s="1"/>
  <c r="P153" i="17"/>
  <c r="Q153" i="17" s="1"/>
  <c r="P154" i="17"/>
  <c r="Q154" i="17" s="1"/>
  <c r="P155" i="17"/>
  <c r="Q155" i="17" s="1"/>
  <c r="P156" i="17"/>
  <c r="Q156" i="17" s="1"/>
  <c r="P157" i="17"/>
  <c r="Q157" i="17" s="1"/>
  <c r="P158" i="17"/>
  <c r="Q158" i="17" s="1"/>
  <c r="P159" i="17"/>
  <c r="Q159" i="17" s="1"/>
  <c r="P160" i="17"/>
  <c r="Q160" i="17" s="1"/>
  <c r="P161" i="17"/>
  <c r="Q161" i="17" s="1"/>
  <c r="P162" i="17"/>
  <c r="Q162" i="17" s="1"/>
  <c r="P163" i="17"/>
  <c r="Q163" i="17" s="1"/>
  <c r="P164" i="17"/>
  <c r="Q164" i="17" s="1"/>
  <c r="P165" i="17"/>
  <c r="Q165" i="17" s="1"/>
  <c r="P166" i="17"/>
  <c r="Q166" i="17" s="1"/>
  <c r="P167" i="17"/>
  <c r="Q167" i="17" s="1"/>
  <c r="P168" i="17"/>
  <c r="Q168" i="17" s="1"/>
  <c r="P169" i="17"/>
  <c r="Q169" i="17" s="1"/>
  <c r="P170" i="17"/>
  <c r="Q170" i="17" s="1"/>
  <c r="P171" i="17"/>
  <c r="Q171" i="17" s="1"/>
  <c r="P172" i="17"/>
  <c r="Q172" i="17" s="1"/>
  <c r="P173" i="17"/>
  <c r="Q173" i="17" s="1"/>
  <c r="P174" i="17"/>
  <c r="Q174" i="17" s="1"/>
  <c r="P175" i="17"/>
  <c r="Q175" i="17" s="1"/>
  <c r="P176" i="17"/>
  <c r="Q176" i="17" s="1"/>
  <c r="P177" i="17"/>
  <c r="Q177" i="17" s="1"/>
  <c r="P178" i="17"/>
  <c r="Q178" i="17" s="1"/>
  <c r="P179" i="17"/>
  <c r="Q179" i="17" s="1"/>
  <c r="P180" i="17"/>
  <c r="Q180" i="17" s="1"/>
  <c r="P181" i="17"/>
  <c r="Q181" i="17" s="1"/>
  <c r="P182" i="17"/>
  <c r="Q182" i="17" s="1"/>
  <c r="P183" i="17"/>
  <c r="Q183" i="17" s="1"/>
  <c r="P184" i="17"/>
  <c r="Q184" i="17" s="1"/>
  <c r="P185" i="17"/>
  <c r="Q185" i="17" s="1"/>
  <c r="P186" i="17"/>
  <c r="Q186" i="17" s="1"/>
  <c r="P187" i="17"/>
  <c r="Q187" i="17" s="1"/>
  <c r="P188" i="17"/>
  <c r="Q188" i="17" s="1"/>
  <c r="P189" i="17"/>
  <c r="Q189" i="17" s="1"/>
  <c r="P190" i="17"/>
  <c r="Q190" i="17" s="1"/>
  <c r="P191" i="17"/>
  <c r="Q191" i="17" s="1"/>
  <c r="P192" i="17"/>
  <c r="Q192" i="17" s="1"/>
  <c r="P193" i="17"/>
  <c r="Q193" i="17" s="1"/>
  <c r="P194" i="17"/>
  <c r="Q194" i="17" s="1"/>
  <c r="P195" i="17"/>
  <c r="Q195" i="17" s="1"/>
  <c r="P196" i="17"/>
  <c r="Q196" i="17" s="1"/>
  <c r="P197" i="17"/>
  <c r="Q197" i="17" s="1"/>
  <c r="P198" i="17"/>
  <c r="Q198" i="17" s="1"/>
  <c r="P199" i="17"/>
  <c r="Q199" i="17" s="1"/>
  <c r="P200" i="17"/>
  <c r="Q200" i="17" s="1"/>
  <c r="P201" i="17"/>
  <c r="Q201" i="17" s="1"/>
  <c r="P202" i="17"/>
  <c r="Q202" i="17" s="1"/>
  <c r="P203" i="17"/>
  <c r="Q203" i="17" s="1"/>
  <c r="P204" i="17"/>
  <c r="Q204" i="17" s="1"/>
  <c r="P205" i="17"/>
  <c r="Q205" i="17" s="1"/>
  <c r="P206" i="17"/>
  <c r="Q206" i="17" s="1"/>
  <c r="P207" i="17"/>
  <c r="Q207" i="17" s="1"/>
  <c r="P208" i="17"/>
  <c r="Q208" i="17" s="1"/>
  <c r="P209" i="17"/>
  <c r="Q209" i="17" s="1"/>
  <c r="P210" i="17"/>
  <c r="Q210" i="17" s="1"/>
  <c r="P211" i="17"/>
  <c r="Q211" i="17" s="1"/>
  <c r="P212" i="17"/>
  <c r="Q212" i="17" s="1"/>
  <c r="P213" i="17"/>
  <c r="Q213" i="17" s="1"/>
  <c r="P214" i="17"/>
  <c r="Q214" i="17" s="1"/>
  <c r="P215" i="17"/>
  <c r="Q215" i="17" s="1"/>
  <c r="P216" i="17"/>
  <c r="Q216" i="17" s="1"/>
  <c r="P217" i="17"/>
  <c r="Q217" i="17" s="1"/>
  <c r="P218" i="17"/>
  <c r="Q218" i="17" s="1"/>
  <c r="P219" i="17"/>
  <c r="Q219" i="17" s="1"/>
  <c r="P220" i="17"/>
  <c r="Q220" i="17" s="1"/>
  <c r="P221" i="17"/>
  <c r="Q221" i="17" s="1"/>
  <c r="P222" i="17"/>
  <c r="Q222" i="17" s="1"/>
  <c r="P223" i="17"/>
  <c r="Q223" i="17" s="1"/>
  <c r="P224" i="17"/>
  <c r="Q224" i="17" s="1"/>
  <c r="P225" i="17"/>
  <c r="Q225" i="17" s="1"/>
  <c r="P226" i="17"/>
  <c r="Q226" i="17" s="1"/>
  <c r="P227" i="17"/>
  <c r="Q227" i="17" s="1"/>
  <c r="P228" i="17"/>
  <c r="Q228" i="17" s="1"/>
  <c r="P229" i="17"/>
  <c r="Q229" i="17" s="1"/>
  <c r="P230" i="17"/>
  <c r="Q230" i="17" s="1"/>
  <c r="P231" i="17"/>
  <c r="Q231" i="17" s="1"/>
  <c r="P232" i="17"/>
  <c r="Q232" i="17" s="1"/>
  <c r="P233" i="17"/>
  <c r="Q233" i="17" s="1"/>
  <c r="P234" i="17"/>
  <c r="Q234" i="17" s="1"/>
  <c r="P235" i="17"/>
  <c r="Q235" i="17" s="1"/>
  <c r="P236" i="17"/>
  <c r="Q236" i="17" s="1"/>
  <c r="P237" i="17"/>
  <c r="Q237" i="17" s="1"/>
  <c r="P238" i="17"/>
  <c r="Q238" i="17" s="1"/>
  <c r="P239" i="17"/>
  <c r="Q239" i="17" s="1"/>
  <c r="P240" i="17"/>
  <c r="Q240" i="17" s="1"/>
  <c r="P241" i="17"/>
  <c r="Q241" i="17" s="1"/>
  <c r="P242" i="17"/>
  <c r="Q242" i="17" s="1"/>
  <c r="P243" i="17"/>
  <c r="Q243" i="17" s="1"/>
  <c r="P244" i="17"/>
  <c r="Q244" i="17" s="1"/>
  <c r="P245" i="17"/>
  <c r="Q245" i="17" s="1"/>
  <c r="P246" i="17"/>
  <c r="Q246" i="17" s="1"/>
  <c r="P247" i="17"/>
  <c r="Q247" i="17" s="1"/>
  <c r="P248" i="17"/>
  <c r="Q248" i="17" s="1"/>
  <c r="P249" i="17"/>
  <c r="Q249" i="17" s="1"/>
  <c r="P250" i="17"/>
  <c r="Q250" i="17" s="1"/>
  <c r="P251" i="17"/>
  <c r="Q251" i="17" s="1"/>
  <c r="P252" i="17"/>
  <c r="Q252" i="17" s="1"/>
  <c r="P253" i="17"/>
  <c r="Q253" i="17" s="1"/>
  <c r="P254" i="17"/>
  <c r="Q254" i="17" s="1"/>
  <c r="P255" i="17"/>
  <c r="Q255" i="17" s="1"/>
  <c r="P256" i="17"/>
  <c r="Q256" i="17" s="1"/>
  <c r="P257" i="17"/>
  <c r="Q257" i="17" s="1"/>
  <c r="P258" i="17"/>
  <c r="Q258" i="17" s="1"/>
  <c r="P259" i="17"/>
  <c r="Q259" i="17" s="1"/>
  <c r="P260" i="17"/>
  <c r="Q260" i="17" s="1"/>
  <c r="P261" i="17"/>
  <c r="Q261" i="17" s="1"/>
  <c r="P262" i="17"/>
  <c r="Q262" i="17" s="1"/>
  <c r="P263" i="17"/>
  <c r="Q263" i="17" s="1"/>
  <c r="P264" i="17"/>
  <c r="Q264" i="17" s="1"/>
  <c r="P265" i="17"/>
  <c r="Q265" i="17" s="1"/>
  <c r="P266" i="17"/>
  <c r="Q266" i="17" s="1"/>
  <c r="P267" i="17"/>
  <c r="P268" i="17"/>
  <c r="Q268" i="17" s="1"/>
  <c r="P269" i="17"/>
  <c r="Q269" i="17" s="1"/>
  <c r="P270" i="17"/>
  <c r="Q270" i="17" s="1"/>
  <c r="P271" i="17"/>
  <c r="Q271" i="17" s="1"/>
  <c r="P272" i="17"/>
  <c r="Q272" i="17" s="1"/>
  <c r="P273" i="17"/>
  <c r="Q273" i="17" s="1"/>
  <c r="P274" i="17"/>
  <c r="Q274" i="17" s="1"/>
  <c r="P275" i="17"/>
  <c r="Q275" i="17" s="1"/>
  <c r="P276" i="17"/>
  <c r="Q276" i="17" s="1"/>
  <c r="P277" i="17"/>
  <c r="P278" i="17"/>
  <c r="P279" i="17"/>
  <c r="Q279" i="17" s="1"/>
  <c r="P280" i="17"/>
  <c r="P281" i="17"/>
  <c r="Q281" i="17" s="1"/>
  <c r="P282" i="17"/>
  <c r="Q282" i="17" s="1"/>
  <c r="P283" i="17"/>
  <c r="Q283" i="17" s="1"/>
  <c r="P284" i="17"/>
  <c r="Q284" i="17" s="1"/>
  <c r="P285" i="17"/>
  <c r="Q285" i="17" s="1"/>
  <c r="P286" i="17"/>
  <c r="Q286" i="17" s="1"/>
  <c r="P287" i="17"/>
  <c r="Q287" i="17" s="1"/>
  <c r="P288" i="17"/>
  <c r="Q288" i="17" s="1"/>
  <c r="P289" i="17"/>
  <c r="Q289" i="17" s="1"/>
  <c r="P290" i="17"/>
  <c r="Q290" i="17" s="1"/>
  <c r="P291" i="17"/>
  <c r="Q291" i="17" s="1"/>
  <c r="P292" i="17"/>
  <c r="Q292" i="17" s="1"/>
  <c r="P293" i="17"/>
  <c r="Q293" i="17" s="1"/>
  <c r="P294" i="17"/>
  <c r="Q294" i="17" s="1"/>
  <c r="P295" i="17"/>
  <c r="Q295" i="17" s="1"/>
  <c r="P296" i="17"/>
  <c r="Q296" i="17" s="1"/>
  <c r="P297" i="17"/>
  <c r="Q297" i="17" s="1"/>
  <c r="P298" i="17"/>
  <c r="Q298" i="17" s="1"/>
  <c r="P299" i="17"/>
  <c r="Q299" i="17" s="1"/>
  <c r="P300" i="17"/>
  <c r="Q300" i="17" s="1"/>
  <c r="P301" i="17"/>
  <c r="Q301" i="17" s="1"/>
  <c r="P302" i="17"/>
  <c r="Q302" i="17" s="1"/>
  <c r="P303" i="17"/>
  <c r="Q303" i="17" s="1"/>
  <c r="P304" i="17"/>
  <c r="Q304" i="17" s="1"/>
  <c r="P305" i="17"/>
  <c r="Q305" i="17" s="1"/>
  <c r="P306" i="17"/>
  <c r="Q306" i="17" s="1"/>
  <c r="P307" i="17"/>
  <c r="Q307" i="17" s="1"/>
  <c r="P308" i="17"/>
  <c r="Q308" i="17" s="1"/>
  <c r="P309" i="17"/>
  <c r="Q309" i="17" s="1"/>
  <c r="P310" i="17"/>
  <c r="Q310" i="17" s="1"/>
  <c r="P311" i="17"/>
  <c r="Q311" i="17" s="1"/>
  <c r="P312" i="17"/>
  <c r="Q312" i="17" s="1"/>
  <c r="P313" i="17"/>
  <c r="Q313" i="17" s="1"/>
  <c r="P314" i="17"/>
  <c r="Q314" i="17" s="1"/>
  <c r="P315" i="17"/>
  <c r="Q315" i="17" s="1"/>
  <c r="P316" i="17"/>
  <c r="Q316" i="17" s="1"/>
  <c r="P317" i="17"/>
  <c r="Q317" i="17" s="1"/>
  <c r="P318" i="17"/>
  <c r="Q318" i="17" s="1"/>
  <c r="P319" i="17"/>
  <c r="Q319" i="17" s="1"/>
  <c r="P320" i="17"/>
  <c r="Q320" i="17" s="1"/>
  <c r="P321" i="17"/>
  <c r="Q321" i="17" s="1"/>
  <c r="P322" i="17"/>
  <c r="Q322" i="17" s="1"/>
  <c r="P323" i="17"/>
  <c r="Q323" i="17" s="1"/>
  <c r="P324" i="17"/>
  <c r="Q324" i="17" s="1"/>
  <c r="P325" i="17"/>
  <c r="Q325" i="17" s="1"/>
  <c r="P326" i="17"/>
  <c r="Q326" i="17" s="1"/>
  <c r="P327" i="17"/>
  <c r="Q327" i="17" s="1"/>
  <c r="P328" i="17"/>
  <c r="Q328" i="17" s="1"/>
  <c r="P329" i="17"/>
  <c r="Q329" i="17" s="1"/>
  <c r="P330" i="17"/>
  <c r="Q330" i="17" s="1"/>
  <c r="P331" i="17"/>
  <c r="Q331" i="17" s="1"/>
  <c r="P332" i="17"/>
  <c r="Q332" i="17" s="1"/>
  <c r="P333" i="17"/>
  <c r="Q333" i="17" s="1"/>
  <c r="P334" i="17"/>
  <c r="Q334" i="17" s="1"/>
  <c r="P335" i="17"/>
  <c r="Q335" i="17" s="1"/>
  <c r="P336" i="17"/>
  <c r="Q336" i="17" s="1"/>
  <c r="P337" i="17"/>
  <c r="Q337" i="17" s="1"/>
  <c r="P338" i="17"/>
  <c r="Q338" i="17" s="1"/>
  <c r="P339" i="17"/>
  <c r="Q339" i="17" s="1"/>
  <c r="P340" i="17"/>
  <c r="P341" i="17"/>
  <c r="Q341" i="17" s="1"/>
  <c r="P342" i="17"/>
  <c r="Q342" i="17" s="1"/>
  <c r="P343" i="17"/>
  <c r="Q343" i="17" s="1"/>
  <c r="P344" i="17"/>
  <c r="Q344" i="17" s="1"/>
  <c r="P345" i="17"/>
  <c r="Q345" i="17" s="1"/>
  <c r="P346" i="17"/>
  <c r="Q346" i="17" s="1"/>
  <c r="P347" i="17"/>
  <c r="Q347" i="17" s="1"/>
  <c r="P348" i="17"/>
  <c r="Q348" i="17" s="1"/>
  <c r="P349" i="17"/>
  <c r="P350" i="17"/>
  <c r="Q350" i="17" s="1"/>
  <c r="P351" i="17"/>
  <c r="Q351" i="17" s="1"/>
  <c r="P352" i="17"/>
  <c r="Q352" i="17" s="1"/>
  <c r="P353" i="17"/>
  <c r="Q353" i="17" s="1"/>
  <c r="P354" i="17"/>
  <c r="Q354" i="17" s="1"/>
  <c r="P355" i="17"/>
  <c r="Q355" i="17" s="1"/>
  <c r="P356" i="17"/>
  <c r="Q356" i="17" s="1"/>
  <c r="P357" i="17"/>
  <c r="Q357" i="17" s="1"/>
  <c r="P358" i="17"/>
  <c r="Q358" i="17" s="1"/>
  <c r="P359" i="17"/>
  <c r="Q359" i="17" s="1"/>
  <c r="P360" i="17"/>
  <c r="Q360" i="17" s="1"/>
  <c r="P361" i="17"/>
  <c r="Q361" i="17" s="1"/>
  <c r="P362" i="17"/>
  <c r="Q362" i="17" s="1"/>
  <c r="P363" i="17"/>
  <c r="Q363" i="17" s="1"/>
  <c r="P364" i="17"/>
  <c r="Q364" i="17" s="1"/>
  <c r="P365" i="17"/>
  <c r="Q365" i="17" s="1"/>
  <c r="P366" i="17"/>
  <c r="Q366" i="17" s="1"/>
  <c r="P367" i="17"/>
  <c r="Q367" i="17" s="1"/>
  <c r="P368" i="17"/>
  <c r="Q368" i="17" s="1"/>
  <c r="P369" i="17"/>
  <c r="Q369" i="17" s="1"/>
  <c r="P370" i="17"/>
  <c r="Q370" i="17" s="1"/>
  <c r="P371" i="17"/>
  <c r="P372" i="17"/>
  <c r="Q372" i="17" s="1"/>
  <c r="P373" i="17"/>
  <c r="Q373" i="17" s="1"/>
  <c r="P374" i="17"/>
  <c r="Q374" i="17" s="1"/>
  <c r="P375" i="17"/>
  <c r="Q375" i="17" s="1"/>
  <c r="P376" i="17"/>
  <c r="Q376" i="17" s="1"/>
  <c r="P377" i="17"/>
  <c r="Q377" i="17" s="1"/>
  <c r="P378" i="17"/>
  <c r="Q378" i="17" s="1"/>
  <c r="P379" i="17"/>
  <c r="Q379" i="17" s="1"/>
  <c r="P380" i="17"/>
  <c r="Q380" i="17" s="1"/>
  <c r="P381" i="17"/>
  <c r="Q381" i="17" s="1"/>
  <c r="P382" i="17"/>
  <c r="Q382" i="17" s="1"/>
  <c r="P383" i="17"/>
  <c r="Q383" i="17" s="1"/>
  <c r="P384" i="17"/>
  <c r="Q384" i="17" s="1"/>
  <c r="P385" i="17"/>
  <c r="Q385" i="17" s="1"/>
  <c r="P386" i="17"/>
  <c r="Q386" i="17" s="1"/>
  <c r="P387" i="17"/>
  <c r="Q387" i="17" s="1"/>
  <c r="P388" i="17"/>
  <c r="Q388" i="17" s="1"/>
  <c r="P389" i="17"/>
  <c r="Q389" i="17" s="1"/>
  <c r="P390" i="17"/>
  <c r="Q390" i="17" s="1"/>
  <c r="P391" i="17"/>
  <c r="Q391" i="17" s="1"/>
  <c r="P392" i="17"/>
  <c r="Q392" i="17" s="1"/>
  <c r="P393" i="17"/>
  <c r="Q393" i="17" s="1"/>
  <c r="P394" i="17"/>
  <c r="Q394" i="17" s="1"/>
  <c r="P395" i="17"/>
  <c r="Q395" i="17" s="1"/>
  <c r="P396" i="17"/>
  <c r="Q396" i="17" s="1"/>
  <c r="P397" i="17"/>
  <c r="Q397" i="17" s="1"/>
  <c r="P398" i="17"/>
  <c r="Q398" i="17" s="1"/>
  <c r="P399" i="17"/>
  <c r="Q399" i="17" s="1"/>
  <c r="P400" i="17"/>
  <c r="Q400" i="17" s="1"/>
  <c r="P401" i="17"/>
  <c r="Q401" i="17" s="1"/>
  <c r="P402" i="17"/>
  <c r="Q402" i="17" s="1"/>
  <c r="P403" i="17"/>
  <c r="Q403" i="17" s="1"/>
  <c r="P404" i="17"/>
  <c r="Q404" i="17" s="1"/>
  <c r="P405" i="17"/>
  <c r="Q405" i="17" s="1"/>
  <c r="P406" i="17"/>
  <c r="Q406" i="17" s="1"/>
  <c r="P407" i="17"/>
  <c r="Q407" i="17" s="1"/>
  <c r="P408" i="17"/>
  <c r="Q408" i="17" s="1"/>
  <c r="P409" i="17"/>
  <c r="Q409" i="17" s="1"/>
  <c r="P410" i="17"/>
  <c r="Q410" i="17" s="1"/>
  <c r="P411" i="17"/>
  <c r="Q411" i="17" s="1"/>
  <c r="P412" i="17"/>
  <c r="Q412" i="17" s="1"/>
  <c r="P413" i="17"/>
  <c r="Q413" i="17" s="1"/>
  <c r="P414" i="17"/>
  <c r="Q414" i="17" s="1"/>
  <c r="P415" i="17"/>
  <c r="Q415" i="17" s="1"/>
  <c r="P416" i="17"/>
  <c r="Q416" i="17" s="1"/>
  <c r="P417" i="17"/>
  <c r="Q417" i="17" s="1"/>
  <c r="P418" i="17"/>
  <c r="Q418" i="17" s="1"/>
  <c r="P419" i="17"/>
  <c r="Q419" i="17" s="1"/>
  <c r="P420" i="17"/>
  <c r="Q420" i="17" s="1"/>
  <c r="P421" i="17"/>
  <c r="Q421" i="17" s="1"/>
  <c r="P422" i="17"/>
  <c r="Q422" i="17" s="1"/>
  <c r="P423" i="17"/>
  <c r="Q423" i="17" s="1"/>
  <c r="P424" i="17"/>
  <c r="Q424" i="17" s="1"/>
  <c r="P425" i="17"/>
  <c r="Q425" i="17" s="1"/>
  <c r="P426" i="17"/>
  <c r="Q426" i="17" s="1"/>
  <c r="P427" i="17"/>
  <c r="Q427" i="17" s="1"/>
  <c r="P428" i="17"/>
  <c r="Q428" i="17" s="1"/>
  <c r="P429" i="17"/>
  <c r="Q429" i="17" s="1"/>
  <c r="P430" i="17"/>
  <c r="Q430" i="17" s="1"/>
  <c r="P431" i="17"/>
  <c r="Q431" i="17" s="1"/>
  <c r="P432" i="17"/>
  <c r="Q432" i="17" s="1"/>
  <c r="P433" i="17"/>
  <c r="Q433" i="17" s="1"/>
  <c r="P434" i="17"/>
  <c r="Q434" i="17" s="1"/>
  <c r="P435" i="17"/>
  <c r="Q435" i="17" s="1"/>
  <c r="P436" i="17"/>
  <c r="Q436" i="17" s="1"/>
  <c r="P437" i="17"/>
  <c r="Q437" i="17" s="1"/>
  <c r="P438" i="17"/>
  <c r="Q438" i="17" s="1"/>
  <c r="P439" i="17"/>
  <c r="Q439" i="17" s="1"/>
  <c r="P440" i="17"/>
  <c r="Q440" i="17" s="1"/>
  <c r="P441" i="17"/>
  <c r="Q441" i="17" s="1"/>
  <c r="P442" i="17"/>
  <c r="Q442" i="17" s="1"/>
  <c r="P443" i="17"/>
  <c r="Q443" i="17" s="1"/>
  <c r="P444" i="17"/>
  <c r="Q444" i="17" s="1"/>
  <c r="P445" i="17"/>
  <c r="Q445" i="17" s="1"/>
  <c r="P446" i="17"/>
  <c r="Q446" i="17" s="1"/>
  <c r="P447" i="17"/>
  <c r="P448" i="17"/>
  <c r="Q448" i="17" s="1"/>
  <c r="P449" i="17"/>
  <c r="Q449" i="17" s="1"/>
  <c r="P450" i="17"/>
  <c r="Q450" i="17" s="1"/>
  <c r="P451" i="17"/>
  <c r="Q451" i="17" s="1"/>
  <c r="P452" i="17"/>
  <c r="Q452" i="17" s="1"/>
  <c r="P453" i="17"/>
  <c r="Q453" i="17" s="1"/>
  <c r="P454" i="17"/>
  <c r="Q454" i="17" s="1"/>
  <c r="P455" i="17"/>
  <c r="Q455" i="17" s="1"/>
  <c r="P456" i="17"/>
  <c r="Q456" i="17" s="1"/>
  <c r="P457" i="17"/>
  <c r="Q457" i="17" s="1"/>
  <c r="P458" i="17"/>
  <c r="Q458" i="17" s="1"/>
  <c r="P459" i="17"/>
  <c r="Q459" i="17" s="1"/>
  <c r="P460" i="17"/>
  <c r="Q460" i="17" s="1"/>
  <c r="P461" i="17"/>
  <c r="Q461" i="17" s="1"/>
  <c r="P462" i="17"/>
  <c r="Q462" i="17" s="1"/>
  <c r="P463" i="17"/>
  <c r="Q463" i="17" s="1"/>
  <c r="P464" i="17"/>
  <c r="Q464" i="17" s="1"/>
  <c r="P465" i="17"/>
  <c r="Q465" i="17" s="1"/>
  <c r="P466" i="17"/>
  <c r="Q466" i="17" s="1"/>
  <c r="P467" i="17"/>
  <c r="Q467" i="17" s="1"/>
  <c r="P468" i="17"/>
  <c r="Q468" i="17" s="1"/>
  <c r="P469" i="17"/>
  <c r="Q469" i="17" s="1"/>
  <c r="P470" i="17"/>
  <c r="Q470" i="17" s="1"/>
  <c r="P471" i="17"/>
  <c r="Q471" i="17" s="1"/>
  <c r="P472" i="17"/>
  <c r="Q472" i="17" s="1"/>
  <c r="P473" i="17"/>
  <c r="Q473" i="17" s="1"/>
  <c r="P474" i="17"/>
  <c r="Q474" i="17" s="1"/>
  <c r="P475" i="17"/>
  <c r="Q475" i="17" s="1"/>
  <c r="P476" i="17"/>
  <c r="Q476" i="17" s="1"/>
  <c r="P477" i="17"/>
  <c r="Q477" i="17" s="1"/>
  <c r="P478" i="17"/>
  <c r="Q478" i="17" s="1"/>
  <c r="P479" i="17"/>
  <c r="Q479" i="17" s="1"/>
  <c r="P480" i="17"/>
  <c r="Q480" i="17" s="1"/>
  <c r="P481" i="17"/>
  <c r="Q481" i="17" s="1"/>
  <c r="P482" i="17"/>
  <c r="Q482" i="17" s="1"/>
  <c r="P483" i="17"/>
  <c r="Q483" i="17" s="1"/>
  <c r="P484" i="17"/>
  <c r="Q484" i="17" s="1"/>
  <c r="P485" i="17"/>
  <c r="Q485" i="17" s="1"/>
  <c r="P486" i="17"/>
  <c r="Q486" i="17" s="1"/>
  <c r="P487" i="17"/>
  <c r="Q487" i="17" s="1"/>
  <c r="P488" i="17"/>
  <c r="Q488" i="17" s="1"/>
  <c r="P489" i="17"/>
  <c r="Q489" i="17" s="1"/>
  <c r="P490" i="17"/>
  <c r="Q490" i="17" s="1"/>
  <c r="P491" i="17"/>
  <c r="Q491" i="17" s="1"/>
  <c r="P492" i="17"/>
  <c r="Q492" i="17" s="1"/>
  <c r="P493" i="17"/>
  <c r="Q493" i="17" s="1"/>
  <c r="P494" i="17"/>
  <c r="Q494" i="17" s="1"/>
  <c r="P495" i="17"/>
  <c r="Q495" i="17" s="1"/>
  <c r="P496" i="17"/>
  <c r="Q496" i="17" s="1"/>
  <c r="P497" i="17"/>
  <c r="Q497" i="17" s="1"/>
  <c r="P498" i="17"/>
  <c r="Q498" i="17" s="1"/>
  <c r="P499" i="17"/>
  <c r="Q499" i="17" s="1"/>
  <c r="P500" i="17"/>
  <c r="Q500" i="17" s="1"/>
  <c r="P501" i="17"/>
  <c r="Q501" i="17" s="1"/>
  <c r="P502" i="17"/>
  <c r="Q502" i="17" s="1"/>
  <c r="P503" i="17"/>
  <c r="Q503" i="17" s="1"/>
  <c r="P504" i="17"/>
  <c r="Q504" i="17" s="1"/>
  <c r="P505" i="17"/>
  <c r="Q505" i="17" s="1"/>
  <c r="P506" i="17"/>
  <c r="Q506" i="17" s="1"/>
  <c r="P507" i="17"/>
  <c r="Q507" i="17" s="1"/>
  <c r="P508" i="17"/>
  <c r="Q508" i="17" s="1"/>
  <c r="P509" i="17"/>
  <c r="Q509" i="17" s="1"/>
  <c r="P510" i="17"/>
  <c r="Q510" i="17" s="1"/>
  <c r="P511" i="17"/>
  <c r="Q511" i="17" s="1"/>
  <c r="P512" i="17"/>
  <c r="Q512" i="17" s="1"/>
  <c r="P513" i="17"/>
  <c r="Q513" i="17" s="1"/>
  <c r="P514" i="17"/>
  <c r="Q514" i="17" s="1"/>
  <c r="P515" i="17"/>
  <c r="Q515" i="17" s="1"/>
  <c r="P516" i="17"/>
  <c r="Q516" i="17" s="1"/>
  <c r="P517" i="17"/>
  <c r="Q517" i="17" s="1"/>
  <c r="P518" i="17"/>
  <c r="Q518" i="17" s="1"/>
  <c r="P519" i="17"/>
  <c r="Q519" i="17" s="1"/>
  <c r="P520" i="17"/>
  <c r="Q520" i="17" s="1"/>
  <c r="P521" i="17"/>
  <c r="Q521" i="17" s="1"/>
  <c r="P522" i="17"/>
  <c r="Q522" i="17" s="1"/>
  <c r="P523" i="17"/>
  <c r="Q523" i="17" s="1"/>
  <c r="P524" i="17"/>
  <c r="Q524" i="17" s="1"/>
  <c r="P525" i="17"/>
  <c r="Q525" i="17" s="1"/>
  <c r="P526" i="17"/>
  <c r="Q526" i="17" s="1"/>
  <c r="P527" i="17"/>
  <c r="Q527" i="17" s="1"/>
  <c r="P528" i="17"/>
  <c r="Q528" i="17" s="1"/>
  <c r="P529" i="17"/>
  <c r="Q529" i="17" s="1"/>
  <c r="P530" i="17"/>
  <c r="Q530" i="17" s="1"/>
  <c r="P531" i="17"/>
  <c r="Q531" i="17" s="1"/>
  <c r="P532" i="17"/>
  <c r="Q532" i="17" s="1"/>
  <c r="P533" i="17"/>
  <c r="Q533" i="17" s="1"/>
  <c r="P534" i="17"/>
  <c r="Q534" i="17" s="1"/>
  <c r="P535" i="17"/>
  <c r="Q535" i="17" s="1"/>
  <c r="P536" i="17"/>
  <c r="Q536" i="17" s="1"/>
  <c r="P537" i="17"/>
  <c r="Q537" i="17" s="1"/>
  <c r="P538" i="17"/>
  <c r="Q538" i="17" s="1"/>
  <c r="P539" i="17"/>
  <c r="Q539" i="17" s="1"/>
  <c r="P540" i="17"/>
  <c r="Q540" i="17" s="1"/>
  <c r="P541" i="17"/>
  <c r="Q541" i="17" s="1"/>
  <c r="P542" i="17"/>
  <c r="Q542" i="17" s="1"/>
  <c r="P543" i="17"/>
  <c r="Q543" i="17" s="1"/>
  <c r="P544" i="17"/>
  <c r="Q544" i="17" s="1"/>
  <c r="P545" i="17"/>
  <c r="Q545" i="17" s="1"/>
  <c r="P546" i="17"/>
  <c r="Q546" i="17" s="1"/>
  <c r="P547" i="17"/>
  <c r="P548" i="17"/>
  <c r="P549" i="17"/>
  <c r="Q549" i="17" s="1"/>
  <c r="P550" i="17"/>
  <c r="Q550" i="17" s="1"/>
  <c r="P551" i="17"/>
  <c r="Q551" i="17" s="1"/>
  <c r="P552" i="17"/>
  <c r="Q552" i="17" s="1"/>
  <c r="P553" i="17"/>
  <c r="Q553" i="17" s="1"/>
  <c r="P554" i="17"/>
  <c r="Q554" i="17" s="1"/>
  <c r="P555" i="17"/>
  <c r="Q555" i="17" s="1"/>
  <c r="P556" i="17"/>
  <c r="Q556" i="17" s="1"/>
  <c r="P557" i="17"/>
  <c r="Q557" i="17" s="1"/>
  <c r="P558" i="17"/>
  <c r="Q558" i="17" s="1"/>
  <c r="P559" i="17"/>
  <c r="Q559" i="17" s="1"/>
  <c r="P560" i="17"/>
  <c r="Q560" i="17" s="1"/>
  <c r="P561" i="17"/>
  <c r="Q561" i="17" s="1"/>
  <c r="P562" i="17"/>
  <c r="Q562" i="17" s="1"/>
  <c r="P563" i="17"/>
  <c r="Q563" i="17" s="1"/>
  <c r="P564" i="17"/>
  <c r="Q564" i="17" s="1"/>
  <c r="P565" i="17"/>
  <c r="Q565" i="17" s="1"/>
  <c r="P566" i="17"/>
  <c r="Q566" i="17" s="1"/>
  <c r="P567" i="17"/>
  <c r="Q567" i="17" s="1"/>
  <c r="P568" i="17"/>
  <c r="Q568" i="17" s="1"/>
  <c r="P569" i="17"/>
  <c r="Q569" i="17" s="1"/>
  <c r="P570" i="17"/>
  <c r="Q570" i="17" s="1"/>
  <c r="P571" i="17"/>
  <c r="Q571" i="17" s="1"/>
  <c r="P572" i="17"/>
  <c r="Q572" i="17" s="1"/>
  <c r="P573" i="17"/>
  <c r="Q573" i="17" s="1"/>
  <c r="P574" i="17"/>
  <c r="Q574" i="17" s="1"/>
  <c r="P575" i="17"/>
  <c r="Q575" i="17" s="1"/>
  <c r="P576" i="17"/>
  <c r="Q576" i="17" s="1"/>
  <c r="P577" i="17"/>
  <c r="Q577" i="17" s="1"/>
  <c r="P578" i="17"/>
  <c r="Q578" i="17" s="1"/>
  <c r="P579" i="17"/>
  <c r="Q579" i="17" s="1"/>
  <c r="P580" i="17"/>
  <c r="Q580" i="17" s="1"/>
  <c r="P581" i="17"/>
  <c r="Q581" i="17" s="1"/>
  <c r="P582" i="17"/>
  <c r="Q582" i="17" s="1"/>
  <c r="P583" i="17"/>
  <c r="Q583" i="17" s="1"/>
  <c r="P584" i="17"/>
  <c r="Q584" i="17" s="1"/>
  <c r="P585" i="17"/>
  <c r="Q585" i="17" s="1"/>
  <c r="P586" i="17"/>
  <c r="Q586" i="17" s="1"/>
  <c r="P587" i="17"/>
  <c r="Q587" i="17" s="1"/>
  <c r="P588" i="17"/>
  <c r="Q588" i="17" s="1"/>
  <c r="P589" i="17"/>
  <c r="Q589" i="17" s="1"/>
  <c r="P590" i="17"/>
  <c r="Q590" i="17" s="1"/>
  <c r="P591" i="17"/>
  <c r="Q591" i="17" s="1"/>
  <c r="P592" i="17"/>
  <c r="Q592" i="17" s="1"/>
  <c r="P593" i="17"/>
  <c r="Q593" i="17" s="1"/>
  <c r="P594" i="17"/>
  <c r="Q594" i="17" s="1"/>
  <c r="P595" i="17"/>
  <c r="Q595" i="17" s="1"/>
  <c r="P596" i="17"/>
  <c r="Q596" i="17" s="1"/>
  <c r="P597" i="17"/>
  <c r="Q597" i="17" s="1"/>
  <c r="P598" i="17"/>
  <c r="Q598" i="17" s="1"/>
  <c r="P599" i="17"/>
  <c r="Q599" i="17" s="1"/>
  <c r="P600" i="17"/>
  <c r="Q600" i="17" s="1"/>
  <c r="P601" i="17"/>
  <c r="Q601" i="17" s="1"/>
  <c r="P602" i="17"/>
  <c r="Q602" i="17" s="1"/>
  <c r="P603" i="17"/>
  <c r="Q603" i="17" s="1"/>
  <c r="P604" i="17"/>
  <c r="Q604" i="17" s="1"/>
  <c r="P605" i="17"/>
  <c r="P606" i="17"/>
  <c r="Q606" i="17" s="1"/>
  <c r="P607" i="17"/>
  <c r="Q607" i="17" s="1"/>
  <c r="P608" i="17"/>
  <c r="Q608" i="17" s="1"/>
  <c r="P609" i="17"/>
  <c r="Q609" i="17" s="1"/>
  <c r="P610" i="17"/>
  <c r="P611" i="17"/>
  <c r="Q611" i="17" s="1"/>
  <c r="P612" i="17"/>
  <c r="Q612" i="17" s="1"/>
  <c r="P613" i="17"/>
  <c r="Q613" i="17" s="1"/>
  <c r="P614" i="17"/>
  <c r="Q614" i="17" s="1"/>
  <c r="P615" i="17"/>
  <c r="Q615" i="17" s="1"/>
  <c r="P616" i="17"/>
  <c r="Q616" i="17" s="1"/>
  <c r="P617" i="17"/>
  <c r="Q617" i="17" s="1"/>
  <c r="P618" i="17"/>
  <c r="P619" i="17"/>
  <c r="Q619" i="17" s="1"/>
  <c r="P620" i="17"/>
  <c r="Q620" i="17" s="1"/>
  <c r="P621" i="17"/>
  <c r="Q621" i="17" s="1"/>
  <c r="P622" i="17"/>
  <c r="Q622" i="17" s="1"/>
  <c r="P623" i="17"/>
  <c r="Q623" i="17" s="1"/>
  <c r="P624" i="17"/>
  <c r="Q624" i="17" s="1"/>
  <c r="P625" i="17"/>
  <c r="Q625" i="17" s="1"/>
  <c r="P626" i="17"/>
  <c r="Q626" i="17" s="1"/>
  <c r="P627" i="17"/>
  <c r="Q627" i="17" s="1"/>
  <c r="P628" i="17"/>
  <c r="Q628" i="17" s="1"/>
  <c r="P629" i="17"/>
  <c r="Q629" i="17" s="1"/>
  <c r="P630" i="17"/>
  <c r="Q630" i="17" s="1"/>
  <c r="P631" i="17"/>
  <c r="Q631" i="17" s="1"/>
  <c r="P632" i="17"/>
  <c r="Q632" i="17" s="1"/>
  <c r="P633" i="17"/>
  <c r="Q633" i="17" s="1"/>
  <c r="P634" i="17"/>
  <c r="Q634" i="17" s="1"/>
  <c r="P635" i="17"/>
  <c r="Q635" i="17" s="1"/>
  <c r="P636" i="17"/>
  <c r="Q636" i="17" s="1"/>
  <c r="P637" i="17"/>
  <c r="Q637" i="17" s="1"/>
  <c r="P638" i="17"/>
  <c r="Q638" i="17" s="1"/>
  <c r="P639" i="17"/>
  <c r="Q639" i="17" s="1"/>
  <c r="P640" i="17"/>
  <c r="Q640" i="17" s="1"/>
  <c r="P641" i="17"/>
  <c r="Q641" i="17" s="1"/>
  <c r="P642" i="17"/>
  <c r="Q642" i="17" s="1"/>
  <c r="P643" i="17"/>
  <c r="Q643" i="17" s="1"/>
  <c r="P644" i="17"/>
  <c r="Q644" i="17" s="1"/>
  <c r="P645" i="17"/>
  <c r="Q645" i="17" s="1"/>
  <c r="P646" i="17"/>
  <c r="Q646" i="17" s="1"/>
  <c r="P647" i="17"/>
  <c r="Q647" i="17" s="1"/>
  <c r="P648" i="17"/>
  <c r="Q648" i="17" s="1"/>
  <c r="P649" i="17"/>
  <c r="Q649" i="17" s="1"/>
  <c r="P650" i="17"/>
  <c r="Q650" i="17" s="1"/>
  <c r="P651" i="17"/>
  <c r="Q651" i="17" s="1"/>
  <c r="P652" i="17"/>
  <c r="Q652" i="17" s="1"/>
  <c r="P653" i="17"/>
  <c r="Q653" i="17" s="1"/>
  <c r="P654" i="17"/>
  <c r="Q654" i="17" s="1"/>
  <c r="P655" i="17"/>
  <c r="Q655" i="17" s="1"/>
  <c r="P656" i="17"/>
  <c r="Q656" i="17" s="1"/>
  <c r="P657" i="17"/>
  <c r="Q657" i="17" s="1"/>
  <c r="P658" i="17"/>
  <c r="Q658" i="17" s="1"/>
  <c r="P659" i="17"/>
  <c r="Q659" i="17" s="1"/>
  <c r="P660" i="17"/>
  <c r="Q660" i="17" s="1"/>
  <c r="P661" i="17"/>
  <c r="Q661" i="17" s="1"/>
  <c r="P662" i="17"/>
  <c r="Q662" i="17" s="1"/>
  <c r="P663" i="17"/>
  <c r="Q663" i="17" s="1"/>
  <c r="P664" i="17"/>
  <c r="Q664" i="17" s="1"/>
  <c r="P665" i="17"/>
  <c r="Q665" i="17" s="1"/>
  <c r="P666" i="17"/>
  <c r="Q666" i="17" s="1"/>
  <c r="P667" i="17"/>
  <c r="Q667" i="17" s="1"/>
  <c r="P668" i="17"/>
  <c r="P669" i="17"/>
  <c r="Q669" i="17" s="1"/>
  <c r="P670" i="17"/>
  <c r="Q670" i="17" s="1"/>
  <c r="P671" i="17"/>
  <c r="Q671" i="17" s="1"/>
  <c r="P672" i="17"/>
  <c r="Q672" i="17" s="1"/>
  <c r="P673" i="17"/>
  <c r="Q673" i="17" s="1"/>
  <c r="P674" i="17"/>
  <c r="Q674" i="17" s="1"/>
  <c r="P675" i="17"/>
  <c r="Q675" i="17" s="1"/>
  <c r="P676" i="17"/>
  <c r="Q676" i="17" s="1"/>
  <c r="P677" i="17"/>
  <c r="Q677" i="17" s="1"/>
  <c r="P678" i="17"/>
  <c r="Q678" i="17" s="1"/>
  <c r="P679" i="17"/>
  <c r="Q679" i="17" s="1"/>
  <c r="P680" i="17"/>
  <c r="Q680" i="17" s="1"/>
  <c r="P681" i="17"/>
  <c r="Q681" i="17" s="1"/>
  <c r="P682" i="17"/>
  <c r="Q682" i="17" s="1"/>
  <c r="P683" i="17"/>
  <c r="Q683" i="17" s="1"/>
  <c r="P684" i="17"/>
  <c r="Q684" i="17" s="1"/>
  <c r="P685" i="17"/>
  <c r="Q685" i="17" s="1"/>
  <c r="P686" i="17"/>
  <c r="Q686" i="17" s="1"/>
  <c r="P687" i="17"/>
  <c r="Q687" i="17" s="1"/>
  <c r="P688" i="17"/>
  <c r="Q688" i="17" s="1"/>
  <c r="P689" i="17"/>
  <c r="Q689" i="17" s="1"/>
  <c r="P690" i="17"/>
  <c r="Q690" i="17" s="1"/>
  <c r="P691" i="17"/>
  <c r="Q691" i="17" s="1"/>
  <c r="P692" i="17"/>
  <c r="Q692" i="17" s="1"/>
  <c r="P693" i="17"/>
  <c r="Q693" i="17" s="1"/>
  <c r="P694" i="17"/>
  <c r="Q694" i="17" s="1"/>
  <c r="P695" i="17"/>
  <c r="P696" i="17"/>
  <c r="Q696" i="17" s="1"/>
  <c r="P697" i="17"/>
  <c r="Q697" i="17" s="1"/>
  <c r="P698" i="17"/>
  <c r="Q698" i="17" s="1"/>
  <c r="P699" i="17"/>
  <c r="Q699" i="17" s="1"/>
  <c r="P700" i="17"/>
  <c r="Q700" i="17" s="1"/>
  <c r="P701" i="17"/>
  <c r="Q701" i="17" s="1"/>
  <c r="P702" i="17"/>
  <c r="Q702" i="17" s="1"/>
  <c r="P703" i="17"/>
  <c r="Q703" i="17" s="1"/>
  <c r="P704" i="17"/>
  <c r="Q704" i="17" s="1"/>
  <c r="P705" i="17"/>
  <c r="Q705" i="17" s="1"/>
  <c r="P706" i="17"/>
  <c r="Q706" i="17" s="1"/>
  <c r="P707" i="17"/>
  <c r="Q707" i="17" s="1"/>
  <c r="P708" i="17"/>
  <c r="Q708" i="17" s="1"/>
  <c r="P709" i="17"/>
  <c r="P710" i="17"/>
  <c r="Q710" i="17" s="1"/>
  <c r="P711" i="17"/>
  <c r="Q711" i="17" s="1"/>
  <c r="P712" i="17"/>
  <c r="P713" i="17"/>
  <c r="Q713" i="17" s="1"/>
  <c r="P714" i="17"/>
  <c r="Q714" i="17" s="1"/>
  <c r="P715" i="17"/>
  <c r="Q715" i="17" s="1"/>
  <c r="P716" i="17"/>
  <c r="Q716" i="17" s="1"/>
  <c r="P717" i="17"/>
  <c r="Q717" i="17" s="1"/>
  <c r="P718" i="17"/>
  <c r="Q718" i="17" s="1"/>
  <c r="P719" i="17"/>
  <c r="Q719" i="17" s="1"/>
  <c r="P720" i="17"/>
  <c r="Q720" i="17" s="1"/>
  <c r="P721" i="17"/>
  <c r="Q721" i="17" s="1"/>
  <c r="P722" i="17"/>
  <c r="Q722" i="17" s="1"/>
  <c r="P723" i="17"/>
  <c r="Q723" i="17" s="1"/>
  <c r="P724" i="17"/>
  <c r="Q724" i="17" s="1"/>
  <c r="P725" i="17"/>
  <c r="Q725" i="17" s="1"/>
  <c r="P726" i="17"/>
  <c r="Q726" i="17" s="1"/>
  <c r="P727" i="17"/>
  <c r="Q727" i="17" s="1"/>
  <c r="P728" i="17"/>
  <c r="Q728" i="17" s="1"/>
  <c r="P729" i="17"/>
  <c r="Q729" i="17" s="1"/>
  <c r="P730" i="17"/>
  <c r="Q730" i="17" s="1"/>
  <c r="P731" i="17"/>
  <c r="Q731" i="17" s="1"/>
  <c r="P732" i="17"/>
  <c r="Q732" i="17" s="1"/>
  <c r="P733" i="17"/>
  <c r="Q733" i="17" s="1"/>
  <c r="P734" i="17"/>
  <c r="Q734" i="17" s="1"/>
  <c r="P735" i="17"/>
  <c r="Q735" i="17" s="1"/>
  <c r="P736" i="17"/>
  <c r="Q736" i="17" s="1"/>
  <c r="P737" i="17"/>
  <c r="Q737" i="17" s="1"/>
  <c r="P738" i="17"/>
  <c r="Q738" i="17" s="1"/>
  <c r="P739" i="17"/>
  <c r="Q739" i="17" s="1"/>
  <c r="P740" i="17"/>
  <c r="Q740" i="17" s="1"/>
  <c r="P741" i="17"/>
  <c r="Q741" i="17" s="1"/>
  <c r="P742" i="17"/>
  <c r="Q742" i="17" s="1"/>
  <c r="P743" i="17"/>
  <c r="Q743" i="17" s="1"/>
  <c r="P744" i="17"/>
  <c r="Q744" i="17" s="1"/>
  <c r="P745" i="17"/>
  <c r="Q745" i="17" s="1"/>
  <c r="P746" i="17"/>
  <c r="Q746" i="17" s="1"/>
  <c r="P747" i="17"/>
  <c r="Q747" i="17" s="1"/>
  <c r="P748" i="17"/>
  <c r="Q748" i="17" s="1"/>
  <c r="P749" i="17"/>
  <c r="Q749" i="17" s="1"/>
  <c r="P750" i="17"/>
  <c r="Q750" i="17" s="1"/>
  <c r="P751" i="17"/>
  <c r="Q751" i="17" s="1"/>
  <c r="P752" i="17"/>
  <c r="Q752" i="17" s="1"/>
  <c r="P753" i="17"/>
  <c r="Q753" i="17" s="1"/>
  <c r="P754" i="17"/>
  <c r="Q754" i="17" s="1"/>
  <c r="P755" i="17"/>
  <c r="Q755" i="17" s="1"/>
  <c r="P756" i="17"/>
  <c r="Q756" i="17" s="1"/>
  <c r="P757" i="17"/>
  <c r="Q757" i="17" s="1"/>
  <c r="P758" i="17"/>
  <c r="Q758" i="17" s="1"/>
  <c r="P759" i="17"/>
  <c r="Q759" i="17" s="1"/>
  <c r="P760" i="17"/>
  <c r="Q760" i="17" s="1"/>
  <c r="P761" i="17"/>
  <c r="Q761" i="17" s="1"/>
  <c r="P762" i="17"/>
  <c r="Q762" i="17" s="1"/>
  <c r="P763" i="17"/>
  <c r="Q763" i="17" s="1"/>
  <c r="P764" i="17"/>
  <c r="Q764" i="17" s="1"/>
  <c r="P765" i="17"/>
  <c r="Q765" i="17" s="1"/>
  <c r="P766" i="17"/>
  <c r="Q766" i="17" s="1"/>
  <c r="P767" i="17"/>
  <c r="Q767" i="17" s="1"/>
  <c r="P768" i="17"/>
  <c r="Q768" i="17" s="1"/>
  <c r="P769" i="17"/>
  <c r="Q769" i="17" s="1"/>
  <c r="P770" i="17"/>
  <c r="Q770" i="17" s="1"/>
  <c r="P771" i="17"/>
  <c r="Q771" i="17" s="1"/>
  <c r="P772" i="17"/>
  <c r="Q772" i="17" s="1"/>
  <c r="P773" i="17"/>
  <c r="Q773" i="17" s="1"/>
  <c r="P774" i="17"/>
  <c r="Q774" i="17" s="1"/>
  <c r="P775" i="17"/>
  <c r="Q775" i="17" s="1"/>
  <c r="P776" i="17"/>
  <c r="Q776" i="17" s="1"/>
  <c r="P777" i="17"/>
  <c r="Q777" i="17" s="1"/>
  <c r="P778" i="17"/>
  <c r="Q778" i="17" s="1"/>
  <c r="P779" i="17"/>
  <c r="Q779" i="17" s="1"/>
  <c r="P780" i="17"/>
  <c r="Q780" i="17" s="1"/>
  <c r="P781" i="17"/>
  <c r="Q781" i="17" s="1"/>
  <c r="P782" i="17"/>
  <c r="Q782" i="17" s="1"/>
  <c r="P783" i="17"/>
  <c r="Q783" i="17" s="1"/>
  <c r="P784" i="17"/>
  <c r="Q784" i="17" s="1"/>
  <c r="P785" i="17"/>
  <c r="Q785" i="17" s="1"/>
  <c r="P786" i="17"/>
  <c r="Q786" i="17" s="1"/>
  <c r="P787" i="17"/>
  <c r="Q787" i="17" s="1"/>
  <c r="P788" i="17"/>
  <c r="Q788" i="17" s="1"/>
  <c r="P789" i="17"/>
  <c r="Q789" i="17" s="1"/>
  <c r="P790" i="17"/>
  <c r="Q790" i="17" s="1"/>
  <c r="P791" i="17"/>
  <c r="Q791" i="17" s="1"/>
  <c r="P792" i="17"/>
  <c r="Q792" i="17" s="1"/>
  <c r="P793" i="17"/>
  <c r="Q793" i="17" s="1"/>
  <c r="P794" i="17"/>
  <c r="Q794" i="17" s="1"/>
  <c r="P795" i="17"/>
  <c r="Q795" i="17" s="1"/>
  <c r="P796" i="17"/>
  <c r="Q796" i="17" s="1"/>
  <c r="P797" i="17"/>
  <c r="Q797" i="17" s="1"/>
  <c r="P798" i="17"/>
  <c r="Q798" i="17" s="1"/>
  <c r="P799" i="17"/>
  <c r="Q799" i="17" s="1"/>
  <c r="P800" i="17"/>
  <c r="Q800" i="17" s="1"/>
  <c r="P801" i="17"/>
  <c r="Q801" i="17" s="1"/>
  <c r="P802" i="17"/>
  <c r="Q802" i="17" s="1"/>
  <c r="P803" i="17"/>
  <c r="Q803" i="17" s="1"/>
  <c r="P804" i="17"/>
  <c r="Q804" i="17" s="1"/>
  <c r="P805" i="17"/>
  <c r="Q805" i="17" s="1"/>
  <c r="P806" i="17"/>
  <c r="Q806" i="17" s="1"/>
  <c r="P807" i="17"/>
  <c r="Q807" i="17" s="1"/>
  <c r="P808" i="17"/>
  <c r="Q808" i="17" s="1"/>
  <c r="P809" i="17"/>
  <c r="Q809" i="17" s="1"/>
  <c r="P810" i="17"/>
  <c r="Q810" i="17" s="1"/>
  <c r="P811" i="17"/>
  <c r="Q811" i="17" s="1"/>
  <c r="P812" i="17"/>
  <c r="Q812" i="17" s="1"/>
  <c r="P813" i="17"/>
  <c r="Q813" i="17" s="1"/>
  <c r="P814" i="17"/>
  <c r="Q814" i="17" s="1"/>
  <c r="P815" i="17"/>
  <c r="Q815" i="17" s="1"/>
  <c r="P816" i="17"/>
  <c r="Q816" i="17" s="1"/>
  <c r="P817" i="17"/>
  <c r="P818" i="17"/>
  <c r="Q818" i="17" s="1"/>
  <c r="P819" i="17"/>
  <c r="Q819" i="17" s="1"/>
  <c r="P820" i="17"/>
  <c r="Q820" i="17" s="1"/>
  <c r="P821" i="17"/>
  <c r="Q821" i="17" s="1"/>
  <c r="P822" i="17"/>
  <c r="Q822" i="17" s="1"/>
  <c r="P823" i="17"/>
  <c r="Q823" i="17" s="1"/>
  <c r="P824" i="17"/>
  <c r="Q824" i="17" s="1"/>
  <c r="P825" i="17"/>
  <c r="Q825" i="17" s="1"/>
  <c r="P826" i="17"/>
  <c r="Q826" i="17" s="1"/>
  <c r="P827" i="17"/>
  <c r="Q827" i="17" s="1"/>
  <c r="P828" i="17"/>
  <c r="Q828" i="17" s="1"/>
  <c r="P829" i="17"/>
  <c r="Q829" i="17" s="1"/>
  <c r="P830" i="17"/>
  <c r="Q830" i="17" s="1"/>
  <c r="P831" i="17"/>
  <c r="Q831" i="17" s="1"/>
  <c r="P832" i="17"/>
  <c r="Q832" i="17" s="1"/>
  <c r="P833" i="17"/>
  <c r="Q833" i="17" s="1"/>
  <c r="P834" i="17"/>
  <c r="Q834" i="17" s="1"/>
  <c r="P835" i="17"/>
  <c r="Q835" i="17" s="1"/>
  <c r="P836" i="17"/>
  <c r="Q836" i="17" s="1"/>
  <c r="P837" i="17"/>
  <c r="Q837" i="17" s="1"/>
  <c r="P838" i="17"/>
  <c r="Q838" i="17" s="1"/>
  <c r="P839" i="17"/>
  <c r="Q839" i="17" s="1"/>
  <c r="P840" i="17"/>
  <c r="Q840" i="17" s="1"/>
  <c r="P841" i="17"/>
  <c r="Q841" i="17" s="1"/>
  <c r="P842" i="17"/>
  <c r="Q842" i="17" s="1"/>
  <c r="P843" i="17"/>
  <c r="Q843" i="17" s="1"/>
  <c r="P844" i="17"/>
  <c r="Q844" i="17" s="1"/>
  <c r="P845" i="17"/>
  <c r="Q845" i="17" s="1"/>
  <c r="P846" i="17"/>
  <c r="Q846" i="17" s="1"/>
  <c r="P847" i="17"/>
  <c r="Q847" i="17" s="1"/>
  <c r="P848" i="17"/>
  <c r="Q848" i="17" s="1"/>
  <c r="P849" i="17"/>
  <c r="Q849" i="17" s="1"/>
  <c r="P850" i="17"/>
  <c r="Q850" i="17" s="1"/>
  <c r="P851" i="17"/>
  <c r="Q851" i="17" s="1"/>
  <c r="P852" i="17"/>
  <c r="Q852" i="17" s="1"/>
  <c r="P853" i="17"/>
  <c r="Q853" i="17" s="1"/>
  <c r="P854" i="17"/>
  <c r="Q854" i="17" s="1"/>
  <c r="P855" i="17"/>
  <c r="Q855" i="17" s="1"/>
  <c r="P856" i="17"/>
  <c r="Q856" i="17" s="1"/>
  <c r="P857" i="17"/>
  <c r="Q857" i="17" s="1"/>
  <c r="P858" i="17"/>
  <c r="Q858" i="17" s="1"/>
  <c r="P859" i="17"/>
  <c r="Q859" i="17" s="1"/>
  <c r="P860" i="17"/>
  <c r="Q860" i="17" s="1"/>
  <c r="P861" i="17"/>
  <c r="Q861" i="17" s="1"/>
  <c r="P862" i="17"/>
  <c r="Q862" i="17" s="1"/>
  <c r="P863" i="17"/>
  <c r="Q863" i="17" s="1"/>
  <c r="P864" i="17"/>
  <c r="Q864" i="17" s="1"/>
  <c r="P865" i="17"/>
  <c r="Q865" i="17" s="1"/>
  <c r="P866" i="17"/>
  <c r="Q866" i="17" s="1"/>
  <c r="P867" i="17"/>
  <c r="Q867" i="17" s="1"/>
  <c r="P868" i="17"/>
  <c r="Q868" i="17" s="1"/>
  <c r="P869" i="17"/>
  <c r="Q869" i="17" s="1"/>
  <c r="P870" i="17"/>
  <c r="Q870" i="17" s="1"/>
  <c r="P871" i="17"/>
  <c r="Q871" i="17" s="1"/>
  <c r="P872" i="17"/>
  <c r="Q872" i="17" s="1"/>
  <c r="P873" i="17"/>
  <c r="Q873" i="17" s="1"/>
  <c r="P874" i="17"/>
  <c r="Q874" i="17" s="1"/>
  <c r="P875" i="17"/>
  <c r="Q875" i="17" s="1"/>
  <c r="P876" i="17"/>
  <c r="Q876" i="17" s="1"/>
  <c r="P877" i="17"/>
  <c r="Q877" i="17" s="1"/>
  <c r="P878" i="17"/>
  <c r="Q878" i="17" s="1"/>
  <c r="P879" i="17"/>
  <c r="Q879" i="17" s="1"/>
  <c r="P880" i="17"/>
  <c r="Q880" i="17" s="1"/>
  <c r="P881" i="17"/>
  <c r="Q881" i="17" s="1"/>
  <c r="P882" i="17"/>
  <c r="Q882" i="17" s="1"/>
  <c r="P883" i="17"/>
  <c r="Q883" i="17" s="1"/>
  <c r="P884" i="17"/>
  <c r="Q884" i="17" s="1"/>
  <c r="P885" i="17"/>
  <c r="Q885" i="17" s="1"/>
  <c r="P886" i="17"/>
  <c r="Q886" i="17" s="1"/>
  <c r="P887" i="17"/>
  <c r="Q887" i="17" s="1"/>
  <c r="P888" i="17"/>
  <c r="Q888" i="17" s="1"/>
  <c r="P889" i="17"/>
  <c r="Q889" i="17" s="1"/>
  <c r="P890" i="17"/>
  <c r="Q890" i="17" s="1"/>
  <c r="P891" i="17"/>
  <c r="Q891" i="17" s="1"/>
  <c r="P892" i="17"/>
  <c r="Q892" i="17" s="1"/>
  <c r="P893" i="17"/>
  <c r="P894" i="17"/>
  <c r="P895" i="17"/>
  <c r="P896" i="17"/>
  <c r="Q896" i="17" s="1"/>
  <c r="P897" i="17"/>
  <c r="Q897" i="17" s="1"/>
  <c r="P898" i="17"/>
  <c r="Q898" i="17" s="1"/>
  <c r="P899" i="17"/>
  <c r="Q899" i="17" s="1"/>
  <c r="P900" i="17"/>
  <c r="Q900" i="17" s="1"/>
  <c r="P901" i="17"/>
  <c r="Q901" i="17" s="1"/>
  <c r="P902" i="17"/>
  <c r="Q902" i="17" s="1"/>
  <c r="P903" i="17"/>
  <c r="Q903" i="17" s="1"/>
  <c r="P904" i="17"/>
  <c r="Q904" i="17" s="1"/>
  <c r="P905" i="17"/>
  <c r="Q905" i="17" s="1"/>
  <c r="P906" i="17"/>
  <c r="Q906" i="17" s="1"/>
  <c r="P907" i="17"/>
  <c r="Q907" i="17" s="1"/>
  <c r="P908" i="17"/>
  <c r="Q908" i="17" s="1"/>
  <c r="P909" i="17"/>
  <c r="Q909" i="17" s="1"/>
  <c r="P910" i="17"/>
  <c r="Q910" i="17" s="1"/>
  <c r="P911" i="17"/>
  <c r="Q911" i="17" s="1"/>
  <c r="P912" i="17"/>
  <c r="Q912" i="17" s="1"/>
  <c r="P913" i="17"/>
  <c r="Q913" i="17" s="1"/>
  <c r="P914" i="17"/>
  <c r="Q914" i="17" s="1"/>
  <c r="P915" i="17"/>
  <c r="Q915" i="17" s="1"/>
  <c r="P916" i="17"/>
  <c r="Q916" i="17" s="1"/>
  <c r="P917" i="17"/>
  <c r="Q917" i="17" s="1"/>
  <c r="P918" i="17"/>
  <c r="Q918" i="17" s="1"/>
  <c r="P919" i="17"/>
  <c r="Q919" i="17" s="1"/>
  <c r="P920" i="17"/>
  <c r="Q920" i="17" s="1"/>
  <c r="P921" i="17"/>
  <c r="Q921" i="17" s="1"/>
  <c r="P922" i="17"/>
  <c r="Q922" i="17" s="1"/>
  <c r="P923" i="17"/>
  <c r="Q923" i="17" s="1"/>
  <c r="P924" i="17"/>
  <c r="Q924" i="17" s="1"/>
  <c r="P925" i="17"/>
  <c r="Q925" i="17" s="1"/>
  <c r="P926" i="17"/>
  <c r="Q926" i="17" s="1"/>
  <c r="P927" i="17"/>
  <c r="Q927" i="17" s="1"/>
  <c r="P928" i="17"/>
  <c r="Q928" i="17" s="1"/>
  <c r="P929" i="17"/>
  <c r="Q929" i="17" s="1"/>
  <c r="P930" i="17"/>
  <c r="Q930" i="17" s="1"/>
  <c r="P931" i="17"/>
  <c r="Q931" i="17" s="1"/>
  <c r="P932" i="17"/>
  <c r="Q932" i="17" s="1"/>
  <c r="P933" i="17"/>
  <c r="Q933" i="17" s="1"/>
  <c r="P934" i="17"/>
  <c r="Q934" i="17" s="1"/>
  <c r="P935" i="17"/>
  <c r="Q935" i="17" s="1"/>
  <c r="P936" i="17"/>
  <c r="Q936" i="17" s="1"/>
  <c r="P937" i="17"/>
  <c r="Q937" i="17" s="1"/>
  <c r="P938" i="17"/>
  <c r="Q938" i="17" s="1"/>
  <c r="P939" i="17"/>
  <c r="Q939" i="17" s="1"/>
  <c r="P940" i="17"/>
  <c r="Q940" i="17" s="1"/>
  <c r="P941" i="17"/>
  <c r="Q941" i="17" s="1"/>
  <c r="P942" i="17"/>
  <c r="Q942" i="17" s="1"/>
  <c r="P943" i="17"/>
  <c r="P944" i="17"/>
  <c r="Q944" i="17" s="1"/>
  <c r="P945" i="17"/>
  <c r="Q945" i="17" s="1"/>
  <c r="P946" i="17"/>
  <c r="Q946" i="17" s="1"/>
  <c r="P947" i="17"/>
  <c r="P948" i="17"/>
  <c r="Q948" i="17" s="1"/>
  <c r="P949" i="17"/>
  <c r="Q949" i="17" s="1"/>
  <c r="P950" i="17"/>
  <c r="Q950" i="17" s="1"/>
  <c r="P951" i="17"/>
  <c r="Q951" i="17" s="1"/>
  <c r="P952" i="17"/>
  <c r="Q952" i="17" s="1"/>
  <c r="P953" i="17"/>
  <c r="Q953" i="17" s="1"/>
  <c r="P954" i="17"/>
  <c r="Q954" i="17" s="1"/>
  <c r="P955" i="17"/>
  <c r="Q955" i="17" s="1"/>
  <c r="P956" i="17"/>
  <c r="Q956" i="17" s="1"/>
  <c r="P957" i="17"/>
  <c r="Q957" i="17" s="1"/>
  <c r="P958" i="17"/>
  <c r="Q958" i="17" s="1"/>
  <c r="P959" i="17"/>
  <c r="Q959" i="17" s="1"/>
  <c r="P960" i="17"/>
  <c r="Q960" i="17" s="1"/>
  <c r="P961" i="17"/>
  <c r="Q961" i="17" s="1"/>
  <c r="P962" i="17"/>
  <c r="Q962" i="17" s="1"/>
  <c r="P963" i="17"/>
  <c r="Q963" i="17" s="1"/>
  <c r="P964" i="17"/>
  <c r="Q964" i="17" s="1"/>
  <c r="P965" i="17"/>
  <c r="P966" i="17"/>
  <c r="P967" i="17"/>
  <c r="Q967" i="17" s="1"/>
  <c r="P968" i="17"/>
  <c r="Q968" i="17" s="1"/>
  <c r="P969" i="17"/>
  <c r="Q969" i="17" s="1"/>
  <c r="P970" i="17"/>
  <c r="Q970" i="17" s="1"/>
  <c r="P971" i="17"/>
  <c r="Q971" i="17" s="1"/>
  <c r="P972" i="17"/>
  <c r="Q972" i="17" s="1"/>
  <c r="P973" i="17"/>
  <c r="Q973" i="17" s="1"/>
  <c r="P974" i="17"/>
  <c r="Q974" i="17" s="1"/>
  <c r="P975" i="17"/>
  <c r="Q975" i="17" s="1"/>
  <c r="P976" i="17"/>
  <c r="Q976" i="17" s="1"/>
  <c r="P977" i="17"/>
  <c r="Q977" i="17" s="1"/>
  <c r="P978" i="17"/>
  <c r="Q978" i="17" s="1"/>
  <c r="P979" i="17"/>
  <c r="Q979" i="17" s="1"/>
  <c r="P980" i="17"/>
  <c r="Q980" i="17" s="1"/>
  <c r="P981" i="17"/>
  <c r="Q981" i="17" s="1"/>
  <c r="P982" i="17"/>
  <c r="Q982" i="17" s="1"/>
  <c r="P983" i="17"/>
  <c r="Q983" i="17" s="1"/>
  <c r="P984" i="17"/>
  <c r="Q984" i="17" s="1"/>
  <c r="P985" i="17"/>
  <c r="Q985" i="17" s="1"/>
  <c r="P986" i="17"/>
  <c r="Q986" i="17" s="1"/>
  <c r="P987" i="17"/>
  <c r="Q987" i="17" s="1"/>
  <c r="P988" i="17"/>
  <c r="Q988" i="17" s="1"/>
  <c r="P989" i="17"/>
  <c r="Q989" i="17" s="1"/>
  <c r="P990" i="17"/>
  <c r="Q990" i="17" s="1"/>
  <c r="P991" i="17"/>
  <c r="Q991" i="17" s="1"/>
  <c r="P992" i="17"/>
  <c r="Q992" i="17" s="1"/>
  <c r="P993" i="17"/>
  <c r="Q993" i="17" s="1"/>
  <c r="P994" i="17"/>
  <c r="Q994" i="17" s="1"/>
  <c r="P995" i="17"/>
  <c r="Q995" i="17" s="1"/>
  <c r="P996" i="17"/>
  <c r="Q996" i="17" s="1"/>
  <c r="P997" i="17"/>
  <c r="Q997" i="17" s="1"/>
  <c r="P998" i="17"/>
  <c r="Q998" i="17" s="1"/>
  <c r="P999" i="17"/>
  <c r="Q999" i="17" s="1"/>
  <c r="P1000" i="17"/>
  <c r="Q1000" i="17" s="1"/>
  <c r="P1001" i="17"/>
  <c r="Q1001" i="17" s="1"/>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P2" i="17"/>
  <c r="Q2" i="17" s="1"/>
  <c r="O2" i="17"/>
  <c r="N2" i="17"/>
  <c r="M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<sst xmlns="http://schemas.openxmlformats.org/spreadsheetml/2006/main" count="11133" uniqueCount="6221">
  <si>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</si>
  <si>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</si>
  <si>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</si>
  <si>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</si>
  <si>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</si>
  <si>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</si>
  <si>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</si>
  <si>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</si>
  <si>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</si>
  <si>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</si>
  <si>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</si>
  <si>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</si>
  <si>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</si>
  <si>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</si>
  <si>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</si>
  <si>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</si>
  <si>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</si>
  <si>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</si>
  <si>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</si>
  <si>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</si>
  <si>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</si>
  <si>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</si>
  <si>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</si>
  <si>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</si>
  <si>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</si>
  <si>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</si>
  <si>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</si>
  <si>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</si>
  <si>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</si>
  <si>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</si>
  <si>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</si>
  <si>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</si>
  <si>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</si>
  <si>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</si>
  <si>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</si>
  <si>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</si>
  <si>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</si>
  <si>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</si>
  <si>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</si>
  <si>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</si>
  <si>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</si>
  <si>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</si>
  <si>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</si>
  <si>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</si>
  <si>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</si>
  <si>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</si>
  <si>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</si>
  <si>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</si>
  <si>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</si>
  <si>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</si>
  <si>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</si>
  <si>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</si>
  <si>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</si>
  <si>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</si>
  <si>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</si>
  <si>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</si>
  <si>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</si>
  <si>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</si>
  <si>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</si>
  <si>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</si>
  <si>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</si>
  <si>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</si>
  <si>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</si>
  <si>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</si>
  <si>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</si>
  <si>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</si>
  <si>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</si>
  <si>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</si>
  <si>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</si>
  <si>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</si>
  <si>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</si>
  <si>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</si>
  <si>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</si>
  <si>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</si>
  <si>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</si>
  <si>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</si>
  <si>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</si>
  <si>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</si>
  <si>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</si>
  <si>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</si>
  <si>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</si>
  <si>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</si>
  <si>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</si>
  <si>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</si>
  <si>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</si>
  <si>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</si>
  <si>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</si>
  <si>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</si>
  <si>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</si>
  <si>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</si>
  <si>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</si>
  <si>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</si>
  <si>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</si>
  <si>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</si>
  <si>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</si>
  <si>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</si>
  <si>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</si>
  <si>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</si>
  <si>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</si>
  <si>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</si>
  <si>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</si>
  <si>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</si>
  <si>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</si>
  <si>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</si>
  <si>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</si>
  <si>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</si>
  <si>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</si>
  <si>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</si>
  <si>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</si>
  <si>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</si>
  <si>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</si>
  <si>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</si>
  <si>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</si>
  <si>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</si>
  <si>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</si>
  <si>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</si>
  <si>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</si>
  <si>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</si>
  <si>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</si>
  <si>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</si>
  <si>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</si>
  <si>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</si>
  <si>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</si>
  <si>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</si>
  <si>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</si>
  <si>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</si>
  <si>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</si>
  <si>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</si>
  <si>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</si>
  <si>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</si>
  <si>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</si>
  <si>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</si>
  <si>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</si>
  <si>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</si>
  <si>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</si>
  <si>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</si>
  <si>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</si>
  <si>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</si>
  <si>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</si>
  <si>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</si>
  <si>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</si>
  <si>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</si>
  <si>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</si>
  <si>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</si>
  <si>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</si>
  <si>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</si>
  <si>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</si>
  <si>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</si>
  <si>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</si>
  <si>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</si>
  <si>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</si>
  <si>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</si>
  <si>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</si>
  <si>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</si>
  <si>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</si>
  <si>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</si>
  <si>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</si>
  <si>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</si>
  <si>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</si>
  <si>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</si>
  <si>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</si>
  <si>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</si>
  <si>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</si>
  <si>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</si>
  <si>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</si>
  <si>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</si>
  <si>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</si>
  <si>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</si>
  <si>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</si>
  <si>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</si>
  <si>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</si>
  <si>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</si>
  <si>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</si>
  <si>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</si>
  <si>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</si>
  <si>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</si>
  <si>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</si>
  <si>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</si>
  <si>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</si>
  <si>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</si>
  <si>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</si>
  <si>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</si>
  <si>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</si>
  <si>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</si>
  <si>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</si>
  <si>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</si>
  <si>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</si>
  <si>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</si>
  <si>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</si>
  <si>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</si>
  <si>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</si>
  <si>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</si>
  <si>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</si>
  <si>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</si>
  <si>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</si>
  <si>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</si>
  <si>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</si>
  <si>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</si>
  <si>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</si>
  <si>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</si>
  <si>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</si>
  <si>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</si>
  <si>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</si>
  <si>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</si>
  <si>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</si>
  <si>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</si>
  <si>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</si>
  <si>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</si>
  <si>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</si>
  <si>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</si>
  <si>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</si>
  <si>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</si>
  <si>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</si>
  <si>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</si>
  <si>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</si>
  <si>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</si>
  <si>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</si>
  <si>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</si>
  <si>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</si>
  <si>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</si>
  <si>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</si>
  <si>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</si>
  <si>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</si>
  <si>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</si>
  <si>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</si>
  <si>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</si>
  <si>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</si>
  <si>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</si>
  <si>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</si>
  <si>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</si>
  <si>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</si>
  <si>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</si>
  <si>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</si>
  <si>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</si>
  <si>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</si>
  <si>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</si>
  <si>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</si>
  <si>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</si>
  <si>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</si>
  <si>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</si>
  <si>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</si>
  <si>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</si>
  <si>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</si>
  <si>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</si>
  <si>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</si>
  <si>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</si>
  <si>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</si>
  <si>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</si>
  <si>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</si>
  <si>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</si>
  <si>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</si>
  <si>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</si>
  <si>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</si>
  <si>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</si>
  <si>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</si>
  <si>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</si>
  <si>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</si>
  <si>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</si>
  <si>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</si>
  <si>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</si>
  <si>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</si>
  <si>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</si>
  <si>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</si>
  <si>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</si>
  <si>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</si>
  <si>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</si>
  <si>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</si>
  <si>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</si>
  <si>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</si>
  <si>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</si>
  <si>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</si>
  <si>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</si>
  <si>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</si>
  <si>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</si>
  <si>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</si>
  <si>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</si>
  <si>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</si>
  <si>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</si>
  <si>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</si>
  <si>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</si>
  <si>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</si>
  <si>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</si>
  <si>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</si>
  <si>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</si>
  <si>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</si>
  <si>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</si>
  <si>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</si>
  <si>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</si>
  <si>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</si>
  <si>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</si>
  <si>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</si>
  <si>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</si>
  <si>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</si>
  <si>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</si>
  <si>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</si>
  <si>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</si>
  <si>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</si>
  <si>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</si>
  <si>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</si>
  <si>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</si>
  <si>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</si>
  <si>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</si>
  <si>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</si>
  <si>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</si>
  <si>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</si>
  <si>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</si>
  <si>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</si>
  <si>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</si>
  <si>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</si>
  <si>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</si>
  <si>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</si>
  <si>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</si>
  <si>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</si>
  <si>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</si>
  <si>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</si>
  <si>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</si>
  <si>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</si>
  <si>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</si>
  <si>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</si>
  <si>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</si>
  <si>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</si>
  <si>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</si>
  <si>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</si>
  <si>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</si>
  <si>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</si>
  <si>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</si>
  <si>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</si>
  <si>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</si>
  <si>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</si>
  <si>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</si>
  <si>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</si>
  <si>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</si>
  <si>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</si>
  <si>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</si>
  <si>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</si>
  <si>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</si>
  <si>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</si>
  <si>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</si>
  <si>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</si>
  <si>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</si>
  <si>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</si>
  <si>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</si>
  <si>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</si>
  <si>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</si>
  <si>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</si>
  <si>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</si>
  <si>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</si>
  <si>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</si>
  <si>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</si>
  <si>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</si>
  <si>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</si>
  <si>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</si>
  <si>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</si>
  <si>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</si>
  <si>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</si>
  <si>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</si>
  <si>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</si>
  <si>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</si>
  <si>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</si>
  <si>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</si>
  <si>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</si>
  <si>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</si>
  <si>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</si>
  <si>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</si>
  <si>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</si>
  <si>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</si>
  <si>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</si>
  <si>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</si>
  <si>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</si>
  <si>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</si>
  <si>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</si>
  <si>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</si>
  <si>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</si>
  <si>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</si>
  <si>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</si>
  <si>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</si>
  <si>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</si>
  <si>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</si>
  <si>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</si>
  <si>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</si>
  <si>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</si>
  <si>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</si>
  <si>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</si>
  <si>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</si>
  <si>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</si>
  <si>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</si>
  <si>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</si>
  <si>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</si>
  <si>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</si>
  <si>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</si>
  <si>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</si>
  <si>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</si>
  <si>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</si>
  <si>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</si>
  <si>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</si>
  <si>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</si>
  <si>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</si>
  <si>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</si>
  <si>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</si>
  <si>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</si>
  <si>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</si>
  <si>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</si>
  <si>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</si>
  <si>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</si>
  <si>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</si>
  <si>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</si>
  <si>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</si>
  <si>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</si>
  <si>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</si>
  <si>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</si>
  <si>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</si>
  <si>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</si>
  <si>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</si>
  <si>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</si>
  <si>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</si>
  <si>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</si>
  <si>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</si>
  <si>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</si>
  <si>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</si>
  <si>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</si>
  <si>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</si>
  <si>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</si>
  <si>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</si>
  <si>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</si>
  <si>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</si>
  <si>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</si>
  <si>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</si>
  <si>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</si>
  <si>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</si>
  <si>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</si>
  <si>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</si>
  <si>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</si>
  <si>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</si>
  <si>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</si>
  <si>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</si>
  <si>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</si>
  <si>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</si>
  <si>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</si>
  <si>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</si>
  <si>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</si>
  <si>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</si>
  <si>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</si>
  <si>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</si>
  <si>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</si>
  <si>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</si>
  <si>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</si>
  <si>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</si>
  <si>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</si>
  <si>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</si>
  <si>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</si>
  <si>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</si>
  <si>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</si>
  <si>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</si>
  <si>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</si>
  <si>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</si>
  <si>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</si>
  <si>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</si>
  <si>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</si>
  <si>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</si>
  <si>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</si>
  <si>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</si>
  <si>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</si>
  <si>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</si>
  <si>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</si>
  <si>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</si>
  <si>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</si>
  <si>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</si>
  <si>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</si>
  <si>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</si>
  <si>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</si>
  <si>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</si>
  <si>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</si>
  <si>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</si>
  <si>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</si>
  <si>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</si>
  <si>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</si>
  <si>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</si>
  <si>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</si>
  <si>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</si>
  <si>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</si>
  <si>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</si>
  <si>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</si>
  <si>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</si>
  <si>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</si>
  <si>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</si>
  <si>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</si>
  <si>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</si>
  <si>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</si>
  <si>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</si>
  <si>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</si>
  <si>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</si>
  <si>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</si>
  <si>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</si>
  <si>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</si>
  <si>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</si>
  <si>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</si>
  <si>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</si>
  <si>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</si>
  <si>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</si>
  <si>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</si>
  <si>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</si>
  <si>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</si>
  <si>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</si>
  <si>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</si>
  <si>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</si>
  <si>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</si>
  <si>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</si>
  <si>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</si>
  <si>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</si>
  <si>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</si>
  <si>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</si>
  <si>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</si>
  <si>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</si>
  <si>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</si>
  <si>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</si>
  <si>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</si>
  <si>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</si>
  <si>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</si>
  <si>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</si>
  <si>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</si>
  <si>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</si>
  <si>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</si>
  <si>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</si>
  <si>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</si>
  <si>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</si>
  <si>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</si>
  <si>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</si>
  <si>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</si>
  <si>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</si>
  <si>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</si>
  <si>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</si>
  <si>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</si>
  <si>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</si>
  <si>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</si>
  <si>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</si>
  <si>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</si>
  <si>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</si>
  <si>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</si>
  <si>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</si>
  <si>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</si>
  <si>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</si>
  <si>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</si>
  <si>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</si>
  <si>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</si>
  <si>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</si>
  <si>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</si>
  <si>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</si>
  <si>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</si>
  <si>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</si>
  <si>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</si>
  <si>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</si>
  <si>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</si>
  <si>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</si>
  <si>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</si>
  <si>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</si>
  <si>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</si>
  <si>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</si>
  <si>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</si>
  <si>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</si>
  <si>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</si>
  <si>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</si>
  <si>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</si>
  <si>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</si>
  <si>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</si>
  <si>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</si>
  <si>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</si>
  <si>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</si>
  <si>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</si>
  <si>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</si>
  <si>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</si>
  <si>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</si>
  <si>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</si>
  <si>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</si>
  <si>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</si>
  <si>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</si>
  <si>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</si>
  <si>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</si>
  <si>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</si>
  <si>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</si>
  <si>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</si>
  <si>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</si>
  <si>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</si>
  <si>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</si>
  <si>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</si>
  <si>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</si>
  <si>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</si>
  <si>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</si>
  <si>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</si>
  <si>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</si>
  <si>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</si>
  <si>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</si>
  <si>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</si>
  <si>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</si>
  <si>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</si>
  <si>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</si>
  <si>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</si>
  <si>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</si>
  <si>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</si>
  <si>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</si>
  <si>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</si>
  <si>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</si>
  <si>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</si>
  <si>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</si>
  <si>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</si>
  <si>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</si>
  <si>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</si>
  <si>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</si>
  <si>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</si>
  <si>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</si>
  <si>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</si>
  <si>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</si>
  <si>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</si>
  <si>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</si>
  <si>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</si>
  <si>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</si>
  <si>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</si>
  <si>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</si>
  <si>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</si>
  <si>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</si>
  <si>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</si>
  <si>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</si>
  <si>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</si>
  <si>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</si>
  <si>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</si>
  <si>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</si>
  <si>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</si>
  <si>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</si>
  <si>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</si>
  <si>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</si>
  <si>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</si>
  <si>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</si>
  <si>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</si>
  <si>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</si>
  <si>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</si>
  <si>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</si>
  <si>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</si>
  <si>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</si>
  <si>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</si>
  <si>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</si>
  <si>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</si>
  <si>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</si>
  <si>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</si>
  <si>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</si>
  <si>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</si>
  <si>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</si>
  <si>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</si>
  <si>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</si>
  <si>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</si>
  <si>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</si>
  <si>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</si>
  <si>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</si>
  <si>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</si>
  <si>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</si>
  <si>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</si>
  <si>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</si>
  <si>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</si>
  <si>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</si>
  <si>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</si>
  <si>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</si>
  <si>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</si>
  <si>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</si>
  <si>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</si>
  <si>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</si>
  <si>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</si>
  <si>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</si>
  <si>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</si>
  <si>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</si>
  <si>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</si>
  <si>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</si>
  <si>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</si>
  <si>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</si>
  <si>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</si>
  <si>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</si>
  <si>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</si>
  <si>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</si>
  <si>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</si>
  <si>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</si>
  <si>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</si>
  <si>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</si>
  <si>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</si>
  <si>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</si>
  <si>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</si>
  <si>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</si>
  <si>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</si>
  <si>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</si>
  <si>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</si>
  <si>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</si>
  <si>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</si>
  <si>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</si>
  <si>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</si>
  <si>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</si>
  <si>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</si>
  <si>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</si>
  <si>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</si>
  <si>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</si>
  <si>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</si>
  <si>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</si>
  <si>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</si>
  <si>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</si>
  <si>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</si>
  <si>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</si>
  <si>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</si>
  <si>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</si>
  <si>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</si>
  <si>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</si>
  <si>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</si>
  <si>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</si>
  <si>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</si>
  <si>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</si>
  <si>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</si>
  <si>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</si>
  <si>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</si>
  <si>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</si>
  <si>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</si>
  <si>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</si>
  <si>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</si>
  <si>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</si>
  <si>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</si>
  <si>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</si>
  <si>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</si>
  <si>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</si>
  <si>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</si>
  <si>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</si>
  <si>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</si>
  <si>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</si>
  <si>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</si>
  <si>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</si>
  <si>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</si>
  <si>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</si>
  <si>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</si>
  <si>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</si>
  <si>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</si>
  <si>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</si>
  <si>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</si>
  <si>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</si>
  <si>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</si>
  <si>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</si>
  <si>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</si>
  <si>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</si>
  <si>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</si>
  <si>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</si>
  <si>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</si>
  <si>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</si>
  <si>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</si>
  <si>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</si>
  <si>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</si>
  <si>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</si>
  <si>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</si>
  <si>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</si>
  <si>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</si>
  <si>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</si>
  <si>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</si>
  <si>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</si>
  <si>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</si>
  <si>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</si>
  <si>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</si>
  <si>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</si>
  <si>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</si>
  <si>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</si>
  <si>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</si>
  <si>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</si>
  <si>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</si>
  <si>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</si>
  <si>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</si>
  <si>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</si>
  <si>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</si>
  <si>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</si>
  <si>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</si>
  <si>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</si>
  <si>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</si>
  <si>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</si>
  <si>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</si>
  <si>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</si>
  <si>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</si>
  <si>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</si>
  <si>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</si>
  <si>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</si>
  <si>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</si>
  <si>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</si>
  <si>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</si>
  <si>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</si>
  <si>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</si>
  <si>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</si>
  <si>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</si>
  <si>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</si>
  <si>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</si>
  <si>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</si>
  <si>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</si>
  <si>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</si>
  <si>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</si>
  <si>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</si>
  <si>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</si>
  <si>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</si>
  <si>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</si>
  <si>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</si>
  <si>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</si>
  <si>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</si>
  <si>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</si>
  <si>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</si>
  <si>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</si>
  <si>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</si>
  <si>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</si>
  <si>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</si>
  <si>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</si>
  <si>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</si>
  <si>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</si>
  <si>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</si>
  <si>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</si>
  <si>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</si>
  <si>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</si>
  <si>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</si>
  <si>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</si>
  <si>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</si>
  <si>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</si>
  <si>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</si>
  <si>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</si>
  <si>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</si>
  <si>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</si>
  <si>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</si>
  <si>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</si>
  <si>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</si>
  <si>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</si>
  <si>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</si>
  <si>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</si>
  <si>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</si>
  <si>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</si>
  <si>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</si>
  <si>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</si>
  <si>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</si>
  <si>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</si>
  <si>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</si>
  <si>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</si>
  <si>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</si>
  <si>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</si>
  <si>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</si>
  <si>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</si>
  <si>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</si>
  <si>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</si>
  <si>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</si>
  <si>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</si>
  <si>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</si>
  <si>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</si>
  <si>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</si>
  <si>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</si>
  <si>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</si>
  <si>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</si>
  <si>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</si>
  <si>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</si>
  <si>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</si>
  <si>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</si>
  <si>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</si>
  <si>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</si>
  <si>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</si>
  <si>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</si>
  <si>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</si>
  <si>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</si>
  <si>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</si>
  <si>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</si>
  <si>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</si>
  <si>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</si>
  <si>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</si>
  <si>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</si>
  <si>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</si>
  <si>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</si>
  <si>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</si>
  <si>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</si>
  <si>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</si>
  <si>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</si>
  <si>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</si>
  <si>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</si>
  <si>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</si>
  <si>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</si>
  <si>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</si>
  <si>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</si>
  <si>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</si>
  <si>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</si>
  <si>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</si>
  <si>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</si>
  <si>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</si>
  <si>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</si>
  <si>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</si>
  <si>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</si>
  <si>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</si>
  <si>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</si>
  <si>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</si>
  <si>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</si>
  <si>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</si>
  <si>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</si>
  <si>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</si>
  <si>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</si>
  <si>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</si>
  <si>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</si>
  <si>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</si>
  <si>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</si>
  <si>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</si>
  <si>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</si>
  <si>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</si>
  <si>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</si>
  <si>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</si>
  <si>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</si>
  <si>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</si>
  <si>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</si>
  <si>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</si>
  <si>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</si>
  <si>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</si>
  <si>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</si>
  <si>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</si>
  <si>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</si>
  <si>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</si>
  <si>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</si>
  <si>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</si>
  <si>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</si>
  <si>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</si>
  <si>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</si>
  <si>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</si>
  <si>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</si>
  <si>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</si>
  <si>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</si>
  <si>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</si>
  <si>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</si>
  <si>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</si>
  <si>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</si>
  <si>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</si>
  <si>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</si>
  <si>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</si>
  <si>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</si>
  <si>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</si>
  <si>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</si>
  <si>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</si>
  <si>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</si>
  <si>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</si>
  <si>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</si>
  <si>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</si>
  <si>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</si>
  <si>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</si>
  <si>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</si>
  <si>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</si>
  <si>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</si>
  <si>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</si>
  <si>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</si>
  <si>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</si>
  <si>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</si>
  <si>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</si>
  <si>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</si>
  <si>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</si>
  <si>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</si>
  <si>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</si>
  <si>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</si>
  <si>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</si>
  <si>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</si>
  <si>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</si>
  <si>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</si>
  <si>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</si>
  <si>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</si>
  <si>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</si>
  <si>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</si>
  <si>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</si>
  <si>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</si>
  <si>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</si>
  <si>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</si>
  <si>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</si>
  <si>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</si>
  <si>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</si>
  <si>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</si>
  <si>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</si>
  <si>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</si>
  <si>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</si>
  <si>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</si>
  <si>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</si>
  <si>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</si>
  <si>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</si>
  <si>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</si>
  <si>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</si>
  <si>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</si>
  <si>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</si>
  <si>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</si>
  <si>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</si>
  <si>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</si>
  <si>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</si>
  <si>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</si>
  <si>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</si>
  <si>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</si>
  <si>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</si>
  <si>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</si>
  <si>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</si>
  <si>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</si>
  <si>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</si>
  <si>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</si>
  <si>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</si>
  <si>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</si>
  <si>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</si>
  <si>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</si>
  <si>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</si>
  <si>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</si>
  <si>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</si>
  <si>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</si>
  <si>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</si>
  <si>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</si>
  <si>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</si>
  <si>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</si>
  <si>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</si>
  <si>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</si>
  <si>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</si>
  <si>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</si>
  <si>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</si>
  <si>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</si>
  <si>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</si>
  <si>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</si>
  <si>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</si>
  <si>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</si>
  <si>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</si>
  <si>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</si>
  <si>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</si>
  <si>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</si>
  <si>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</si>
  <si>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</si>
  <si>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</si>
  <si>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</si>
  <si>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</si>
  <si>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</si>
  <si>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</si>
  <si>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</si>
  <si>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</si>
  <si>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</si>
  <si>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</si>
  <si>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</si>
  <si>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</si>
  <si>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</si>
  <si>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</si>
  <si>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</si>
  <si>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</si>
  <si>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</si>
  <si>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</si>
  <si>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</si>
  <si>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</si>
  <si>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</si>
  <si>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</si>
  <si>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</si>
  <si>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</si>
  <si>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</si>
  <si>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</si>
  <si>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</si>
  <si>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</si>
  <si>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</si>
  <si>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</si>
  <si>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</si>
  <si>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</si>
  <si>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</si>
  <si>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</si>
  <si>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</si>
  <si>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</si>
  <si>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</si>
  <si>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</si>
  <si>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</si>
  <si>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</si>
  <si>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</si>
  <si>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</si>
  <si>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</si>
  <si>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</si>
  <si>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</si>
  <si>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</si>
  <si>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</si>
  <si>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</si>
  <si>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</si>
  <si>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</si>
  <si>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</si>
  <si>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</si>
  <si>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</si>
  <si>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</si>
  <si>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</si>
  <si>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</si>
  <si>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</si>
  <si>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</si>
  <si>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</si>
  <si>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</si>
  <si>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</si>
  <si>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</si>
  <si>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</si>
  <si>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</si>
  <si>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</si>
  <si>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</si>
  <si>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</si>
  <si>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</si>
  <si>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</si>
  <si>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</si>
  <si>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</si>
  <si>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</si>
  <si>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</si>
  <si>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</si>
  <si>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</si>
  <si>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</si>
  <si>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</si>
  <si>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</si>
  <si>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</si>
  <si>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</si>
  <si>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</si>
  <si>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</si>
  <si>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</si>
  <si>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</si>
  <si>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</si>
  <si>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</si>
  <si>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</si>
  <si>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</si>
  <si>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</si>
  <si>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</si>
  <si>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</si>
  <si>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</si>
  <si>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</si>
  <si>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</si>
  <si>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</si>
  <si>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</si>
  <si>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</si>
  <si>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</si>
  <si>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</si>
  <si>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</si>
  <si>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</si>
  <si>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</si>
  <si>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</si>
  <si>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</si>
  <si>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</si>
  <si>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</si>
  <si>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</si>
  <si>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</si>
  <si>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</si>
  <si>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</si>
  <si>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</si>
  <si>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</si>
  <si>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</si>
  <si>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</si>
  <si>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</si>
  <si>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</si>
  <si>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</si>
  <si>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</si>
  <si>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</si>
  <si>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</si>
  <si>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</si>
  <si>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</si>
  <si>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</si>
  <si>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</si>
  <si>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</si>
  <si>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</si>
  <si>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</si>
  <si>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</si>
  <si>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</si>
  <si>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</si>
  <si>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</si>
  <si>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</si>
  <si>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</si>
  <si>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</si>
  <si>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</si>
  <si>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</si>
  <si>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</si>
  <si>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</si>
  <si>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</si>
  <si>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</si>
  <si>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</si>
  <si>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</si>
  <si>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</si>
  <si>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</si>
  <si>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</si>
  <si>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</si>
  <si>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</si>
  <si>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</si>
  <si>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</si>
  <si>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</si>
  <si>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</si>
  <si>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</si>
  <si>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</si>
  <si>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</si>
  <si>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</si>
  <si>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</si>
  <si>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</si>
  <si>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</si>
  <si>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</si>
  <si>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</si>
  <si>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</si>
  <si>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</si>
  <si>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</si>
  <si>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</si>
  <si>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</si>
  <si>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</si>
  <si>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</si>
  <si>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</si>
  <si>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</si>
  <si>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</si>
  <si>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</si>
  <si>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</si>
  <si>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</si>
  <si>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</si>
  <si>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</si>
  <si>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</si>
  <si>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</si>
  <si>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</si>
  <si>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</si>
  <si>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</si>
  <si>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</si>
  <si>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</si>
  <si>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</si>
  <si>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</si>
  <si>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</si>
  <si>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</si>
  <si>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</si>
  <si>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</si>
  <si>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</si>
  <si>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</si>
  <si>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</si>
  <si>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</si>
  <si>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</si>
  <si>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</si>
  <si>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</si>
  <si>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</si>
  <si>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</si>
  <si>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</si>
  <si>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</si>
  <si>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</si>
  <si>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</si>
  <si>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</si>
  <si>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</si>
  <si>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</si>
  <si>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</si>
  <si>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</si>
  <si>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</si>
  <si>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</si>
  <si>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</si>
  <si>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</si>
  <si>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</si>
  <si>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</si>
  <si>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</si>
  <si>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</si>
  <si>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</si>
  <si>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</si>
  <si>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</si>
  <si>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</si>
  <si>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</si>
  <si>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</si>
  <si>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</si>
  <si>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</si>
  <si>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</si>
  <si>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</si>
  <si>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</si>
  <si>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</si>
  <si>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</si>
  <si>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</si>
  <si>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</si>
  <si>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</si>
  <si>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</si>
  <si>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</si>
  <si>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</si>
  <si>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</si>
  <si>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</si>
  <si>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</si>
  <si>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</si>
  <si>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</si>
  <si>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</si>
  <si>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</si>
  <si>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</si>
  <si>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</si>
  <si>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</si>
  <si>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</si>
  <si>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</si>
  <si>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</si>
  <si>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</si>
  <si>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</si>
  <si>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</si>
  <si>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</si>
  <si>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</si>
  <si>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</si>
  <si>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</si>
  <si>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</si>
  <si>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</si>
  <si>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</si>
  <si>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</si>
  <si>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</si>
  <si>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</si>
  <si>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</si>
  <si>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</si>
  <si>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</si>
  <si>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</si>
  <si>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</si>
  <si>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</si>
  <si>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</si>
  <si>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</si>
  <si>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</si>
  <si>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</si>
  <si>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</si>
  <si>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</si>
  <si>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</si>
  <si>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</si>
  <si>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</si>
  <si>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</si>
  <si>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</si>
  <si>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</si>
  <si>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</si>
  <si>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</si>
  <si>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</si>
  <si>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</si>
  <si>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</si>
  <si>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</si>
  <si>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</si>
  <si>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</si>
  <si>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</si>
  <si>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</si>
  <si>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</si>
  <si>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</si>
  <si>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</si>
  <si>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</si>
  <si>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</si>
  <si>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</si>
  <si>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</si>
  <si>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</si>
  <si>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</si>
  <si>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</si>
  <si>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</si>
  <si>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</si>
  <si>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</si>
  <si>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</si>
  <si>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</si>
  <si>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</si>
  <si>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</si>
  <si>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</si>
  <si>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</si>
  <si>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</si>
  <si>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</si>
  <si>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</si>
  <si>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</si>
  <si>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</si>
  <si>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</si>
  <si>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</si>
  <si>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</si>
  <si>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</si>
  <si>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</si>
  <si>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</si>
  <si>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</si>
  <si>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</si>
  <si>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</si>
  <si>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</si>
  <si>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</si>
  <si>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</si>
  <si>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</si>
  <si>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</si>
  <si>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</si>
  <si>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</si>
  <si>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</si>
  <si>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</si>
  <si>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</si>
  <si>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</si>
  <si>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</si>
  <si>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</si>
  <si>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</si>
  <si>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</si>
  <si>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</si>
  <si>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</si>
  <si>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</si>
  <si>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</si>
  <si>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</si>
  <si>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</si>
  <si>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</si>
  <si>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</si>
  <si>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</si>
  <si>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</si>
  <si>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</si>
  <si>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</si>
  <si>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</si>
  <si>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</si>
  <si>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</si>
  <si>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</si>
  <si>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</si>
  <si>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</si>
  <si>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</si>
  <si>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</si>
  <si>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</si>
  <si>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</si>
  <si>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</si>
  <si>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</si>
  <si>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</si>
  <si>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</si>
  <si>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</si>
  <si>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</si>
  <si>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</si>
  <si>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</si>
  <si>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</si>
  <si>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</si>
  <si>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</si>
  <si>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</si>
  <si>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</si>
  <si>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</si>
  <si>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</si>
  <si>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</si>
  <si>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</si>
  <si>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</si>
  <si>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</si>
  <si>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</si>
  <si>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</si>
  <si>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</si>
  <si>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</si>
  <si>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</si>
  <si>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</si>
  <si>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</si>
  <si>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</si>
  <si>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</si>
  <si>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</si>
  <si>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</si>
  <si>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</si>
  <si>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</si>
  <si>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</si>
  <si>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</si>
  <si>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</si>
  <si>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</si>
  <si>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</si>
  <si>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</si>
  <si>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</si>
  <si>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</si>
  <si>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</si>
  <si>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</si>
  <si>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</si>
  <si>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</si>
  <si>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</si>
  <si>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</si>
  <si>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</si>
  <si>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</si>
  <si>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</si>
  <si>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</si>
  <si>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</si>
  <si>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</si>
  <si>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</si>
  <si>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</si>
  <si>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</si>
  <si>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</si>
  <si>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</si>
  <si>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</si>
  <si>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</si>
  <si>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</si>
  <si>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</si>
  <si>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</si>
  <si>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</si>
  <si>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</si>
  <si>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</si>
  <si>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</si>
  <si>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</si>
  <si>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</si>
  <si>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</si>
  <si>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</si>
  <si>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</si>
  <si>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</si>
  <si>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</si>
  <si>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</si>
  <si>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</si>
  <si>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</si>
  <si>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</si>
  <si>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</si>
  <si>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</si>
  <si>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</si>
  <si>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</si>
  <si>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</si>
  <si>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</si>
  <si>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</si>
  <si>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</si>
  <si>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</si>
  <si>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</si>
  <si>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</si>
  <si>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</si>
  <si>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</si>
  <si>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</si>
  <si>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</si>
  <si>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</si>
  <si>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</si>
  <si>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</si>
  <si>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</si>
  <si>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</si>
  <si>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</si>
  <si>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</si>
  <si>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</si>
  <si>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</si>
  <si>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</si>
  <si>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</si>
  <si>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</si>
  <si>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</si>
  <si>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</si>
  <si>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</si>
  <si>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</si>
  <si>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</si>
  <si>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</si>
  <si>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</si>
  <si>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</si>
  <si>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</si>
  <si>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</si>
  <si>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</si>
  <si>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</si>
  <si>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</si>
  <si>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</si>
  <si>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</si>
  <si>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</si>
  <si>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</si>
  <si>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</si>
  <si>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</si>
  <si>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</si>
  <si>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</si>
  <si>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</si>
  <si>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</si>
  <si>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</si>
  <si>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</si>
  <si>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</si>
  <si>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</si>
  <si>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</si>
  <si>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</si>
  <si>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</si>
  <si>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</si>
  <si>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</si>
  <si>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</si>
  <si>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</si>
  <si>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</si>
  <si>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</si>
  <si>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</si>
  <si>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</si>
  <si>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</si>
  <si>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</si>
  <si>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</si>
  <si>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</si>
  <si>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</si>
  <si>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</si>
  <si>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</si>
  <si>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</si>
  <si>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</si>
  <si>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</si>
  <si>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</si>
  <si>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</si>
  <si>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</si>
  <si>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</si>
  <si>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</si>
  <si>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</si>
  <si>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</si>
  <si>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</si>
  <si>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</si>
  <si>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</si>
  <si>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</si>
  <si>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</si>
  <si>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</si>
  <si>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</si>
  <si>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</si>
  <si>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</si>
  <si>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</si>
  <si>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</si>
  <si>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</si>
  <si>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</si>
  <si>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</si>
  <si>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</si>
  <si>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</si>
  <si>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</si>
  <si>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</si>
  <si>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</si>
  <si>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</si>
  <si>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</si>
  <si>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</si>
  <si>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</si>
  <si>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</si>
  <si>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</si>
  <si>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</si>
  <si>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</si>
  <si>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</si>
  <si>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</si>
  <si>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</si>
  <si>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</si>
  <si>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</si>
  <si>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</si>
  <si>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</si>
  <si>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</si>
  <si>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</si>
  <si>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</si>
  <si>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</si>
  <si>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</si>
  <si>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</si>
  <si>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</si>
  <si>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</si>
  <si>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</si>
  <si>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</si>
  <si>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</si>
  <si>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</si>
  <si>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</si>
  <si>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</si>
  <si>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</si>
  <si>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</si>
  <si>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</si>
  <si>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</si>
  <si>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</si>
  <si>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</si>
  <si>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</si>
  <si>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</si>
  <si>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</si>
  <si>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</si>
  <si>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</si>
  <si>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</si>
  <si>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</si>
  <si>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</si>
  <si>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</si>
  <si>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</si>
  <si>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</si>
  <si>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</si>
  <si>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</si>
  <si>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</si>
  <si>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</si>
  <si>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</si>
  <si>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</si>
  <si>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</si>
  <si>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</si>
  <si>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</si>
  <si>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</si>
  <si>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</si>
  <si>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</si>
  <si>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</si>
  <si>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</si>
  <si>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</si>
  <si>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</si>
  <si>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</si>
  <si>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</si>
  <si>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</si>
  <si>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</si>
  <si>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</si>
  <si>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</si>
  <si>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</si>
  <si>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</si>
  <si>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</si>
  <si>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</si>
  <si>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</si>
  <si>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</si>
  <si>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</si>
  <si>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</si>
  <si>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</si>
  <si>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</si>
  <si>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</si>
  <si>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</si>
  <si>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</si>
  <si>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</si>
  <si>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</si>
  <si>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</si>
  <si>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</si>
  <si>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</si>
  <si>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</si>
  <si>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</si>
  <si>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</si>
  <si>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</si>
  <si>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</si>
  <si>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</si>
  <si>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</si>
  <si>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</si>
  <si>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</si>
  <si>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</si>
  <si>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</si>
  <si>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</si>
  <si>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</si>
  <si>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</si>
  <si>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</si>
  <si>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</si>
  <si>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</si>
  <si>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</si>
  <si>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</si>
  <si>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</si>
  <si>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</si>
  <si>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</si>
  <si>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</si>
  <si>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</si>
  <si>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</si>
  <si>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</si>
  <si>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</si>
  <si>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</si>
  <si>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</si>
  <si>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</si>
  <si>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</si>
  <si>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</si>
  <si>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</si>
  <si>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</si>
  <si>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</si>
  <si>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</si>
  <si>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</si>
  <si>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</si>
  <si>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</si>
  <si>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</si>
  <si>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</si>
  <si>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</si>
  <si>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</si>
  <si>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</si>
  <si>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</si>
  <si>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</si>
  <si>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</si>
  <si>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</si>
  <si>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</si>
  <si>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</si>
  <si>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</si>
  <si>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</si>
  <si>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</si>
  <si>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</si>
  <si>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</si>
  <si>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</si>
  <si>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</si>
  <si>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</si>
  <si>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</si>
  <si>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</si>
  <si>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</si>
  <si>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</si>
  <si>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</si>
  <si>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</si>
  <si>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</si>
  <si>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</si>
  <si>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</si>
  <si>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</si>
  <si>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</si>
  <si>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</si>
  <si>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</si>
  <si>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</si>
  <si>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</si>
  <si>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</si>
  <si>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</si>
  <si>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</si>
  <si>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</si>
  <si>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</si>
  <si>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</si>
  <si>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</si>
  <si>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</si>
  <si>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</si>
  <si>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</si>
  <si>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</si>
  <si>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</si>
  <si>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</si>
  <si>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</si>
  <si>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</si>
  <si>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</si>
  <si>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</si>
  <si>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</si>
  <si>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</si>
  <si>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</si>
  <si>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</si>
  <si>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</si>
  <si>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</si>
  <si>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</si>
  <si>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</si>
  <si>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</si>
  <si>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</si>
  <si>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</si>
  <si>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</si>
  <si>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</si>
  <si>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</si>
  <si>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</si>
  <si>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</si>
  <si>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</si>
  <si>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</si>
  <si>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</si>
  <si>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</si>
  <si>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</si>
  <si>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</si>
  <si>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</si>
  <si>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</si>
  <si>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</si>
  <si>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</si>
  <si>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</si>
  <si>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</si>
  <si>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</si>
  <si>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</si>
  <si>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</si>
  <si>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</si>
  <si>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</si>
  <si>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</si>
  <si>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</si>
  <si>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</si>
  <si>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</si>
  <si>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</si>
  <si>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</si>
  <si>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</si>
  <si>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</si>
  <si>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</si>
  <si>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</si>
  <si>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</si>
  <si>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</si>
  <si>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</si>
  <si>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</si>
  <si>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</si>
  <si>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</si>
  <si>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</si>
  <si>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</si>
  <si>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</si>
  <si>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</si>
  <si>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</si>
  <si>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</si>
  <si>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</si>
  <si>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</si>
  <si>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</si>
  <si>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</si>
  <si>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</si>
  <si>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</si>
  <si>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</si>
  <si>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</si>
  <si>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</si>
  <si>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</si>
  <si>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</si>
  <si>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</si>
  <si>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</si>
  <si>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</si>
  <si>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</si>
  <si>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</si>
  <si>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</si>
  <si>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</si>
  <si>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</si>
  <si>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</si>
  <si>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</si>
  <si>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</si>
  <si>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</si>
  <si>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</si>
  <si>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</si>
  <si>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</si>
  <si>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</si>
  <si>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</si>
  <si>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</si>
  <si>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</si>
  <si>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</si>
  <si>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</si>
  <si>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</si>
  <si>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</si>
  <si>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</si>
  <si>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</si>
  <si>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</si>
  <si>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</si>
  <si>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</si>
  <si>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</si>
  <si>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</si>
  <si>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</si>
  <si>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</si>
  <si>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</si>
  <si>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</si>
  <si>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</si>
  <si>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</si>
  <si>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</si>
  <si>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</si>
  <si>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</si>
  <si>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</si>
  <si>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</si>
  <si>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</si>
  <si>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</si>
  <si>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</si>
  <si>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</si>
  <si>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</si>
  <si>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</si>
  <si>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</si>
  <si>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</si>
  <si>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</si>
  <si>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</si>
  <si>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</si>
  <si>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</si>
  <si>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</si>
  <si>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</si>
  <si>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</si>
  <si>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</si>
  <si>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</si>
  <si>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</si>
  <si>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</si>
  <si>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</si>
  <si>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</si>
  <si>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</si>
  <si>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</si>
  <si>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</si>
  <si>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</si>
  <si>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</si>
  <si>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</si>
  <si>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</si>
  <si>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</si>
  <si>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</si>
  <si>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</si>
  <si>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</si>
  <si>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</si>
  <si>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</si>
  <si>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</si>
  <si>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</si>
  <si>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</si>
  <si>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</si>
  <si>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</si>
  <si>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</si>
  <si>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</si>
  <si>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</si>
  <si>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</si>
  <si>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</si>
  <si>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</si>
  <si>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</si>
  <si>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</si>
  <si>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</si>
  <si>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</si>
  <si>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</si>
  <si>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</si>
  <si>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</si>
  <si>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</si>
  <si>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</si>
  <si>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</si>
  <si>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</si>
  <si>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</si>
  <si>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</si>
  <si>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</si>
  <si>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</si>
  <si>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</si>
  <si>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</si>
  <si>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</si>
  <si>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</si>
  <si>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</si>
  <si>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</si>
  <si>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</si>
  <si>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</si>
  <si>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</si>
  <si>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</si>
  <si>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</si>
  <si>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</si>
  <si>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</si>
  <si>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</si>
  <si>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</si>
  <si>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</si>
  <si>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</si>
  <si>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</si>
  <si>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</si>
  <si>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</si>
  <si>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</si>
  <si>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</si>
  <si>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</si>
  <si>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</si>
  <si>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</si>
  <si>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</si>
  <si>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</si>
  <si>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</si>
  <si>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</si>
  <si>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</si>
  <si>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</si>
  <si>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</si>
  <si>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</si>
  <si>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</si>
  <si>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</si>
  <si>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</si>
  <si>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</si>
  <si>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</si>
  <si>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</si>
  <si>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</si>
  <si>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</si>
  <si>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</si>
  <si>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</si>
  <si>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</si>
  <si>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</si>
  <si>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</si>
  <si>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</si>
  <si>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</si>
  <si>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</si>
  <si>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</si>
  <si>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</si>
  <si>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</si>
  <si>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</si>
  <si>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</si>
  <si>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</si>
  <si>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</si>
  <si>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</si>
  <si>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</si>
  <si>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</si>
  <si>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</si>
  <si>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</si>
  <si>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</si>
  <si>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</si>
  <si>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</si>
  <si>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</si>
  <si>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</si>
  <si>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</si>
  <si>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</si>
  <si>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</si>
  <si>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</si>
  <si>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</si>
  <si>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</si>
  <si>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</si>
  <si>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</si>
  <si>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</si>
  <si>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</si>
  <si>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</si>
  <si>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</si>
  <si>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</si>
  <si>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</si>
  <si>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</si>
  <si>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</si>
  <si>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</si>
  <si>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</si>
  <si>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</si>
  <si>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</si>
  <si>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</si>
  <si>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</si>
  <si>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</si>
  <si>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</si>
  <si>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</si>
  <si>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</si>
  <si>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</si>
  <si>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</si>
  <si>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</si>
  <si>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</si>
  <si>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</si>
  <si>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</si>
  <si>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</si>
  <si>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</si>
  <si>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</si>
  <si>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</si>
  <si>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</si>
  <si>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</si>
  <si>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</si>
  <si>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</si>
  <si>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</si>
  <si>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</si>
  <si>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</si>
  <si>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</si>
  <si>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</si>
  <si>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</si>
  <si>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</si>
  <si>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</si>
  <si>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</si>
  <si>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</si>
  <si>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</si>
  <si>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</si>
  <si>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</si>
  <si>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</si>
  <si>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</si>
  <si>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</si>
  <si>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</si>
  <si>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</si>
  <si>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</si>
  <si>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</si>
  <si>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</si>
  <si>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</si>
  <si>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</si>
  <si>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</si>
  <si>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</si>
  <si>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</si>
  <si>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</si>
  <si>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</si>
  <si>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</si>
  <si>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</si>
  <si>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</si>
  <si>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</si>
  <si>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</si>
  <si>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</si>
  <si>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</si>
  <si>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</si>
  <si>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</si>
  <si>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</si>
  <si>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</si>
  <si>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</si>
  <si>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</si>
  <si>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</si>
  <si>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</si>
  <si>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</si>
  <si>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</si>
  <si>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</si>
  <si>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</si>
  <si>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</si>
  <si>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</si>
  <si>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</si>
  <si>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</si>
  <si>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</si>
  <si>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</si>
  <si>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</si>
  <si>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</si>
  <si>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</si>
  <si>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</si>
  <si>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</si>
  <si>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</si>
  <si>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</si>
  <si>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</si>
  <si>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</si>
  <si>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</si>
  <si>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</si>
  <si>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</si>
  <si>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</si>
  <si>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</si>
  <si>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</si>
  <si>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</si>
  <si>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</si>
  <si>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</si>
  <si>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</si>
  <si>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</si>
  <si>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</si>
  <si>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</si>
  <si>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</si>
  <si>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</si>
  <si>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</si>
  <si>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</si>
  <si>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</si>
  <si>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</si>
  <si>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</si>
  <si>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</si>
  <si>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</si>
  <si>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</si>
  <si>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</si>
  <si>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</si>
  <si>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</si>
  <si>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</si>
  <si>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</si>
  <si>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</si>
  <si>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</si>
  <si>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</si>
  <si>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</si>
  <si>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</si>
  <si>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</si>
  <si>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</si>
  <si>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</si>
  <si>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</si>
  <si>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</si>
  <si>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</si>
  <si>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</si>
  <si>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</si>
  <si>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</si>
  <si>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</si>
  <si>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</si>
  <si>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</si>
  <si>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</si>
  <si>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</si>
  <si>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</si>
  <si>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</si>
  <si>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</si>
  <si>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</si>
  <si>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</si>
  <si>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</si>
  <si>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</si>
  <si>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</si>
  <si>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</si>
  <si>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</si>
  <si>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</si>
  <si>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</si>
  <si>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</si>
  <si>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</si>
  <si>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</si>
  <si>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</si>
  <si>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</si>
  <si>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</si>
  <si>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</si>
  <si>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</si>
  <si>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</si>
  <si>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</si>
  <si>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</si>
  <si>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</si>
  <si>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</si>
  <si>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</si>
  <si>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</si>
  <si>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</si>
  <si>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</si>
  <si>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</si>
  <si>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</si>
  <si>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</si>
  <si>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</si>
  <si>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</si>
  <si>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</si>
  <si>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</si>
  <si>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</si>
  <si>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</si>
  <si>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</si>
  <si>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</si>
  <si>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</si>
  <si>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</si>
  <si>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</si>
  <si>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</si>
  <si>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</si>
  <si>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</si>
  <si>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</si>
  <si>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</si>
  <si>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</si>
  <si>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</si>
  <si>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</si>
  <si>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</si>
  <si>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</si>
  <si>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</si>
  <si>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</si>
  <si>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</si>
  <si>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</si>
  <si>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</si>
  <si>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</si>
  <si>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</si>
  <si>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</si>
  <si>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</si>
  <si>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</si>
  <si>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</si>
  <si>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</si>
  <si>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</si>
  <si>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</si>
  <si>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</si>
  <si>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</si>
  <si>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</si>
  <si>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</si>
  <si>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</si>
  <si>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</si>
  <si>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</si>
  <si>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</si>
  <si>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</si>
  <si>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</si>
  <si>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</si>
  <si>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</si>
  <si>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</si>
  <si>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</si>
  <si>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</si>
  <si>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</si>
  <si>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</si>
  <si>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</si>
  <si>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</si>
  <si>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</si>
  <si>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</si>
  <si>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</si>
  <si>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</si>
  <si>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</si>
  <si>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</si>
  <si>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</si>
  <si>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</si>
  <si>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</si>
  <si>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</si>
  <si>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</si>
  <si>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</si>
  <si>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</si>
  <si>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</si>
  <si>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</si>
  <si>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</si>
  <si>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</si>
  <si>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</si>
  <si>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</si>
  <si>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</si>
  <si>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</si>
  <si>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</si>
  <si>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</si>
  <si>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</si>
  <si>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</si>
  <si>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</si>
  <si>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</si>
  <si>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</si>
  <si>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</si>
  <si>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</si>
  <si>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</si>
  <si>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</si>
  <si>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</si>
  <si>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</si>
  <si>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</si>
  <si>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</si>
  <si>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</si>
  <si>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</si>
  <si>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</si>
  <si>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</si>
  <si>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</si>
  <si>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</si>
  <si>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</si>
  <si>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</si>
  <si>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</si>
  <si>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</si>
  <si>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</si>
  <si>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</si>
  <si>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</si>
  <si>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</si>
  <si>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</si>
  <si>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</si>
  <si>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</si>
  <si>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</si>
  <si>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</si>
  <si>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</si>
  <si>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</si>
  <si>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</si>
  <si>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</si>
  <si>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</si>
  <si>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</si>
  <si>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</si>
  <si>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</si>
  <si>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</si>
  <si>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</si>
  <si>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</si>
  <si>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</si>
  <si>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</si>
  <si>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</si>
  <si>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</si>
  <si>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</si>
  <si>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</si>
  <si>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</si>
  <si>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</si>
  <si>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</si>
  <si>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</si>
  <si>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</si>
  <si>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</si>
  <si>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</si>
  <si>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</si>
  <si>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</si>
  <si>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</si>
  <si>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</si>
  <si>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</si>
  <si>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</si>
  <si>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</si>
  <si>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</si>
  <si>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</si>
  <si>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</si>
  <si>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</si>
  <si>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</si>
  <si>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</si>
  <si>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</si>
  <si>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</si>
  <si>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</si>
  <si>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</si>
  <si>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</si>
  <si>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</si>
  <si>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</si>
  <si>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</si>
  <si>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</si>
  <si>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</si>
  <si>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</si>
  <si>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</si>
  <si>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</si>
  <si>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</si>
  <si>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</si>
  <si>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</si>
  <si>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</si>
  <si>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</si>
  <si>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</si>
  <si>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</si>
  <si>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</si>
  <si>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</si>
  <si>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</si>
  <si>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</si>
  <si>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</si>
  <si>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</si>
  <si>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</si>
  <si>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</si>
  <si>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</si>
  <si>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</si>
  <si>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</si>
  <si>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</si>
  <si>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</si>
  <si>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</si>
  <si>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</si>
  <si>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</si>
  <si>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</si>
  <si>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</si>
  <si>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</si>
  <si>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</si>
  <si>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</si>
  <si>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</si>
  <si>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</si>
  <si>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</si>
  <si>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</si>
  <si>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</si>
  <si>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</si>
  <si>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</si>
  <si>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</si>
  <si>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</si>
  <si>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</si>
  <si>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</si>
  <si>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</si>
  <si>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</si>
  <si>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</si>
  <si>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</si>
  <si>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</si>
  <si>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</si>
  <si>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</si>
  <si>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</si>
  <si>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</si>
  <si>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</si>
  <si>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</si>
  <si>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</si>
  <si>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</si>
  <si>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</si>
  <si>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</si>
  <si>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</si>
  <si>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</si>
  <si>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</si>
  <si>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</si>
  <si>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</si>
  <si>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</si>
  <si>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</si>
  <si>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</si>
  <si>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</si>
  <si>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</si>
  <si>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</si>
  <si>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</si>
  <si>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</si>
  <si>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</si>
  <si>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</si>
  <si>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</si>
  <si>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</si>
  <si>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</si>
  <si>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</si>
  <si>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</si>
  <si>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</si>
  <si>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</si>
  <si>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</si>
  <si>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</si>
  <si>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</si>
  <si>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</si>
  <si>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</si>
  <si>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</si>
  <si>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</si>
  <si>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</si>
  <si>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</si>
  <si>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</si>
  <si>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</si>
  <si>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</si>
  <si>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</si>
  <si>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</si>
  <si>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</si>
  <si>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</si>
  <si>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</si>
  <si>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</si>
  <si>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</si>
  <si>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</si>
  <si>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</si>
  <si>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</si>
  <si>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</si>
  <si>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</si>
  <si>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</si>
  <si>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</si>
  <si>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</si>
  <si>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</si>
  <si>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</si>
  <si>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</si>
  <si>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</si>
  <si>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</si>
  <si>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</si>
  <si>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</si>
  <si>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</si>
  <si>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</si>
  <si>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</si>
  <si>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</si>
  <si>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</si>
  <si>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</si>
  <si>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</si>
  <si>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</si>
  <si>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</si>
  <si>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</si>
  <si>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</si>
  <si>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</si>
  <si>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</si>
  <si>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</si>
  <si>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</si>
  <si>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</si>
  <si>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</si>
  <si>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</si>
  <si>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</si>
  <si>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</si>
  <si>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</si>
  <si>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</si>
  <si>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</si>
  <si>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</si>
  <si>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</si>
  <si>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</si>
  <si>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</si>
  <si>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</si>
  <si>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</si>
  <si>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</si>
  <si>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</si>
  <si>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</si>
  <si>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</si>
  <si>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</si>
  <si>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</si>
  <si>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</si>
  <si>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</si>
  <si>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</si>
  <si>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</si>
  <si>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</si>
  <si>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</si>
  <si>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</si>
  <si>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</si>
  <si>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</si>
  <si>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</si>
  <si>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</si>
  <si>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</si>
  <si>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</si>
  <si>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</si>
  <si>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</si>
  <si>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</si>
  <si>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</si>
  <si>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</si>
  <si>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</si>
  <si>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</si>
  <si>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</si>
  <si>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</si>
  <si>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</si>
  <si>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</si>
  <si>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</si>
  <si>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</si>
  <si>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</si>
  <si>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</si>
  <si>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</si>
  <si>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</si>
  <si>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</si>
  <si>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</si>
  <si>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</si>
  <si>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</si>
  <si>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</si>
  <si>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</si>
  <si>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</si>
  <si>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</si>
  <si>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</si>
  <si>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</si>
  <si>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</si>
  <si>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</si>
  <si>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</si>
  <si>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</si>
  <si>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</si>
  <si>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</si>
  <si>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</si>
  <si>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</si>
  <si>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</si>
  <si>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</si>
  <si>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</si>
  <si>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</si>
  <si>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</si>
  <si>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</si>
  <si>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</si>
  <si>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</si>
  <si>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</si>
  <si>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</si>
  <si>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</si>
  <si>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</si>
  <si>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</si>
  <si>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</si>
  <si>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</si>
  <si>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</si>
  <si>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</si>
  <si>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</si>
  <si>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</si>
  <si>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</si>
  <si>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</si>
  <si>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</si>
  <si>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</si>
  <si>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</si>
  <si>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</si>
  <si>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</si>
  <si>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</si>
  <si>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</si>
  <si>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</si>
  <si>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</si>
  <si>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</si>
  <si>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</si>
  <si>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</si>
  <si>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</si>
  <si>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</si>
  <si>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</si>
  <si>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</si>
  <si>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</si>
  <si>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</si>
  <si>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</si>
  <si>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</si>
  <si>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</si>
  <si>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</si>
  <si>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</si>
  <si>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</si>
  <si>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</si>
  <si>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</si>
  <si>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</si>
  <si>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</si>
  <si>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</si>
  <si>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</si>
  <si>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</si>
  <si>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</si>
  <si>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</si>
  <si>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</si>
  <si>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</si>
  <si>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</si>
  <si>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</si>
  <si>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</si>
  <si>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</si>
  <si>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</si>
  <si>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</si>
  <si>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</si>
  <si>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</si>
  <si>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</si>
  <si>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</si>
  <si>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</si>
  <si>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</si>
  <si>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</si>
  <si>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</si>
  <si>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</si>
  <si>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</si>
  <si>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</si>
  <si>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</si>
  <si>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</si>
  <si>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</si>
  <si>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</si>
  <si>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</si>
  <si>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</si>
  <si>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</si>
  <si>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</si>
  <si>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</si>
  <si>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</si>
  <si>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</si>
  <si>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</si>
  <si>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</si>
  <si>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</si>
  <si>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</si>
  <si>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</si>
  <si>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</si>
  <si>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</si>
  <si>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</si>
  <si>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</si>
  <si>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</si>
  <si>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</si>
  <si>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</si>
  <si>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</si>
  <si>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</si>
  <si>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</si>
  <si>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</si>
  <si>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</si>
  <si>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</si>
  <si>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</si>
  <si>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</si>
  <si>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</si>
  <si>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</si>
  <si>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</si>
  <si>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</si>
  <si>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</si>
  <si>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</si>
  <si>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</si>
  <si>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</si>
  <si>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</si>
  <si>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</si>
  <si>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</si>
  <si>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</si>
  <si>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</si>
  <si>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</si>
  <si>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</si>
  <si>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</si>
  <si>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</si>
  <si>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</si>
  <si>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</si>
  <si>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</si>
  <si>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</si>
  <si>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</si>
  <si>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</si>
  <si>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</si>
  <si>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</si>
  <si>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</si>
  <si>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</si>
  <si>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</si>
  <si>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</si>
  <si>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</si>
  <si>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</si>
  <si>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</si>
  <si>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</si>
  <si>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</si>
  <si>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</si>
  <si>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</si>
  <si>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</si>
  <si>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</si>
  <si>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</si>
  <si>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</si>
  <si>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</si>
  <si>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</si>
  <si>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</si>
  <si>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</si>
  <si>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</si>
  <si>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</si>
  <si>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</si>
  <si>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</si>
  <si>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</si>
  <si>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</si>
  <si>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</si>
  <si>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</si>
  <si>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</si>
  <si>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</si>
  <si>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</si>
  <si>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</si>
  <si>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</si>
  <si>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</si>
  <si>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</si>
  <si>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</si>
  <si>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</si>
  <si>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</si>
  <si>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</si>
  <si>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</si>
  <si>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</si>
  <si>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</si>
  <si>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</si>
  <si>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</si>
  <si>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</si>
  <si>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</si>
  <si>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</si>
  <si>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</si>
  <si>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</si>
  <si>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</si>
  <si>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</si>
  <si>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</si>
  <si>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</si>
  <si>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</si>
  <si>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</si>
  <si>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</si>
  <si>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</si>
  <si>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</si>
  <si>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</si>
  <si>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</si>
  <si>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</si>
  <si>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</si>
  <si>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</si>
  <si>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</si>
  <si>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</si>
  <si>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</si>
  <si>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</si>
  <si>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</si>
  <si>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</si>
  <si>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</si>
  <si>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</si>
  <si>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</si>
  <si>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</si>
  <si>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</si>
  <si>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</si>
  <si>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</si>
  <si>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</si>
  <si>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</si>
  <si>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</si>
  <si>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</si>
  <si>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</si>
  <si>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</si>
  <si>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</si>
  <si>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</si>
  <si>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</si>
  <si>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</si>
  <si>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</si>
  <si>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</si>
  <si>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</si>
  <si>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</si>
  <si>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</si>
  <si>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</si>
  <si>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</si>
  <si>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</si>
  <si>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</si>
  <si>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</si>
  <si>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</si>
  <si>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</si>
  <si>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</si>
  <si>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</si>
  <si>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</si>
  <si>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</si>
  <si>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</si>
  <si>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</si>
  <si>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</si>
  <si>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</si>
  <si>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</si>
  <si>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</si>
  <si>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</si>
  <si>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</si>
  <si>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</si>
  <si>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</si>
  <si>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</si>
  <si>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</si>
  <si>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</si>
  <si>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</si>
  <si>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</si>
  <si>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</si>
  <si>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</si>
  <si>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</si>
  <si>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</si>
  <si>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</si>
  <si>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</si>
  <si>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</si>
  <si>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</si>
  <si>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</si>
  <si>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</si>
  <si>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</si>
  <si>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</si>
  <si>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</si>
  <si>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</si>
  <si>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</si>
  <si>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</si>
  <si>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</si>
  <si>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</si>
  <si>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</si>
  <si>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</si>
  <si>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</si>
  <si>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</si>
  <si>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</si>
  <si>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</si>
  <si>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</si>
  <si>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</si>
  <si>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</si>
  <si>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</si>
  <si>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</si>
  <si>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</si>
  <si>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</si>
  <si>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</si>
  <si>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</si>
  <si>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</si>
  <si>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</si>
  <si>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</si>
  <si>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</si>
  <si>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</si>
  <si>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</si>
  <si>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</si>
  <si>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</si>
  <si>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</si>
  <si>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</si>
  <si>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</si>
  <si>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</si>
  <si>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</si>
  <si>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</si>
  <si>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</si>
  <si>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</si>
  <si>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</si>
  <si>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</si>
  <si>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</si>
  <si>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</si>
  <si>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</si>
  <si>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</si>
  <si>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</si>
  <si>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</si>
  <si>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</si>
  <si>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</si>
  <si>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</si>
  <si>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</si>
  <si>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</si>
  <si>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</si>
  <si>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</si>
  <si>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</si>
  <si>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</si>
  <si>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</si>
  <si>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</si>
  <si>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</si>
  <si>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</si>
  <si>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</si>
  <si>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</si>
  <si>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</si>
  <si>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</si>
  <si>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</si>
  <si>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</si>
  <si>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</si>
  <si>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</si>
  <si>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</si>
  <si>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</si>
  <si>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</si>
  <si>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</si>
  <si>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</si>
  <si>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</si>
  <si>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</si>
  <si>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</si>
  <si>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</si>
  <si>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</si>
  <si>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</si>
  <si>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</si>
  <si>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</si>
  <si>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</si>
  <si>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</si>
  <si>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</si>
  <si>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</si>
  <si>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</si>
  <si>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</si>
  <si>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</si>
  <si>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</si>
  <si>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</si>
  <si>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</si>
  <si>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</si>
  <si>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</si>
  <si>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</si>
  <si>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</si>
  <si>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</si>
  <si>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</si>
  <si>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</si>
  <si>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</si>
  <si>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</si>
  <si>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</si>
  <si>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</si>
  <si>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</si>
  <si>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</si>
  <si>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</si>
  <si>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</si>
  <si>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</si>
  <si>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</si>
  <si>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</si>
  <si>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</si>
  <si>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</si>
  <si>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</si>
  <si>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</si>
  <si>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</si>
  <si>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</si>
  <si>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</si>
  <si>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</si>
  <si>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</si>
  <si>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</si>
  <si>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</si>
  <si>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</si>
  <si>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</si>
  <si>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</si>
  <si>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</si>
  <si>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</si>
  <si>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</si>
  <si>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</si>
  <si>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</si>
  <si>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</si>
  <si>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</si>
  <si>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</si>
  <si>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</si>
  <si>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</si>
  <si>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</si>
  <si>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</si>
  <si>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</si>
  <si>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</si>
  <si>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</si>
  <si>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</si>
  <si>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</si>
  <si>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</si>
  <si>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</si>
  <si>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</si>
  <si>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</si>
  <si>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</si>
  <si>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</si>
  <si>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</si>
  <si>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</si>
  <si>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</si>
  <si>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</si>
  <si>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</si>
  <si>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</si>
  <si>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</si>
  <si>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</si>
  <si>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</si>
  <si>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</si>
  <si>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</si>
  <si>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</si>
  <si>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</si>
  <si>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</si>
  <si>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</si>
  <si>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</si>
  <si>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</si>
  <si>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</si>
  <si>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</si>
  <si>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</si>
  <si>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</si>
  <si>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</si>
  <si>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</si>
  <si>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</si>
  <si>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</si>
  <si>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</si>
  <si>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</si>
  <si>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</si>
  <si>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</si>
  <si>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</si>
  <si>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</si>
  <si>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</si>
  <si>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</si>
  <si>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</si>
  <si>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</si>
  <si>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</si>
  <si>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</si>
  <si>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</si>
  <si>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</si>
  <si>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</si>
  <si>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</si>
  <si>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</si>
  <si>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</si>
  <si>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</si>
  <si>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</si>
  <si>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</si>
  <si>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</si>
  <si>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</si>
  <si>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</si>
  <si>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</si>
  <si>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</si>
  <si>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</si>
  <si>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</si>
  <si>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</si>
  <si>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</si>
  <si>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</si>
  <si>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</si>
  <si>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</si>
  <si>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</si>
  <si>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</si>
  <si>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</si>
  <si>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</si>
  <si>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</si>
  <si>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</si>
  <si>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</si>
  <si>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</si>
  <si>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</si>
  <si>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</si>
  <si>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</si>
  <si>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</si>
  <si>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</si>
  <si>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</si>
  <si>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</si>
  <si>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</si>
  <si>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</si>
  <si>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</si>
  <si>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</si>
  <si>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</si>
  <si>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</si>
  <si>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</si>
  <si>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</si>
  <si>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</si>
  <si>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</si>
  <si>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</si>
  <si>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</si>
  <si>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</si>
  <si>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</si>
  <si>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</si>
  <si>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</si>
  <si>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</si>
  <si>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</si>
  <si>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</si>
  <si>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</si>
  <si>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</si>
  <si>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</si>
  <si>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</si>
  <si>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</si>
  <si>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</si>
  <si>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</si>
  <si>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</si>
  <si>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</si>
  <si>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</si>
  <si>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</si>
  <si>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</si>
  <si>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</si>
  <si>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</si>
  <si>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</si>
  <si>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</si>
  <si>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</si>
  <si>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</si>
  <si>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</si>
  <si>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</si>
  <si>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</si>
  <si>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</si>
  <si>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</si>
  <si>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</si>
  <si>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</si>
  <si>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</si>
  <si>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</si>
  <si>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</si>
  <si>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</si>
  <si>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</si>
  <si>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</si>
  <si>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</si>
  <si>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</si>
  <si>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</si>
  <si>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</si>
  <si>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</si>
  <si>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</si>
  <si>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</si>
  <si>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</si>
  <si>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</si>
  <si>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</si>
  <si>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</si>
  <si>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</si>
  <si>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</si>
  <si>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</si>
  <si>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</si>
  <si>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</si>
  <si>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</si>
  <si>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</si>
  <si>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</si>
  <si>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</si>
  <si>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</si>
  <si>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</si>
  <si>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</si>
  <si>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</si>
  <si>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</si>
  <si>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</si>
  <si>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</si>
  <si>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</si>
  <si>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</si>
  <si>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</si>
  <si>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</si>
  <si>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</si>
  <si>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</si>
  <si>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</si>
  <si>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</si>
  <si>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</si>
  <si>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</si>
  <si>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</si>
  <si>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</si>
  <si>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</si>
  <si>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</si>
  <si>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</si>
  <si>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</si>
  <si>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</si>
  <si>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</si>
  <si>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</si>
  <si>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</si>
  <si>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</si>
  <si>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</si>
  <si>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</si>
  <si>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</si>
  <si>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</si>
  <si>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</si>
  <si>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</si>
  <si>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</si>
  <si>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</si>
  <si>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</si>
  <si>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</si>
  <si>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</si>
  <si>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</si>
  <si>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</si>
  <si>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</si>
  <si>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</si>
  <si>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</si>
  <si>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</si>
  <si>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</si>
  <si>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</si>
  <si>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</si>
  <si>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</si>
  <si>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</si>
  <si>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</si>
  <si>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</si>
  <si>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</si>
  <si>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</si>
  <si>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</si>
  <si>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</si>
  <si>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</si>
  <si>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</si>
  <si>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</si>
  <si>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</si>
  <si>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</si>
  <si>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</si>
  <si>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</si>
  <si>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</si>
  <si>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</si>
  <si>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</si>
  <si>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</si>
  <si>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</si>
  <si>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</si>
  <si>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</si>
  <si>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</si>
  <si>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</si>
  <si>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</si>
  <si>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</si>
  <si>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</si>
  <si>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</si>
  <si>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</si>
  <si>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</si>
  <si>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</si>
  <si>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</si>
  <si>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</si>
  <si>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</si>
  <si>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</si>
  <si>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</si>
  <si>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</si>
  <si>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</si>
  <si>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</si>
  <si>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</si>
  <si>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</si>
  <si>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</si>
  <si>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</si>
  <si>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</si>
  <si>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</si>
  <si>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</si>
  <si>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</si>
  <si>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</si>
  <si>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</si>
  <si>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</si>
  <si>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</si>
  <si>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</si>
  <si>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</si>
  <si>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</si>
  <si>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</si>
  <si>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</si>
  <si>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</si>
  <si>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</si>
  <si>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</si>
  <si>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</si>
  <si>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</si>
  <si>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</si>
  <si>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</si>
  <si>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</si>
  <si>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</si>
  <si>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</si>
  <si>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</si>
  <si>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</si>
  <si>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</si>
  <si>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</si>
  <si>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</si>
  <si>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</si>
  <si>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</si>
  <si>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</si>
  <si>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</si>
  <si>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</si>
  <si>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</si>
  <si>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</si>
  <si>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</si>
  <si>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</si>
  <si>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</si>
  <si>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</si>
  <si>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</si>
  <si>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</si>
  <si>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</si>
  <si>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</si>
  <si>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</si>
  <si>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</si>
  <si>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</si>
  <si>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</si>
  <si>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</si>
  <si>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</si>
  <si>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</si>
  <si>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</si>
  <si>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</si>
  <si>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</si>
  <si>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</si>
  <si>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</si>
  <si>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</si>
  <si>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</si>
  <si>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</si>
  <si>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</si>
  <si>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</si>
  <si>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</si>
  <si>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</si>
  <si>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</si>
  <si>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</si>
  <si>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</si>
  <si>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</si>
  <si>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</si>
  <si>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</si>
  <si>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</si>
  <si>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</si>
  <si>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</si>
  <si>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</si>
  <si>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</si>
  <si>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</si>
  <si>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</si>
  <si>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</si>
  <si>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</si>
  <si>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</si>
  <si>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</si>
  <si>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</si>
  <si>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</si>
  <si>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</si>
  <si>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</si>
  <si>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</si>
  <si>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</si>
  <si>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</si>
  <si>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</si>
  <si>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</si>
  <si>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</si>
  <si>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</si>
  <si>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</si>
  <si>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</si>
  <si>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</si>
  <si>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</si>
  <si>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</si>
  <si>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</si>
  <si>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</si>
  <si>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</si>
  <si>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</si>
  <si>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</si>
  <si>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</si>
  <si>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</si>
  <si>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</si>
  <si>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</si>
  <si>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</si>
  <si>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</si>
  <si>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</si>
  <si>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</si>
  <si>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</si>
  <si>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</si>
  <si>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</si>
  <si>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</si>
  <si>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</si>
  <si>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</si>
  <si>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</si>
  <si>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</si>
  <si>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</si>
  <si>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</si>
  <si>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</si>
  <si>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</si>
  <si>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</si>
  <si>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</si>
  <si>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</si>
  <si>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</si>
  <si>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</si>
  <si>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</si>
  <si>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</si>
  <si>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</si>
  <si>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</si>
  <si>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</si>
  <si>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</si>
  <si>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</si>
  <si>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</si>
  <si>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</si>
  <si>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</si>
  <si>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</si>
  <si>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</si>
  <si>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</si>
  <si>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</si>
  <si>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</si>
  <si>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</si>
  <si>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</si>
  <si>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</si>
  <si>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</si>
  <si>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</si>
  <si>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</si>
  <si>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</si>
  <si>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</si>
  <si>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</si>
  <si>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</si>
  <si>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</si>
  <si>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</si>
  <si>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</si>
  <si>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</si>
  <si>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</si>
  <si>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</si>
  <si>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</si>
  <si>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</si>
  <si>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</si>
  <si>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</si>
  <si>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</si>
  <si>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</si>
  <si>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</si>
  <si>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</si>
  <si>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</si>
  <si>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</si>
  <si>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</si>
  <si>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</si>
  <si>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</si>
  <si>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</si>
  <si>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</si>
  <si>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</si>
  <si>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</si>
  <si>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</si>
  <si>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</si>
  <si>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</si>
  <si>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</si>
  <si>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</si>
  <si>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</si>
  <si>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</si>
  <si>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</si>
  <si>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</si>
  <si>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</si>
  <si>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</si>
  <si>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</si>
  <si>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</si>
  <si>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</si>
  <si>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</si>
  <si>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</si>
  <si>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</si>
  <si>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</si>
  <si>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</si>
  <si>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</si>
  <si>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</si>
  <si>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</si>
  <si>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</si>
  <si>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</si>
  <si>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</si>
  <si>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</si>
  <si>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</si>
  <si>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</si>
  <si>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</si>
  <si>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</si>
  <si>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</si>
  <si>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</si>
  <si>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</si>
  <si>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</si>
  <si>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</si>
  <si>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</si>
  <si>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</si>
  <si>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</si>
  <si>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</si>
  <si>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</si>
  <si>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</si>
  <si>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</si>
  <si>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</si>
  <si>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</si>
  <si>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</si>
  <si>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</si>
  <si>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</si>
  <si>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</si>
  <si>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</si>
  <si>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</si>
  <si>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</si>
  <si>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</si>
  <si>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</si>
  <si>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</si>
  <si>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</si>
  <si>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</si>
  <si>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</si>
  <si>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</si>
  <si>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</si>
  <si>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</si>
  <si>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</si>
  <si>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</si>
  <si>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</si>
  <si>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</si>
  <si>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</si>
  <si>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</si>
  <si>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</si>
  <si>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</si>
  <si>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</si>
  <si>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</si>
  <si>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</si>
  <si>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</si>
  <si>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</si>
  <si>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</si>
  <si>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</si>
  <si>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</si>
  <si>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</si>
  <si>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</si>
  <si>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</si>
  <si>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</si>
  <si>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</si>
  <si>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</si>
  <si>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</si>
  <si>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</si>
  <si>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</si>
  <si>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</si>
  <si>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</si>
  <si>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</si>
  <si>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</si>
  <si>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</si>
  <si>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</si>
  <si>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</si>
  <si>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</si>
  <si>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</si>
  <si>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</si>
  <si>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</si>
  <si>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</si>
  <si>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</si>
  <si>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</si>
  <si>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</si>
  <si>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</si>
  <si>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</si>
  <si>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</si>
  <si>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</si>
  <si>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</si>
  <si>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</si>
  <si>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</si>
  <si>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</si>
  <si>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</si>
  <si>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</si>
  <si>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</si>
  <si>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</si>
  <si>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</si>
  <si>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</si>
  <si>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</si>
  <si>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</si>
  <si>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</si>
  <si>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</si>
  <si>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</si>
  <si>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</si>
  <si>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</si>
  <si>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</si>
  <si>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</si>
  <si>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</si>
  <si>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</si>
  <si>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</si>
  <si>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</si>
  <si>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</si>
  <si>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</si>
  <si>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</si>
  <si>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</si>
  <si>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</si>
  <si>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</si>
  <si>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</si>
  <si>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</si>
  <si>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</si>
  <si>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</si>
  <si>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</si>
  <si>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</si>
  <si>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</si>
  <si>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</si>
  <si>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</si>
  <si>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</si>
  <si>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</si>
  <si>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</si>
  <si>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</si>
  <si>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</si>
  <si>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</si>
  <si>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</si>
  <si>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</si>
  <si>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</si>
  <si>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</si>
  <si>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</si>
  <si>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</si>
  <si>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</si>
  <si>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</si>
  <si>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</si>
  <si>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</si>
  <si>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</si>
  <si>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</si>
  <si>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</si>
  <si>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</si>
  <si>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</si>
  <si>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</si>
  <si>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</si>
  <si>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</si>
  <si>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</si>
  <si>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</si>
  <si>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</si>
  <si>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</si>
  <si>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</si>
  <si>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</si>
  <si>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</si>
  <si>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</si>
  <si>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</si>
  <si>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</si>
  <si>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</si>
  <si>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</si>
  <si>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</si>
  <si>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</si>
  <si>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</si>
  <si>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</si>
  <si>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</si>
  <si>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</si>
  <si>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</si>
  <si>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</si>
  <si>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</si>
  <si>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</si>
  <si>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</si>
  <si>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</si>
  <si>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</si>
  <si>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</si>
  <si>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</si>
  <si>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</si>
  <si>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</si>
  <si>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</si>
  <si>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</si>
  <si>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</si>
  <si>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</si>
  <si>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</si>
  <si>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</si>
  <si>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</si>
  <si>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</si>
  <si>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</si>
  <si>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</si>
  <si>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</si>
  <si>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</si>
  <si>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</si>
  <si>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</si>
  <si>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</si>
  <si>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</si>
  <si>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</si>
  <si>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</si>
  <si>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</si>
  <si>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</si>
  <si>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</si>
  <si>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</si>
  <si>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</si>
  <si>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</si>
  <si>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</si>
  <si>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</si>
  <si>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</si>
  <si>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</si>
  <si>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</si>
  <si>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</si>
  <si>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</si>
  <si>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</si>
  <si>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</si>
  <si>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</si>
  <si>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</si>
  <si>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</si>
  <si>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</si>
  <si>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</si>
  <si>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</si>
  <si>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</si>
  <si>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</si>
  <si>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</si>
  <si>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</si>
  <si>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</si>
  <si>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</si>
  <si>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</si>
  <si>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</si>
  <si>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</si>
  <si>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</si>
  <si>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</si>
  <si>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</si>
  <si>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</si>
  <si>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</si>
  <si>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</si>
  <si>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</si>
  <si>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</si>
  <si>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</si>
  <si>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</si>
  <si>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</si>
  <si>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</si>
  <si>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</si>
  <si>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</si>
  <si>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</si>
  <si>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</si>
  <si>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</si>
  <si>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</si>
  <si>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</si>
  <si>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</si>
  <si>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</si>
  <si>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</si>
  <si>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</si>
  <si>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</si>
  <si>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</si>
  <si>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</si>
  <si>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</si>
  <si>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</si>
  <si>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</si>
  <si>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</si>
  <si>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</si>
  <si>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</si>
  <si>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</si>
  <si>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</si>
  <si>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</si>
  <si>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</si>
  <si>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</si>
  <si>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</si>
  <si>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</si>
  <si>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</si>
  <si>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</si>
  <si>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</si>
  <si>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</si>
  <si>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</si>
  <si>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</si>
  <si>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</si>
  <si>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</si>
  <si>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</si>
  <si>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</si>
  <si>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</si>
  <si>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</si>
  <si>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</si>
  <si>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</si>
  <si>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</si>
  <si>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</si>
  <si>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</si>
  <si>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</si>
  <si>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</si>
  <si>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</si>
  <si>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</si>
  <si>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</si>
  <si>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</si>
  <si>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</si>
  <si>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</si>
  <si>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</si>
  <si>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</si>
  <si>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</si>
  <si>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</si>
  <si>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</si>
  <si>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</si>
  <si>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</si>
  <si>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</si>
  <si>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</si>
  <si>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</si>
  <si>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</si>
  <si>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</si>
  <si>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</si>
  <si>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</si>
  <si>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</si>
  <si>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</si>
  <si>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</si>
  <si>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</si>
  <si>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</si>
  <si>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</si>
  <si>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</si>
  <si>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</si>
  <si>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</si>
  <si>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</si>
  <si>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</si>
  <si>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</si>
  <si>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</si>
  <si>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</si>
  <si>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</si>
  <si>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</si>
  <si>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</si>
  <si>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</si>
  <si>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</si>
  <si>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</si>
  <si>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</si>
  <si>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</si>
  <si>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</si>
  <si>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</si>
  <si>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</si>
  <si>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</si>
  <si>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</si>
  <si>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</si>
  <si>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</si>
  <si>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</si>
  <si>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</si>
  <si>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</si>
  <si>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</si>
  <si>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</si>
  <si>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</si>
  <si>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</si>
  <si>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</si>
  <si>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</si>
  <si>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</si>
  <si>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</si>
  <si>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</si>
  <si>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</si>
  <si>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</si>
  <si>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</si>
  <si>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</si>
  <si>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</si>
  <si>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</si>
  <si>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</si>
  <si>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</si>
  <si>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</si>
  <si>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</si>
  <si>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</si>
  <si>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</si>
  <si>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</si>
  <si>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</si>
  <si>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</si>
  <si>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</si>
  <si>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</si>
  <si>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</si>
  <si>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</si>
  <si>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</si>
  <si>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</si>
  <si>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</si>
  <si>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</si>
  <si>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</si>
  <si>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</si>
  <si>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</si>
  <si>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</si>
  <si>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</si>
  <si>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</si>
  <si>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</si>
  <si>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</si>
  <si>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</si>
  <si>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</si>
  <si>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</si>
  <si>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</si>
  <si>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</si>
  <si>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</si>
  <si>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</si>
  <si>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</si>
  <si>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</si>
  <si>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</si>
  <si>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</si>
  <si>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</si>
  <si>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</si>
  <si>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</si>
  <si>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</si>
  <si>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</si>
  <si>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</si>
  <si>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</si>
  <si>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</si>
  <si>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</si>
  <si>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</si>
  <si>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</si>
  <si>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</si>
  <si>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</si>
  <si>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</si>
  <si>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</si>
  <si>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</si>
  <si>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</si>
  <si>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</si>
  <si>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</si>
  <si>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</si>
  <si>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</si>
  <si>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</si>
  <si>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</si>
  <si>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</si>
  <si>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</si>
  <si>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</si>
  <si>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</si>
  <si>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</si>
  <si>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</si>
  <si>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</si>
  <si>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</si>
  <si>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</si>
  <si>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</si>
  <si>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</si>
  <si>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</si>
  <si>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</si>
  <si>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</si>
  <si>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</si>
  <si>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</si>
  <si>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</si>
  <si>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</si>
  <si>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</si>
  <si>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</si>
  <si>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</si>
  <si>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</si>
  <si>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</si>
  <si>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</si>
  <si>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</si>
  <si>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</si>
  <si>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</si>
  <si>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</si>
  <si>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</si>
  <si>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</si>
  <si>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</si>
  <si>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</si>
  <si>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</si>
  <si>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</si>
  <si>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</si>
  <si>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</si>
  <si>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</si>
  <si>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</si>
  <si>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</si>
  <si>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</si>
  <si>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</si>
  <si>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</si>
  <si>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</si>
  <si>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</si>
  <si>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</si>
  <si>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</si>
  <si>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</si>
  <si>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</si>
  <si>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</si>
  <si>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</si>
  <si>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</si>
  <si>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</si>
  <si>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</si>
  <si>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</si>
  <si>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</si>
  <si>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</si>
  <si>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</si>
  <si>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</si>
  <si>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</si>
  <si>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</si>
  <si>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</si>
  <si>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</si>
  <si>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</si>
  <si>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</si>
  <si>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</si>
  <si>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</si>
  <si>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</si>
  <si>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</si>
  <si>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</si>
  <si>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</si>
  <si>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</si>
  <si>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</si>
  <si>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</si>
  <si>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</si>
  <si>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</si>
  <si>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</si>
  <si>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</si>
  <si>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</si>
  <si>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</si>
  <si>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</si>
  <si>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</si>
  <si>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</si>
  <si>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</si>
  <si>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</si>
  <si>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</si>
  <si>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</si>
  <si>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</si>
  <si>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</si>
  <si>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</si>
  <si>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</si>
  <si>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</si>
  <si>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</si>
  <si>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</si>
  <si>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</si>
  <si>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</si>
  <si>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</si>
  <si>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</si>
  <si>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</si>
  <si>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</si>
  <si>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</si>
  <si>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</si>
  <si>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</si>
  <si>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</si>
  <si>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</si>
  <si>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</si>
  <si>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</si>
  <si>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</si>
  <si>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</si>
  <si>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</si>
  <si>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</si>
  <si>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</si>
  <si>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</si>
  <si>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</si>
  <si>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</si>
  <si>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</si>
  <si>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</si>
  <si>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</si>
  <si>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</si>
  <si>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</si>
  <si>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</si>
  <si>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</si>
  <si>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</si>
  <si>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</si>
  <si>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</si>
  <si>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</si>
  <si>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</si>
  <si>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</si>
  <si>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</si>
  <si>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</si>
  <si>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</si>
  <si>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</si>
  <si>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</si>
  <si>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</si>
  <si>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</si>
  <si>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</si>
  <si>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</si>
  <si>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</si>
  <si>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</si>
  <si>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</si>
  <si>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</si>
  <si>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</si>
  <si>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</si>
  <si>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</si>
  <si>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</si>
  <si>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</si>
  <si>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</si>
  <si>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</si>
  <si>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</si>
  <si>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</si>
  <si>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</si>
  <si>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</si>
  <si>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</si>
  <si>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</si>
  <si>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</si>
  <si>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</si>
  <si>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</si>
  <si>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</si>
  <si>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</si>
  <si>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</si>
  <si>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</si>
  <si>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</si>
  <si>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</si>
  <si>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</si>
  <si>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</si>
  <si>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</si>
  <si>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</si>
  <si>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</si>
  <si>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</si>
  <si>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</si>
  <si>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</si>
  <si>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</si>
  <si>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</si>
  <si>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</si>
  <si>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</si>
  <si>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</si>
  <si>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</si>
  <si>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</si>
  <si>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</si>
  <si>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</si>
  <si>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</si>
  <si>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</si>
  <si>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</si>
  <si>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</si>
  <si>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</si>
  <si>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</si>
  <si>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</si>
  <si>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</si>
  <si>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</si>
  <si>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</si>
  <si>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</si>
  <si>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</si>
  <si>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</si>
  <si>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</si>
  <si>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</si>
  <si>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</si>
  <si>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</si>
  <si>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</si>
  <si>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</si>
  <si>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</si>
  <si>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</si>
  <si>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</si>
  <si>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</si>
  <si>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</si>
  <si>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</si>
  <si>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</si>
  <si>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</si>
  <si>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</si>
  <si>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</si>
  <si>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</si>
  <si>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</si>
  <si>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</si>
  <si>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</si>
  <si>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</si>
  <si>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</si>
  <si>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</si>
  <si>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</si>
  <si>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</si>
  <si>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</si>
  <si>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</si>
  <si>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</si>
  <si>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</si>
  <si>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</si>
  <si>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</si>
  <si>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</si>
  <si>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</si>
  <si>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</si>
  <si>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</si>
  <si>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</si>
  <si>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</si>
  <si>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</si>
  <si>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</si>
  <si>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</si>
  <si>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</si>
  <si>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</si>
  <si>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</si>
  <si>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</si>
  <si>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</si>
  <si>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</si>
  <si>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</si>
  <si>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</si>
  <si>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</si>
  <si>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</si>
  <si>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</si>
  <si>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</si>
  <si>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</si>
  <si>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</si>
  <si>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</si>
  <si>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</si>
  <si>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</si>
  <si>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</si>
  <si>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</si>
  <si>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</si>
  <si>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</si>
  <si>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</si>
  <si>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</si>
  <si>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</si>
  <si>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</si>
  <si>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</si>
  <si>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</si>
  <si>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</si>
  <si>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</si>
  <si>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</si>
  <si>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</si>
  <si>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</si>
  <si>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</si>
  <si>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</si>
  <si>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</si>
  <si>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</si>
  <si>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</si>
  <si>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</si>
  <si>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</si>
  <si>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</si>
  <si>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</si>
  <si>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</si>
  <si>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</si>
  <si>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</si>
  <si>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</si>
  <si>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</si>
  <si>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</si>
  <si>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</si>
  <si>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</si>
  <si>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</si>
  <si>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</si>
  <si>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</si>
  <si>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</si>
  <si>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</si>
  <si>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</si>
  <si>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</si>
  <si>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</si>
  <si>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</si>
  <si>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</si>
  <si>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</si>
  <si>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</si>
  <si>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</si>
  <si>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</si>
  <si>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</si>
  <si>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</si>
  <si>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</si>
  <si>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</si>
  <si>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</si>
  <si>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</si>
  <si>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</si>
  <si>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</si>
  <si>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</si>
  <si>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</si>
  <si>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</si>
  <si>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</si>
  <si>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</si>
  <si>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</si>
  <si>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</si>
  <si>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</si>
  <si>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</si>
  <si>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</si>
  <si>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</si>
  <si>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</si>
  <si>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</si>
  <si>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</si>
  <si>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</si>
  <si>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</si>
  <si>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</si>
  <si>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</si>
  <si>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</si>
  <si>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</si>
  <si>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</si>
  <si>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</si>
  <si>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</si>
  <si>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</si>
  <si>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</si>
  <si>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</si>
  <si>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</si>
  <si>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</si>
  <si>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</si>
  <si>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</si>
  <si>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</si>
  <si>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</si>
  <si>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</si>
  <si>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</si>
  <si>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</si>
  <si>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</si>
  <si>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</si>
  <si>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</si>
  <si>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</si>
  <si>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</si>
  <si>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</si>
  <si>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</si>
  <si>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</si>
  <si>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</si>
  <si>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</si>
  <si>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</si>
  <si>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</si>
  <si>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</si>
  <si>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</si>
  <si>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</si>
  <si>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</si>
  <si>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</si>
  <si>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</si>
  <si>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</si>
  <si>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</si>
  <si>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</si>
  <si>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</si>
  <si>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</si>
  <si>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</si>
  <si>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</si>
  <si>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</si>
  <si>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</si>
  <si>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</si>
  <si>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</si>
  <si>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</si>
  <si>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</si>
  <si>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</si>
  <si>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</si>
  <si>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</si>
  <si>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</si>
  <si>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</si>
  <si>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</si>
  <si>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</si>
  <si>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</si>
  <si>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</si>
  <si>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</si>
  <si>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</si>
  <si>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</si>
  <si>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</si>
  <si>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</si>
  <si>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</si>
  <si>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</si>
  <si>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</si>
  <si>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</si>
  <si>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</si>
  <si>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</si>
  <si>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</si>
  <si>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</si>
  <si>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</si>
  <si>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</si>
  <si>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</si>
  <si>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</si>
  <si>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</si>
  <si>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</si>
  <si>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</si>
  <si>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</si>
  <si>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</si>
  <si>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</si>
  <si>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</si>
  <si>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</si>
  <si>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</si>
  <si>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</si>
  <si>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</si>
  <si>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</si>
  <si>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</si>
  <si>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</si>
  <si>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</si>
  <si>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</si>
  <si>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</si>
  <si>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</si>
  <si>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</si>
  <si>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</si>
  <si>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</si>
  <si>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</si>
  <si>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</si>
  <si>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</si>
  <si>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</si>
  <si>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</si>
  <si>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</si>
  <si>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</si>
  <si>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</si>
  <si>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</si>
  <si>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</si>
  <si>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</si>
  <si>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</si>
  <si>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</si>
  <si>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</si>
  <si>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</si>
  <si>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</si>
  <si>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</si>
  <si>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</si>
  <si>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</si>
  <si>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</si>
  <si>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</si>
  <si>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</si>
  <si>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</si>
  <si>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</si>
  <si>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</si>
  <si>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</si>
  <si>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</si>
  <si>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</si>
  <si>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</si>
  <si>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</si>
  <si>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</si>
  <si>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</si>
  <si>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</si>
  <si>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</si>
  <si>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</si>
  <si>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</si>
  <si>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</si>
  <si>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</si>
  <si>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</si>
  <si>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</si>
  <si>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</si>
  <si>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</si>
  <si>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</si>
  <si>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</si>
  <si>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</si>
  <si>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</si>
  <si>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</si>
  <si>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</si>
  <si>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</si>
  <si>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</si>
  <si>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</si>
  <si>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</si>
  <si>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</si>
  <si>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</si>
  <si>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</si>
  <si>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</si>
  <si>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</si>
  <si>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</si>
  <si>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</si>
  <si>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</si>
  <si>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</si>
  <si>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</si>
  <si>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</si>
  <si>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</si>
  <si>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</si>
  <si>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</si>
  <si>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</si>
  <si>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</si>
  <si>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</si>
  <si>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</si>
  <si>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</si>
  <si>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</si>
  <si>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</si>
  <si>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</si>
  <si>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</si>
  <si>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</si>
  <si>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</si>
  <si>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</si>
  <si>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</si>
  <si>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</si>
  <si>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</si>
  <si>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</si>
  <si>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</si>
  <si>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</si>
  <si>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</si>
  <si>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</si>
  <si>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</si>
  <si>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</si>
  <si>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</si>
  <si>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</si>
  <si>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</si>
  <si>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</si>
  <si>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</si>
  <si>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</si>
  <si>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</si>
  <si>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</si>
  <si>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</si>
  <si>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</si>
  <si>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</si>
  <si>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</si>
  <si>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</si>
  <si>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</si>
  <si>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</si>
  <si>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</si>
  <si>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</si>
  <si>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</si>
  <si>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</si>
  <si>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</si>
  <si>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</si>
  <si>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</si>
  <si>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</si>
  <si>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</si>
  <si>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</si>
  <si>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</si>
  <si>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</si>
  <si>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</si>
  <si>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</si>
  <si>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</si>
  <si>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</si>
  <si>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</si>
  <si>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</si>
  <si>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</si>
  <si>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</si>
  <si>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</si>
  <si>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</si>
  <si>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</si>
  <si>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</si>
  <si>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</si>
  <si>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</si>
  <si>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</si>
  <si>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</si>
  <si>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</si>
  <si>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</si>
  <si>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</si>
  <si>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</si>
  <si>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</si>
  <si>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</si>
  <si>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</si>
  <si>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</si>
  <si>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</si>
  <si>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</si>
  <si>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</si>
  <si>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</si>
  <si>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</si>
  <si>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</si>
  <si>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</si>
  <si>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</si>
  <si>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</si>
  <si>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</si>
  <si>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</si>
  <si>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</si>
  <si>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</si>
  <si>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</si>
  <si>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</si>
  <si>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</si>
  <si>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</si>
  <si>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</si>
  <si>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</si>
  <si>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</si>
  <si>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</si>
  <si>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</si>
  <si>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</si>
  <si>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</si>
  <si>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</si>
  <si>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</si>
  <si>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</si>
  <si>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</si>
  <si>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</si>
  <si>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</si>
  <si>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</si>
  <si>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</si>
  <si>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</si>
  <si>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</si>
  <si>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</si>
  <si>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</si>
  <si>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</si>
  <si>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</si>
  <si>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</si>
  <si>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</si>
  <si>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</si>
  <si>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</si>
  <si>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</si>
  <si>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</si>
  <si>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</si>
  <si>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</si>
  <si>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</si>
  <si>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</si>
  <si>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</si>
  <si>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</si>
  <si>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</si>
  <si>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</si>
  <si>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</si>
  <si>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</si>
  <si>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</si>
  <si>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</si>
  <si>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</si>
  <si>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</si>
  <si>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</si>
  <si>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</si>
  <si>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</si>
  <si>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</si>
  <si>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</si>
  <si>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</si>
  <si>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</si>
  <si>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</si>
  <si>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</si>
  <si>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</si>
  <si>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</si>
  <si>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</si>
  <si>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</si>
  <si>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</si>
  <si>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</si>
  <si>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</si>
  <si>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</si>
  <si>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</si>
  <si>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</si>
  <si>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</si>
  <si>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</si>
  <si>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</si>
  <si>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</si>
  <si>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</si>
  <si>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</si>
  <si>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</si>
  <si>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</si>
  <si>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</si>
  <si>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</si>
  <si>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</si>
  <si>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</si>
  <si>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</si>
  <si>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</si>
  <si>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</si>
  <si>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</si>
  <si>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</si>
  <si>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</si>
  <si>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</si>
  <si>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</si>
  <si>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</si>
  <si>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</si>
  <si>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</si>
  <si>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</si>
  <si>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</si>
  <si>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</si>
  <si>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</si>
  <si>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</si>
  <si>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</si>
  <si>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</si>
  <si>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</si>
  <si>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</si>
  <si>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</si>
  <si>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</si>
  <si>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</si>
  <si>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</si>
  <si>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</si>
  <si>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</si>
  <si>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</si>
  <si>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</si>
  <si>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</si>
  <si>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</si>
  <si>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</si>
  <si>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</si>
  <si>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</si>
  <si>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</si>
  <si>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</si>
  <si>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</si>
  <si>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</si>
  <si>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</si>
  <si>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</si>
  <si>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</si>
  <si>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</si>
  <si>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</si>
  <si>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</si>
  <si>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</si>
  <si>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</si>
  <si>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</si>
  <si>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</si>
  <si>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</si>
  <si>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</si>
  <si>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</si>
  <si>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</si>
  <si>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</si>
  <si>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</si>
  <si>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</si>
  <si>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</si>
  <si>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</si>
  <si>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</si>
  <si>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</si>
  <si>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</si>
  <si>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</si>
  <si>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</si>
  <si>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</si>
  <si>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</si>
  <si>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</si>
  <si>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</si>
  <si>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</si>
  <si>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</si>
  <si>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</si>
  <si>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</si>
  <si>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</si>
  <si>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</si>
  <si>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</si>
  <si>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</si>
  <si>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</si>
  <si>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</si>
  <si>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</si>
  <si>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</si>
  <si>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</si>
  <si>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</si>
  <si>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</si>
  <si>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</si>
  <si>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</si>
  <si>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</si>
  <si>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</si>
  <si>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</si>
  <si>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</si>
  <si>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</si>
  <si>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</si>
  <si>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</si>
  <si>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</si>
  <si>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</si>
  <si>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</si>
  <si>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</si>
  <si>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</si>
  <si>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</si>
  <si>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</si>
  <si>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</si>
  <si>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</si>
  <si>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</si>
  <si>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</si>
  <si>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</si>
  <si>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</si>
  <si>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</si>
  <si>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</si>
  <si>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</si>
  <si>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</si>
  <si>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</si>
  <si>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</si>
  <si>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</si>
  <si>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</si>
  <si>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</si>
  <si>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</si>
  <si>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</si>
  <si>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</si>
  <si>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</si>
  <si>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</si>
  <si>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</si>
  <si>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</si>
  <si>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</si>
  <si>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</si>
  <si>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</si>
  <si>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</si>
  <si>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</si>
  <si>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</si>
  <si>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</si>
  <si>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</si>
  <si>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</si>
  <si>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</si>
  <si>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</si>
  <si>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</si>
  <si>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</si>
  <si>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</si>
  <si>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</si>
  <si>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</si>
  <si>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</si>
  <si>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</si>
  <si>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</si>
  <si>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</si>
  <si>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</si>
  <si>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</si>
  <si>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</si>
  <si>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</si>
  <si>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</si>
  <si>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</si>
  <si>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</si>
  <si>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</si>
  <si>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</si>
  <si>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</si>
  <si>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</si>
  <si>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</si>
  <si>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</si>
  <si>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</si>
  <si>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</si>
  <si>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</si>
  <si>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</si>
  <si>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</si>
  <si>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</si>
  <si>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</si>
  <si>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</si>
  <si>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</si>
  <si>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</si>
  <si>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</si>
  <si>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</si>
  <si>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</si>
  <si>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</si>
  <si>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</si>
  <si>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</si>
  <si>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</si>
  <si>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</si>
  <si>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</si>
  <si>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</si>
  <si>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</si>
  <si>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</si>
  <si>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</si>
  <si>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</si>
  <si>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</si>
  <si>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</si>
  <si>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</si>
  <si>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</si>
  <si>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</si>
  <si>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</si>
  <si>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</si>
  <si>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</si>
  <si>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</si>
  <si>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</si>
  <si>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</si>
  <si>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</si>
  <si>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</si>
  <si>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</si>
  <si>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</si>
  <si>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</si>
  <si>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</si>
  <si>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</si>
  <si>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</si>
  <si>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</si>
  <si>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</si>
  <si>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</si>
  <si>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</si>
  <si>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</si>
  <si>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</si>
  <si>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</si>
  <si>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</si>
  <si>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</si>
  <si>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</si>
  <si>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</si>
  <si>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</si>
  <si>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</si>
  <si>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</si>
  <si>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</si>
  <si>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</si>
  <si>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</si>
  <si>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</si>
  <si>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</si>
  <si>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</si>
  <si>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</si>
  <si>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</si>
  <si>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</si>
  <si>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</si>
  <si>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</si>
  <si>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</si>
  <si>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</si>
  <si>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</si>
  <si>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</si>
  <si>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</si>
  <si>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</si>
  <si>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</si>
  <si>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</si>
  <si>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</si>
  <si>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</si>
  <si>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</si>
  <si>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</si>
  <si>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</si>
  <si>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</si>
  <si>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</si>
  <si>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</si>
  <si>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</si>
  <si>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</si>
  <si>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</si>
  <si>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</si>
  <si>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</si>
  <si>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</si>
  <si>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</si>
  <si>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</si>
  <si>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</si>
  <si>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</si>
  <si>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</si>
  <si>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</si>
  <si>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</si>
  <si>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</si>
  <si>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</si>
  <si>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</si>
  <si>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</si>
  <si>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</si>
  <si>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</si>
  <si>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</si>
  <si>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</si>
  <si>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</si>
  <si>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</si>
  <si>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</si>
  <si>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</si>
  <si>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</si>
  <si>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</si>
  <si>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</si>
  <si>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</si>
  <si>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</si>
  <si>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</si>
  <si>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</si>
  <si>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</si>
  <si>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</si>
  <si>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</si>
  <si>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</si>
  <si>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</si>
  <si>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</si>
  <si>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</si>
  <si>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</si>
  <si>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</si>
  <si>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</si>
  <si>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</si>
  <si>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</si>
  <si>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</si>
  <si>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</si>
  <si>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</si>
  <si>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</si>
  <si>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</si>
  <si>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</si>
  <si>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</si>
  <si>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</si>
  <si>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</si>
  <si>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</si>
  <si>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</si>
  <si>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</si>
  <si>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</si>
  <si>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</si>
  <si>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</si>
  <si>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</si>
  <si>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</si>
  <si>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</si>
  <si>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</si>
  <si>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</si>
  <si>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</si>
  <si>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</si>
  <si>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</si>
  <si>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</si>
  <si>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</si>
  <si>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</si>
  <si>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</si>
  <si>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</si>
  <si>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</si>
  <si>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</si>
  <si>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</si>
  <si>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</si>
  <si>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</si>
  <si>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</si>
  <si>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</si>
  <si>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</si>
  <si>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</si>
  <si>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</si>
  <si>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</si>
  <si>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</si>
  <si>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</si>
  <si>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</si>
  <si>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</si>
  <si>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</si>
  <si>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</si>
  <si>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</si>
  <si>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</si>
  <si>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</si>
  <si>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</si>
  <si>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</si>
  <si>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</si>
  <si>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</si>
  <si>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</si>
  <si>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</si>
  <si>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</si>
  <si>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</si>
  <si>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</si>
  <si>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</si>
  <si>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</si>
  <si>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</si>
  <si>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</si>
  <si>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</si>
  <si>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</si>
  <si>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</si>
  <si>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</si>
  <si>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</si>
  <si>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</si>
  <si>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</si>
  <si>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</si>
  <si>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</si>
  <si>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</si>
  <si>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</si>
  <si>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</si>
  <si>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</si>
  <si>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</si>
  <si>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</si>
  <si>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</si>
  <si>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</si>
  <si>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</si>
  <si>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</si>
  <si>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</si>
  <si>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</si>
  <si>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</si>
  <si>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</si>
  <si>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</si>
  <si>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</si>
  <si>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</si>
  <si>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</si>
  <si>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</si>
  <si>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</si>
  <si>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</si>
  <si>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</si>
  <si>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</si>
  <si>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</si>
  <si>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</si>
  <si>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</si>
  <si>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</si>
  <si>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</si>
  <si>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</si>
  <si>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</si>
  <si>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</si>
  <si>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</si>
  <si>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</si>
  <si>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</si>
  <si>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</si>
  <si>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</si>
  <si>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</si>
  <si>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</si>
  <si>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</si>
  <si>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</si>
  <si>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</si>
  <si>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</si>
  <si>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</si>
  <si>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</si>
  <si>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</si>
  <si>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</si>
  <si>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</si>
  <si>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</si>
  <si>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</si>
  <si>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</si>
  <si>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</si>
  <si>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</si>
  <si>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</si>
  <si>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</si>
  <si>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</si>
  <si>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</si>
  <si>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</si>
  <si>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</si>
  <si>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</si>
  <si>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</si>
  <si>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</si>
  <si>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</si>
  <si>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</si>
  <si>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</si>
  <si>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</si>
  <si>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</si>
  <si>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</si>
  <si>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</si>
  <si>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</si>
  <si>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</si>
  <si>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</si>
  <si>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</si>
  <si>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</si>
  <si>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</si>
  <si>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</si>
  <si>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</si>
  <si>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</si>
  <si>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</si>
  <si>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</si>
  <si>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</si>
  <si>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</si>
  <si>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</si>
  <si>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</si>
  <si>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</si>
  <si>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</si>
  <si>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</si>
  <si>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</si>
  <si>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</si>
  <si>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</si>
  <si>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</si>
  <si>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</si>
  <si>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</si>
  <si>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</si>
  <si>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</si>
  <si>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</si>
  <si>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</si>
  <si>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</si>
  <si>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</si>
  <si>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</si>
  <si>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</si>
  <si>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</si>
  <si>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</si>
  <si>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</si>
  <si>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</si>
  <si>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</si>
  <si>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</si>
  <si>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</si>
  <si>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</si>
  <si>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</si>
  <si>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</si>
  <si>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</si>
  <si>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</si>
  <si>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</si>
  <si>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</si>
  <si>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</si>
  <si>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</si>
  <si>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</si>
  <si>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</si>
  <si>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</si>
  <si>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</si>
  <si>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</si>
  <si>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</si>
  <si>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</si>
  <si>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</si>
  <si>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</si>
  <si>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</si>
  <si>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</si>
  <si>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</si>
  <si>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</si>
  <si>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</si>
  <si>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</si>
  <si>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</si>
  <si>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</si>
  <si>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</si>
  <si>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</si>
  <si>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</si>
  <si>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</si>
  <si>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</si>
  <si>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</si>
  <si>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</si>
  <si>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</si>
  <si>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</si>
  <si>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</si>
  <si>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</si>
  <si>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</si>
  <si>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</si>
  <si>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</si>
  <si>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</si>
  <si>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</si>
  <si>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</si>
  <si>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</si>
  <si>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</si>
  <si>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</si>
  <si>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</si>
  <si>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</si>
  <si>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</si>
  <si>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</si>
  <si>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</si>
  <si>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</si>
  <si>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</si>
  <si>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</si>
  <si>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</si>
  <si>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</si>
  <si>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</si>
  <si>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</si>
  <si>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</si>
  <si>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</si>
  <si>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</si>
  <si>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</si>
  <si>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</si>
  <si>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</si>
  <si>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</si>
  <si>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</si>
  <si>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</si>
  <si>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</si>
  <si>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</si>
  <si>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</si>
  <si>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</si>
  <si>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</si>
  <si>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</si>
  <si>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</si>
  <si>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</si>
  <si>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</si>
  <si>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</si>
  <si>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</si>
  <si>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</si>
  <si>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</si>
  <si>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</si>
  <si>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</si>
  <si>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</si>
  <si>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</si>
  <si>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</si>
  <si>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</si>
  <si>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</si>
  <si>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</si>
  <si>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</si>
  <si>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</si>
  <si>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</si>
  <si>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</si>
  <si>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</si>
  <si>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</si>
  <si>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</si>
  <si>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</si>
  <si>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</si>
  <si>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</si>
  <si>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</si>
  <si>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</si>
  <si>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</si>
  <si>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</si>
  <si>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</si>
  <si>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</si>
  <si>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</si>
  <si>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</si>
  <si>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</si>
  <si>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</si>
  <si>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</si>
  <si>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</si>
  <si>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</si>
  <si>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</si>
  <si>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</si>
  <si>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</si>
  <si>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</si>
  <si>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</si>
  <si>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</si>
  <si>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</si>
  <si>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</si>
  <si>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</si>
  <si>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</si>
  <si>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</si>
  <si>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</si>
  <si>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</si>
  <si>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</si>
  <si>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</si>
  <si>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</si>
  <si>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</si>
  <si>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</si>
  <si>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</si>
  <si>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</si>
  <si>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</si>
  <si>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</si>
  <si>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</si>
  <si>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</si>
  <si>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</si>
  <si>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</si>
  <si>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</si>
  <si>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</si>
  <si>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</si>
  <si>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</si>
  <si>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</si>
  <si>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</si>
  <si>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</si>
  <si>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</si>
  <si>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</si>
  <si>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</si>
  <si>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</si>
  <si>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</si>
  <si>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</si>
  <si>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</si>
  <si>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</si>
  <si>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</si>
  <si>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</si>
  <si>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</si>
  <si>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</si>
  <si>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</si>
  <si>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</si>
  <si>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</si>
  <si>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</si>
  <si>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</si>
  <si>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</si>
  <si>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</si>
  <si>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</si>
  <si>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</si>
  <si>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</si>
  <si>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</si>
  <si>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</si>
  <si>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</si>
  <si>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</si>
  <si>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</si>
  <si>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</si>
  <si>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</si>
  <si>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</si>
  <si>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</si>
  <si>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</si>
  <si>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</si>
  <si>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</si>
  <si>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</si>
  <si>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</si>
  <si>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</si>
  <si>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</si>
  <si>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</si>
  <si>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</si>
  <si>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</si>
  <si>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</si>
  <si>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</si>
  <si>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</si>
  <si>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</si>
  <si>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</si>
  <si>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</si>
  <si>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</si>
  <si>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</si>
  <si>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</si>
  <si>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</si>
  <si>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</si>
  <si>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</si>
  <si>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</si>
  <si>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</si>
  <si>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</si>
  <si>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</si>
  <si>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</si>
  <si>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</si>
  <si>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</si>
  <si>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</si>
  <si>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</si>
  <si>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</si>
  <si>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</si>
  <si>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</si>
  <si>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</si>
  <si>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</si>
  <si>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</si>
  <si>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</si>
  <si>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</si>
  <si>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</si>
  <si>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</si>
  <si>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</si>
  <si>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</si>
  <si>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</si>
  <si>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</si>
  <si>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</si>
  <si>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</si>
  <si>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</si>
  <si>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</si>
  <si>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</si>
  <si>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</si>
  <si>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</si>
  <si>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</si>
  <si>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</si>
  <si>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</si>
  <si>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</si>
  <si>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</si>
  <si>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</si>
  <si>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</si>
  <si>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</si>
  <si>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</si>
  <si>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</si>
  <si>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</si>
  <si>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</si>
  <si>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</si>
  <si>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</si>
  <si>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</si>
  <si>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</si>
  <si>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</si>
  <si>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</si>
  <si>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</si>
  <si>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</si>
  <si>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</si>
  <si>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</si>
  <si>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</si>
  <si>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</si>
  <si>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</si>
  <si>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</si>
  <si>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</si>
  <si>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</si>
  <si>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</si>
  <si>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</si>
  <si>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</si>
  <si>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</si>
  <si>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</si>
  <si>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</si>
  <si>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</si>
  <si>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</si>
  <si>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</si>
  <si>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</si>
  <si>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</si>
  <si>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</si>
  <si>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</si>
  <si>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</si>
  <si>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</si>
  <si>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</si>
  <si>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</si>
  <si>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</si>
  <si>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</si>
  <si>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</si>
  <si>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</si>
  <si>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</si>
  <si>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</si>
  <si>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</si>
  <si>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</si>
  <si>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</si>
  <si>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</si>
  <si>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</si>
  <si>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</si>
  <si>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</si>
  <si>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</si>
  <si>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</si>
  <si>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</si>
  <si>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</si>
  <si>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</si>
  <si>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</si>
  <si>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</si>
  <si>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</si>
  <si>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</si>
  <si>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</si>
  <si>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</si>
  <si>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</si>
  <si>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</si>
  <si>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</si>
  <si>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</si>
  <si>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</si>
  <si>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</si>
  <si>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</si>
  <si>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</si>
  <si>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</si>
  <si>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</si>
  <si>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</si>
  <si>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</si>
  <si>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</si>
  <si>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</si>
  <si>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</si>
  <si>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</si>
  <si>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</si>
  <si>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</si>
  <si>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</si>
  <si>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</si>
  <si>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</si>
  <si>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</si>
  <si>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</si>
  <si>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</si>
  <si>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</si>
  <si>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</si>
  <si>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</si>
  <si>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</si>
  <si>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</si>
  <si>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</si>
  <si>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</si>
  <si>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</si>
  <si>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</si>
  <si>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</si>
  <si>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</si>
  <si>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</si>
  <si>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</si>
  <si>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</si>
  <si>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</si>
  <si>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</si>
  <si>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</si>
  <si>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</si>
  <si>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</si>
  <si>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</si>
  <si>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</si>
  <si>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</si>
  <si>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</si>
  <si>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</si>
  <si>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</si>
  <si>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</si>
  <si>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</si>
  <si>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</si>
  <si>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</si>
  <si>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</si>
  <si>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</si>
  <si>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</si>
  <si>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</si>
  <si>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</si>
  <si>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</si>
  <si>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</si>
  <si>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</si>
  <si>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</si>
  <si>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</si>
  <si>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</si>
  <si>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</si>
  <si>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</si>
  <si>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</si>
  <si>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</si>
  <si>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</si>
  <si>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</si>
  <si>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</si>
  <si>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</si>
  <si>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</si>
  <si>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</si>
  <si>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</si>
  <si>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</si>
  <si>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</si>
  <si>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</si>
  <si>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</si>
  <si>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</si>
  <si>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</si>
  <si>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</si>
  <si>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</si>
  <si>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</si>
  <si>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</si>
  <si>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</si>
  <si>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</si>
  <si>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</si>
  <si>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</si>
  <si>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</si>
  <si>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</si>
  <si>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</si>
  <si>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</si>
  <si>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</si>
  <si>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</si>
  <si>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</si>
  <si>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</si>
  <si>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</si>
  <si>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</si>
  <si>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</si>
  <si>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</si>
  <si>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</si>
  <si>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</si>
  <si>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</si>
  <si>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</si>
  <si>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</si>
  <si>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</si>
  <si>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</si>
  <si>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</si>
  <si>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</si>
  <si>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</si>
  <si>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</si>
  <si>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</si>
  <si>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</si>
  <si>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</si>
  <si>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</si>
  <si>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</si>
  <si>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</si>
  <si>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</si>
  <si>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</si>
  <si>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</si>
  <si>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</si>
  <si>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</si>
  <si>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</si>
  <si>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</si>
  <si>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</si>
  <si>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</si>
  <si>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</si>
  <si>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</si>
  <si>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</si>
  <si>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</si>
  <si>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</si>
  <si>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</si>
  <si>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</si>
  <si>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</si>
  <si>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</si>
  <si>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</si>
  <si>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</si>
  <si>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</si>
  <si>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</si>
  <si>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</si>
  <si>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</si>
  <si>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</si>
  <si>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</si>
  <si>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</si>
  <si>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</si>
  <si>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</si>
  <si>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</si>
  <si>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</si>
  <si>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</si>
  <si>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</si>
  <si>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</si>
  <si>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</si>
  <si>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</si>
  <si>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</si>
  <si>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</si>
  <si>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</si>
  <si>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</si>
  <si>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</si>
  <si>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</si>
  <si>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</si>
  <si>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</si>
  <si>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</si>
  <si>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</si>
  <si>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</si>
  <si>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</si>
  <si>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</si>
  <si>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</si>
  <si>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</si>
  <si>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</si>
  <si>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</si>
  <si>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</si>
  <si>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</si>
  <si>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</si>
  <si>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</si>
  <si>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</si>
  <si>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</si>
  <si>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</si>
  <si>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</si>
  <si>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</si>
  <si>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</si>
  <si>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</si>
  <si>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</si>
  <si>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</si>
  <si>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</si>
  <si>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</si>
  <si>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</si>
  <si>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</si>
  <si>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</si>
  <si>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</si>
  <si>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</si>
  <si>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</si>
  <si>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</si>
  <si>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</si>
  <si>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</si>
  <si>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</si>
  <si>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</si>
  <si>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</si>
  <si>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</si>
  <si>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</si>
  <si>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</si>
  <si>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</si>
  <si>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</si>
  <si>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</si>
  <si>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</si>
  <si>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</si>
  <si>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</si>
  <si>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</si>
  <si>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</si>
  <si>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</si>
  <si>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</si>
  <si>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</si>
  <si>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</si>
  <si>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</si>
  <si>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</si>
  <si>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</si>
  <si>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</si>
  <si>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</si>
  <si>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</si>
  <si>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</si>
  <si>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</si>
  <si>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</si>
  <si>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</si>
  <si>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</si>
  <si>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</si>
  <si>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</si>
  <si>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</si>
  <si>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</si>
  <si>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</si>
  <si>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</si>
  <si>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</si>
  <si>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</si>
  <si>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</si>
  <si>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</si>
  <si>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</si>
  <si>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</si>
  <si>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</si>
  <si>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</si>
  <si>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</si>
  <si>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</si>
  <si>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</si>
  <si>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</si>
  <si>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</si>
  <si>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</si>
  <si>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</si>
  <si>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</si>
  <si>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</si>
  <si>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</si>
  <si>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</si>
  <si>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</si>
  <si>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</si>
  <si>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</si>
  <si>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</si>
  <si>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</si>
  <si>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</si>
  <si>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</si>
  <si>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</si>
  <si>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</si>
  <si>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</si>
  <si>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</si>
  <si>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</si>
  <si>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</si>
  <si>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</si>
  <si>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</si>
  <si>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</si>
  <si>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</si>
  <si>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</si>
  <si>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</si>
  <si>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</si>
  <si>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</si>
  <si>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</si>
  <si>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</si>
  <si>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</si>
  <si>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</si>
  <si>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</si>
  <si>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</si>
  <si>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</si>
  <si>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</si>
  <si>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</si>
  <si>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</si>
  <si>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</si>
  <si>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</si>
  <si>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</si>
  <si>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</si>
  <si>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</si>
  <si>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</si>
  <si>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</si>
  <si>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</si>
  <si>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</si>
  <si>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</si>
  <si>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</si>
  <si>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</si>
  <si>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</si>
  <si>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</si>
  <si>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</si>
  <si>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</si>
  <si>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</si>
  <si>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</si>
  <si>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</si>
  <si>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</si>
  <si>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</si>
  <si>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</si>
  <si>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</si>
  <si>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</si>
  <si>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</si>
  <si>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</si>
  <si>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</si>
  <si>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</si>
  <si>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</si>
  <si>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</si>
  <si>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</si>
  <si>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</si>
  <si>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</si>
  <si>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</si>
  <si>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</si>
  <si>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</si>
  <si>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</si>
  <si>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</si>
  <si>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</si>
  <si>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</si>
  <si>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</si>
  <si>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</si>
  <si>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</si>
  <si>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</si>
  <si>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</si>
  <si>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</si>
  <si>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</si>
  <si>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</si>
  <si>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</si>
  <si>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</si>
  <si>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</si>
  <si>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</si>
  <si>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</si>
  <si>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</si>
  <si>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</si>
  <si>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</si>
  <si>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</si>
  <si>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</si>
  <si>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</si>
  <si>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</si>
  <si>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</si>
  <si>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</si>
  <si>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</si>
  <si>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</si>
  <si>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</si>
  <si>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</si>
  <si>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</si>
  <si>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</si>
  <si>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</si>
  <si>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</si>
  <si>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</si>
  <si>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</si>
  <si>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</si>
  <si>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</si>
  <si>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</si>
  <si>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</si>
  <si>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</si>
  <si>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</si>
  <si>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</si>
  <si>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</si>
  <si>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</si>
  <si>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</si>
  <si>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</si>
  <si>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</si>
  <si>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</si>
  <si>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</si>
  <si>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</si>
  <si>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</si>
  <si>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</si>
  <si>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</si>
  <si>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</si>
  <si>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</si>
  <si>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</si>
  <si>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</si>
  <si>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</si>
  <si>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</si>
  <si>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</si>
  <si>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</si>
  <si>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</si>
  <si>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</si>
  <si>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</si>
  <si>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</si>
  <si>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</si>
  <si>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</si>
  <si>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</si>
  <si>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</si>
  <si>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</si>
  <si>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</si>
  <si>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</si>
  <si>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</si>
  <si>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</si>
  <si>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</si>
  <si>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</si>
  <si>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</si>
  <si>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</si>
  <si>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</si>
  <si>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</si>
  <si>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</si>
  <si>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</si>
  <si>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</si>
  <si>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</si>
  <si>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</si>
  <si>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</si>
  <si>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</si>
  <si>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</si>
  <si>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</si>
  <si>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</si>
  <si>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</si>
  <si>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</si>
  <si>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</si>
  <si>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</si>
  <si>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</si>
  <si>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</si>
  <si>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</si>
  <si>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</si>
  <si>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</si>
  <si>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</si>
  <si>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</si>
  <si>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</si>
  <si>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</si>
  <si>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</si>
  <si>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</si>
  <si>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</si>
  <si>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</si>
  <si>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</si>
  <si>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</si>
  <si>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</si>
  <si>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</si>
  <si>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</si>
  <si>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</si>
  <si>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</si>
  <si>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</si>
  <si>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</si>
  <si>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</si>
  <si>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</si>
  <si>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</si>
  <si>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</si>
  <si>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</si>
  <si>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</si>
  <si>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</si>
  <si>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</si>
  <si>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</si>
  <si>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</si>
  <si>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</si>
  <si>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</si>
  <si>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</si>
  <si>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</si>
  <si>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</si>
  <si>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</si>
  <si>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</si>
  <si>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</si>
  <si>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</si>
  <si>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</si>
  <si>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</si>
  <si>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</si>
  <si>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</si>
  <si>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</si>
  <si>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</si>
  <si>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</si>
  <si>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</si>
  <si>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</si>
  <si>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</si>
  <si>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</si>
  <si>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</si>
  <si>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</si>
  <si>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</si>
  <si>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</si>
  <si>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</si>
  <si>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</si>
  <si>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</si>
  <si>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</si>
  <si>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</si>
  <si>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</si>
  <si>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</si>
  <si>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</si>
  <si>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</si>
  <si>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</si>
  <si>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</si>
  <si>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</si>
  <si>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</si>
  <si>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</si>
  <si>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</si>
  <si>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</si>
  <si>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</si>
  <si>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</si>
  <si>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</si>
  <si>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</si>
  <si>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</si>
  <si>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</si>
  <si>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</si>
  <si>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</si>
  <si>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</si>
  <si>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</si>
  <si>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</si>
  <si>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</si>
  <si>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</si>
  <si>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</si>
  <si>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</si>
  <si>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</si>
  <si>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</si>
  <si>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</si>
  <si>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</si>
  <si>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</si>
  <si>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</si>
  <si>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</si>
  <si>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</si>
  <si>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</si>
  <si>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</si>
  <si>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</si>
  <si>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</si>
  <si>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</si>
  <si>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</si>
  <si>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</si>
  <si>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</si>
  <si>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</si>
  <si>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</si>
  <si>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</si>
  <si>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</si>
  <si>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</si>
  <si>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</si>
  <si>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</si>
  <si>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</si>
  <si>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</si>
  <si>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</si>
  <si>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</si>
  <si>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</si>
  <si>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</si>
  <si>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</si>
  <si>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</si>
  <si>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</si>
  <si>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</si>
  <si>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</si>
  <si>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</si>
  <si>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</si>
  <si>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</si>
  <si>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</si>
  <si>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</si>
  <si>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</si>
  <si>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</si>
  <si>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</si>
  <si>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</si>
  <si>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</si>
  <si>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</si>
  <si>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</si>
  <si>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</si>
  <si>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</si>
  <si>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</si>
  <si>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</si>
  <si>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</si>
  <si>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</si>
  <si>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</si>
  <si>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</si>
  <si>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</si>
  <si>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</si>
  <si>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</si>
  <si>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</si>
  <si>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</si>
  <si>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</si>
  <si>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</si>
  <si>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</si>
  <si>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</si>
  <si>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</si>
  <si>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</si>
  <si>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</si>
  <si>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</si>
  <si>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</si>
  <si>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</si>
  <si>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</si>
  <si>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</si>
  <si>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</si>
  <si>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</si>
  <si>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</si>
  <si>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</si>
  <si>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</si>
  <si>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</si>
  <si>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</si>
  <si>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</si>
  <si>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</si>
  <si>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</si>
  <si>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</si>
  <si>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</si>
  <si>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</si>
  <si>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</si>
  <si>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</si>
  <si>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</si>
  <si>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</si>
  <si>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</si>
  <si>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</si>
  <si>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</si>
  <si>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</si>
  <si>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</si>
  <si>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</si>
  <si>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</si>
  <si>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</si>
  <si>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</si>
  <si>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</si>
  <si>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</si>
  <si>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</si>
  <si>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</si>
  <si>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</si>
  <si>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</si>
  <si>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</si>
  <si>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</si>
  <si>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</si>
  <si>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</si>
  <si>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</si>
  <si>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</si>
  <si>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</si>
  <si>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</si>
  <si>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</si>
  <si>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</si>
  <si>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</si>
  <si>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</si>
  <si>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</si>
  <si>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</si>
  <si>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</si>
  <si>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</si>
  <si>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</si>
  <si>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</si>
  <si>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</si>
  <si>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</si>
  <si>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</si>
  <si>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</si>
  <si>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</si>
  <si>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</si>
  <si>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</si>
  <si>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</si>
  <si>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</si>
  <si>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</si>
  <si>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</si>
  <si>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</si>
  <si>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</si>
  <si>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</si>
  <si>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</si>
  <si>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</si>
  <si>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</si>
  <si>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</si>
  <si>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</si>
  <si>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</si>
  <si>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</si>
  <si>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</si>
  <si>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</si>
  <si>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</si>
  <si>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</si>
  <si>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</si>
  <si>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</si>
  <si>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</si>
  <si>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</si>
  <si>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</si>
  <si>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</si>
  <si>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</si>
  <si>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</si>
  <si>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</si>
  <si>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</si>
  <si>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</si>
  <si>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</si>
  <si>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</si>
  <si>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</si>
  <si>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</si>
  <si>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</si>
  <si>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</si>
  <si>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</si>
  <si>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</si>
  <si>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</si>
  <si>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</si>
  <si>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</si>
  <si>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</si>
  <si>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</si>
  <si>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</si>
  <si>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</si>
  <si>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</si>
  <si>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</si>
  <si>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</si>
  <si>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</si>
  <si>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</si>
  <si>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</si>
  <si>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</si>
  <si>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</si>
  <si>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</si>
  <si>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</si>
  <si>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</si>
  <si>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</si>
  <si>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</si>
  <si>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</si>
  <si>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</si>
  <si>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</si>
  <si>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</si>
  <si>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</si>
  <si>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</si>
  <si>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</si>
  <si>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</si>
  <si>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</si>
  <si>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</si>
  <si>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</si>
  <si>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</si>
  <si>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</si>
  <si>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</si>
  <si>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</si>
  <si>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</si>
  <si>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</si>
  <si>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</si>
  <si>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</si>
  <si>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</si>
  <si>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</si>
  <si>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</si>
  <si>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</si>
  <si>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</si>
  <si>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</si>
  <si>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</si>
  <si>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</si>
  <si>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</si>
  <si>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</si>
  <si>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</si>
  <si>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</si>
  <si>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</si>
  <si>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</si>
  <si>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</si>
  <si>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</si>
  <si>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</si>
  <si>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</si>
  <si>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</si>
  <si>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</si>
  <si>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</si>
  <si>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</si>
  <si>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</si>
  <si>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</si>
  <si>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</si>
  <si>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</si>
  <si>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</si>
  <si>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</si>
  <si>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</si>
  <si>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</si>
  <si>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</si>
  <si>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</si>
  <si>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</si>
  <si>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</si>
  <si>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</si>
  <si>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</si>
  <si>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</si>
  <si>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</si>
  <si>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</si>
  <si>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</si>
  <si>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</si>
  <si>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</si>
  <si>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</si>
  <si>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</si>
  <si>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</si>
  <si>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</si>
  <si>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</si>
  <si>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</si>
  <si>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</si>
  <si>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</si>
  <si>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</si>
  <si>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</si>
  <si>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</si>
  <si>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</si>
  <si>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</si>
  <si>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</si>
  <si>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</si>
  <si>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</si>
  <si>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</si>
  <si>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</si>
  <si>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</si>
  <si>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</si>
  <si>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</si>
  <si>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</si>
  <si>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</si>
  <si>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</si>
  <si>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</si>
  <si>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</si>
  <si>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</si>
  <si>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</si>
  <si>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</si>
  <si>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</si>
  <si>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</si>
  <si>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</si>
  <si>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</si>
  <si>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</si>
  <si>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</si>
  <si>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</si>
  <si>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</si>
  <si>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</si>
  <si>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</si>
  <si>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</si>
  <si>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</si>
  <si>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</si>
  <si>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</si>
  <si>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</si>
  <si>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</si>
  <si>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</si>
  <si>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</si>
  <si>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</si>
  <si>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</si>
  <si>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</si>
  <si>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</si>
  <si>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</si>
  <si>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</si>
  <si>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</si>
  <si>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</si>
  <si>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</si>
  <si>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</si>
  <si>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</si>
  <si>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</si>
  <si>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</si>
  <si>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</si>
  <si>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</si>
  <si>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</si>
  <si>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</si>
  <si>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</si>
  <si>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</si>
  <si>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</si>
  <si>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</si>
  <si>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</si>
  <si>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</si>
  <si>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</si>
  <si>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</si>
  <si>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</si>
  <si>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</si>
  <si>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</si>
  <si>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</si>
  <si>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</si>
  <si>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</si>
  <si>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</si>
  <si>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</si>
  <si>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</si>
  <si>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</si>
  <si>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</si>
  <si>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</si>
  <si>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</si>
  <si>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</si>
  <si>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</si>
  <si>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</si>
  <si>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</si>
  <si>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</si>
  <si>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</si>
  <si>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</si>
  <si>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</si>
  <si>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</si>
  <si>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</si>
  <si>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</si>
  <si>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</si>
  <si>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</si>
  <si>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</si>
  <si>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</si>
  <si>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</si>
  <si>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</si>
  <si>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</si>
  <si>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</si>
  <si>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</si>
  <si>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</si>
  <si>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</si>
  <si>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</si>
  <si>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</si>
  <si>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</si>
  <si>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</si>
  <si>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</si>
  <si>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</si>
  <si>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</si>
  <si>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</si>
  <si>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</si>
  <si>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</si>
  <si>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</si>
  <si>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</si>
  <si>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</si>
  <si>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</si>
  <si>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</si>
  <si>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</si>
  <si>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</si>
  <si>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</si>
  <si>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</si>
  <si>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</si>
  <si>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</si>
  <si>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</si>
  <si>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</si>
  <si>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</si>
  <si>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</si>
  <si>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</si>
  <si>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</si>
  <si>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</si>
  <si>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</si>
  <si>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</si>
  <si>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</si>
  <si>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</si>
  <si>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</si>
  <si>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</si>
  <si>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</si>
  <si>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</si>
  <si>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</si>
  <si>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</si>
  <si>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</si>
  <si>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</si>
  <si>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</si>
  <si>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</si>
  <si>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</si>
  <si>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</si>
  <si>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</si>
  <si>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</si>
  <si>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</si>
  <si>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</si>
  <si>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</si>
  <si>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</si>
  <si>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</si>
  <si>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</si>
  <si>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</si>
  <si>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</si>
  <si>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</si>
  <si>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</si>
  <si>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</si>
  <si>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</si>
  <si>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</si>
  <si>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</si>
  <si>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</si>
  <si>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</si>
  <si>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</si>
  <si>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</si>
  <si>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</si>
  <si>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</si>
  <si>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</si>
  <si>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</si>
  <si>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</si>
  <si>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</si>
  <si>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</si>
  <si>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</si>
  <si>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</si>
  <si>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</si>
  <si>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</si>
  <si>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</si>
  <si>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</si>
  <si>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</si>
  <si>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</si>
  <si>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</si>
  <si>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</si>
  <si>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</si>
  <si>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</si>
  <si>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</si>
  <si>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</si>
  <si>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</si>
  <si>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</si>
  <si>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</si>
  <si>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</si>
  <si>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</si>
  <si>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</si>
  <si>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</si>
  <si>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</si>
  <si>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</si>
  <si>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</si>
  <si>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</si>
  <si>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</si>
  <si>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</si>
  <si>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</si>
  <si>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</si>
  <si>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</si>
  <si>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</si>
  <si>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</si>
  <si>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</si>
  <si>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</si>
  <si>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</si>
  <si>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</si>
  <si>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</si>
  <si>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</si>
  <si>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</si>
  <si>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</si>
  <si>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</si>
  <si>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</si>
  <si>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</si>
  <si>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</si>
  <si>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</si>
  <si>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</si>
  <si>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</si>
  <si>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</si>
  <si>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</si>
  <si>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</si>
  <si>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</si>
  <si>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</si>
  <si>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</si>
  <si>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</si>
  <si>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</si>
  <si>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</si>
  <si>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</si>
  <si>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</si>
  <si>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</si>
  <si>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</si>
  <si>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</si>
  <si>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</si>
  <si>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</si>
  <si>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</si>
  <si>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</si>
  <si>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</si>
  <si>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</si>
  <si>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</si>
  <si>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</si>
  <si>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</si>
  <si>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</si>
  <si>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</si>
  <si>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</si>
  <si>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</si>
  <si>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</si>
  <si>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</si>
  <si>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</si>
  <si>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</si>
  <si>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</si>
  <si>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</si>
  <si>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</si>
  <si>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</si>
  <si>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</si>
  <si>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</si>
  <si>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</si>
  <si>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</si>
  <si>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</si>
  <si>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</si>
  <si>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</si>
  <si>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</si>
  <si>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</si>
  <si>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</si>
  <si>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</si>
  <si>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</si>
  <si>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</si>
  <si>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</si>
  <si>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</si>
  <si>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</si>
  <si>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</si>
  <si>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</si>
  <si>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</si>
  <si>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</si>
  <si>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</si>
  <si>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</si>
  <si>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</si>
  <si>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</si>
  <si>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</si>
  <si>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</si>
  <si>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</si>
  <si>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</si>
  <si>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</si>
  <si>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</si>
  <si>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</si>
  <si>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</si>
  <si>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</si>
  <si>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</si>
  <si>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</si>
  <si>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</si>
  <si>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</si>
  <si>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</si>
  <si>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</si>
  <si>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</si>
  <si>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</si>
  <si>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</si>
  <si>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</si>
  <si>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</si>
  <si>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</si>
  <si>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</si>
  <si>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</si>
  <si>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</si>
  <si>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</si>
  <si>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</si>
  <si>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</si>
  <si>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</si>
  <si>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</si>
  <si>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</si>
  <si>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</si>
  <si>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</si>
  <si>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</si>
  <si>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</si>
  <si>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</si>
  <si>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</si>
  <si>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</si>
  <si>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</si>
  <si>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</si>
  <si>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</si>
  <si>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</si>
  <si>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</si>
  <si>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</si>
  <si>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</si>
  <si>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</si>
  <si>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city</t>
  </si>
  <si>
    <t>Weekday</t>
  </si>
  <si>
    <t>Month</t>
  </si>
  <si>
    <t>Year</t>
  </si>
  <si>
    <t>Sales Category</t>
  </si>
  <si>
    <t>Row Labels</t>
  </si>
  <si>
    <t>Grand Total</t>
  </si>
  <si>
    <t>Sum of Sales</t>
  </si>
  <si>
    <t>Column Labels</t>
  </si>
  <si>
    <t>low sales</t>
  </si>
  <si>
    <t>2019</t>
  </si>
  <si>
    <t>2020</t>
  </si>
  <si>
    <t>2021</t>
  </si>
  <si>
    <t>2022</t>
  </si>
  <si>
    <t>Sunday</t>
  </si>
  <si>
    <t>Monday</t>
  </si>
  <si>
    <t>Tuesday</t>
  </si>
  <si>
    <t>Wednesday</t>
  </si>
  <si>
    <t>Thursday</t>
  </si>
  <si>
    <t>Friday</t>
  </si>
  <si>
    <t>Saturday</t>
  </si>
  <si>
    <t>Average of Sales</t>
  </si>
  <si>
    <t>Sum of Quantity</t>
  </si>
  <si>
    <t>medium sales</t>
  </si>
  <si>
    <t>High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</si>
</sst>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0" fontId="0" fillId="0" borderId="0" xfId="0" pivotButton="1"/>
    <xf numFmtId="0" fontId="0" fillId="0" borderId="0" xfId="0" applyAlignment="1">
      <alignment horizontal="left"/>
    </xf>
  </cellXfs>
  <cellStyles count="1">
    <cellStyle name="Normal" xfId="0" builtinId="0"/>
  </cellStyles>
  <dxfs count="12">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574733"/>
      <color rgb="FF614F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[Coffee-Sales-Dashboard.xlsx]sales by coffee type!PivotTable1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Coffee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 type'!$B$3:$B$4</c:f>
              <c:strCache>
                <c:ptCount val="1"/>
                <c:pt idx="0">
                  <c:v>High sales</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coffee type'!$A$5:$A$9</c:f>
              <c:strCache>
                <c:ptCount val="4"/>
                <c:pt idx="0">
                  <c:v>Ara</c:v>
                </c:pt>
                <c:pt idx="1">
                  <c:v>Exc</c:v>
                </c:pt>
                <c:pt idx="2">
                  <c:v>Lib</c:v>
                </c:pt>
                <c:pt idx="3">
                  <c:v>Rob</c:v>
                </c:pt>
              </c:strCache>
            </c:strRef>
          </c:cat>
          <c:val>
            <c:numRef>
              <c:f>'sales by coffee type'!$B$5:$B$9</c:f>
              <c:numCache>
                <c:formatCode>General</c:formatCode>
                <c:ptCount val="4"/>
                <c:pt idx="0">
                  <c:v>4605.0600000000013</c:v>
                </c:pt>
                <c:pt idx="1">
                  <c:v>4645.1949999999988</c:v>
                </c:pt>
                <c:pt idx="2">
                  <c:v>4524.5600000000004</c:v>
                </c:pt>
                <c:pt idx="3">
                  <c:v>2596.0099999999998</c:v>
                </c:pt>
              </c:numCache>
            </c:numRef>
          </c:val>
          <c:extLst>
            <c:ext xmlns:c16="http://schemas.microsoft.com/office/drawing/2014/chart" uri="{C3380CC4-5D6E-409C-BE32-E72D297353CC}">
              <c16:uniqueId val="{00000000-5762-4DE1-BB38-7E1A59BDCAA4}"/>
            </c:ext>
          </c:extLst>
        </c:ser>
        <c:ser>
          <c:idx val="1"/>
          <c:order val="1"/>
          <c:tx>
            <c:strRef>
              <c:f>'sales by coffee type'!$C$3:$C$4</c:f>
              <c:strCache>
                <c:ptCount val="1"/>
                <c:pt idx="0">
                  <c:v>low sales</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coffee type'!$A$5:$A$9</c:f>
              <c:strCache>
                <c:ptCount val="4"/>
                <c:pt idx="0">
                  <c:v>Ara</c:v>
                </c:pt>
                <c:pt idx="1">
                  <c:v>Exc</c:v>
                </c:pt>
                <c:pt idx="2">
                  <c:v>Lib</c:v>
                </c:pt>
                <c:pt idx="3">
                  <c:v>Rob</c:v>
                </c:pt>
              </c:strCache>
            </c:strRef>
          </c:cat>
          <c:val>
            <c:numRef>
              <c:f>'sales by coffee type'!$C$5:$C$9</c:f>
              <c:numCache>
                <c:formatCode>General</c:formatCode>
                <c:ptCount val="4"/>
                <c:pt idx="0">
                  <c:v>4006.2849999999985</c:v>
                </c:pt>
                <c:pt idx="1">
                  <c:v>3635.1749999999988</c:v>
                </c:pt>
                <c:pt idx="2">
                  <c:v>3984.9850000000015</c:v>
                </c:pt>
                <c:pt idx="3">
                  <c:v>3916.1349999999993</c:v>
                </c:pt>
              </c:numCache>
            </c:numRef>
          </c:val>
          <c:extLst>
            <c:ext xmlns:c16="http://schemas.microsoft.com/office/drawing/2014/chart" uri="{C3380CC4-5D6E-409C-BE32-E72D297353CC}">
              <c16:uniqueId val="{00000000-24AD-4A22-BDAB-6DEF2E962B58}"/>
            </c:ext>
          </c:extLst>
        </c:ser>
        <c:ser>
          <c:idx val="2"/>
          <c:order val="2"/>
          <c:tx>
            <c:strRef>
              <c:f>'sales by coffee type'!$D$3:$D$4</c:f>
              <c:strCache>
                <c:ptCount val="1"/>
                <c:pt idx="0">
                  <c:v>medium sales</c:v>
                </c:pt>
              </c:strCache>
            </c:strRef>
          </c:tx>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coffee type'!$A$5:$A$9</c:f>
              <c:strCache>
                <c:ptCount val="4"/>
                <c:pt idx="0">
                  <c:v>Ara</c:v>
                </c:pt>
                <c:pt idx="1">
                  <c:v>Exc</c:v>
                </c:pt>
                <c:pt idx="2">
                  <c:v>Lib</c:v>
                </c:pt>
                <c:pt idx="3">
                  <c:v>Rob</c:v>
                </c:pt>
              </c:strCache>
            </c:strRef>
          </c:cat>
          <c:val>
            <c:numRef>
              <c:f>'sales by coffee type'!$D$5:$D$9</c:f>
              <c:numCache>
                <c:formatCode>General</c:formatCode>
                <c:ptCount val="4"/>
                <c:pt idx="0">
                  <c:v>3157.15</c:v>
                </c:pt>
                <c:pt idx="1">
                  <c:v>4026.0700000000006</c:v>
                </c:pt>
                <c:pt idx="2">
                  <c:v>3544.5299999999988</c:v>
                </c:pt>
                <c:pt idx="3">
                  <c:v>2493.1</c:v>
                </c:pt>
              </c:numCache>
            </c:numRef>
          </c:val>
          <c:extLst>
            <c:ext xmlns:c16="http://schemas.microsoft.com/office/drawing/2014/chart" uri="{C3380CC4-5D6E-409C-BE32-E72D297353CC}">
              <c16:uniqueId val="{00000001-24AD-4A22-BDAB-6DEF2E962B58}"/>
            </c:ext>
          </c:extLst>
        </c:ser>
        <c:dLbls>
          <c:dLblPos val="outEnd"/>
          <c:showLegendKey val="0"/>
          <c:showVal val="1"/>
          <c:showCatName val="0"/>
          <c:showSerName val="0"/>
          <c:showPercent val="0"/>
          <c:showBubbleSize val="0"/>
        </c:dLbls>
        <c:gapWidth val="100"/>
        <c:axId val="602910976"/>
        <c:axId val="596667760"/>
      </c:barChart>
      <c:catAx>
        <c:axId val="602910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667760"/>
        <c:crosses val="autoZero"/>
        <c:auto val="1"/>
        <c:lblAlgn val="ctr"/>
        <c:lblOffset val="100"/>
        <c:noMultiLvlLbl val="0"/>
      </c:catAx>
      <c:valAx>
        <c:axId val="596667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2910976"/>
        <c:crosses val="autoZero"/>
        <c:crossBetween val="between"/>
      </c:valAx>
      <c:spPr>
        <a:noFill/>
        <a:ln>
          <a:noFill/>
        </a:ln>
        <a:effectLst/>
      </c:spPr>
    </c:plotArea>
    <c:legend>
      <c:legendPos val="r"/>
      <c:layout>
        <c:manualLayout>
          <c:xMode val="edge"/>
          <c:yMode val="edge"/>
          <c:x val="0.78759593787074911"/>
          <c:y val="0.28813490670483083"/>
          <c:w val="0.19334813892901118"/>
          <c:h val="0.399000794658046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[Coffee-Sales-Dashboard.xlsx]Trend Analysis!PivotTable2</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Coffee Sales Trend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Analysis'!$B$3:$B$4</c:f>
              <c:strCache>
                <c:ptCount val="1"/>
                <c:pt idx="0">
                  <c:v>Ara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'Trend Analysis'!$A$5:$A$9</c:f>
              <c:strCache>
                <c:ptCount val="4"/>
                <c:pt idx="0">
                  <c:v>2019</c:v>
                </c:pt>
                <c:pt idx="1">
                  <c:v>2020</c:v>
                </c:pt>
                <c:pt idx="2">
                  <c:v>2021</c:v>
                </c:pt>
                <c:pt idx="3">
                  <c:v>2022</c:v>
                </c:pt>
              </c:strCache>
            </c:strRef>
          </c:cat>
          <c:val>
            <c:numRef>
              <c:f>'Trend Analysis'!$B$5:$B$9</c:f>
              <c:numCache>
                <c:formatCode>General</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9CB0-4FF0-9CB6-87297722FB5F}"/>
            </c:ext>
          </c:extLst>
        </c:ser>
        <c:ser>
          <c:idx val="1"/>
          <c:order val="1"/>
          <c:tx>
            <c:strRef>
              <c:f>'Trend Analysis'!$C$3:$C$4</c:f>
              <c:strCache>
                <c:ptCount val="1"/>
                <c:pt idx="0">
                  <c:v>Exc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'Trend Analysis'!$A$5:$A$9</c:f>
              <c:strCache>
                <c:ptCount val="4"/>
                <c:pt idx="0">
                  <c:v>2019</c:v>
                </c:pt>
                <c:pt idx="1">
                  <c:v>2020</c:v>
                </c:pt>
                <c:pt idx="2">
                  <c:v>2021</c:v>
                </c:pt>
                <c:pt idx="3">
                  <c:v>2022</c:v>
                </c:pt>
              </c:strCache>
            </c:strRef>
          </c:cat>
          <c:val>
            <c:numRef>
              <c:f>'Trend Analysis'!$C$5:$C$9</c:f>
              <c:numCache>
                <c:formatCode>General</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1-9CB0-4FF0-9CB6-87297722FB5F}"/>
            </c:ext>
          </c:extLst>
        </c:ser>
        <c:ser>
          <c:idx val="2"/>
          <c:order val="2"/>
          <c:tx>
            <c:strRef>
              <c:f>'Trend Analysis'!$D$3:$D$4</c:f>
              <c:strCache>
                <c:ptCount val="1"/>
                <c:pt idx="0">
                  <c:v>Lib</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'Trend Analysis'!$A$5:$A$9</c:f>
              <c:strCache>
                <c:ptCount val="4"/>
                <c:pt idx="0">
                  <c:v>2019</c:v>
                </c:pt>
                <c:pt idx="1">
                  <c:v>2020</c:v>
                </c:pt>
                <c:pt idx="2">
                  <c:v>2021</c:v>
                </c:pt>
                <c:pt idx="3">
                  <c:v>2022</c:v>
                </c:pt>
              </c:strCache>
            </c:strRef>
          </c:cat>
          <c:val>
            <c:numRef>
              <c:f>'Trend Analysis'!$D$5:$D$9</c:f>
              <c:numCache>
                <c:formatCode>General</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1-076E-49C9-9EA2-D61661916D9A}"/>
            </c:ext>
          </c:extLst>
        </c:ser>
        <c:ser>
          <c:idx val="3"/>
          <c:order val="3"/>
          <c:tx>
            <c:strRef>
              <c:f>'Trend Analysis'!$E$3:$E$4</c:f>
              <c:strCache>
                <c:ptCount val="1"/>
                <c:pt idx="0">
                  <c:v>Rob</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'Trend Analysis'!$A$5:$A$9</c:f>
              <c:strCache>
                <c:ptCount val="4"/>
                <c:pt idx="0">
                  <c:v>2019</c:v>
                </c:pt>
                <c:pt idx="1">
                  <c:v>2020</c:v>
                </c:pt>
                <c:pt idx="2">
                  <c:v>2021</c:v>
                </c:pt>
                <c:pt idx="3">
                  <c:v>2022</c:v>
                </c:pt>
              </c:strCache>
            </c:strRef>
          </c:cat>
          <c:val>
            <c:numRef>
              <c:f>'Trend Analysis'!$E$5:$E$9</c:f>
              <c:numCache>
                <c:formatCode>General</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2-076E-49C9-9EA2-D61661916D9A}"/>
            </c:ext>
          </c:extLst>
        </c:ser>
        <c:dLbls>
          <c:showLegendKey val="0"/>
          <c:showVal val="0"/>
          <c:showCatName val="0"/>
          <c:showSerName val="0"/>
          <c:showPercent val="0"/>
          <c:showBubbleSize val="0"/>
        </c:dLbls>
        <c:marker val="1"/>
        <c:smooth val="0"/>
        <c:axId val="775335408"/>
        <c:axId val="596655760"/>
      </c:lineChart>
      <c:catAx>
        <c:axId val="77533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6655760"/>
        <c:crosses val="autoZero"/>
        <c:auto val="1"/>
        <c:lblAlgn val="ctr"/>
        <c:lblOffset val="100"/>
        <c:noMultiLvlLbl val="0"/>
      </c:catAx>
      <c:valAx>
        <c:axId val="596655760"/>
        <c:scaling>
          <c:orientation val="minMax"/>
          <c:min val="13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533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[Coffee-Sales-Dashboard.xlsx]Average Weekly Sales!PivotTable3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Weekday Average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Weekly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'Average Weekly Sales'!$A$4:$A$11</c:f>
              <c:strCache>
                <c:ptCount val="7"/>
                <c:pt idx="0">
                  <c:v>Sunday</c:v>
                </c:pt>
                <c:pt idx="1">
                  <c:v>Monday</c:v>
                </c:pt>
                <c:pt idx="2">
                  <c:v>Tuesday</c:v>
                </c:pt>
                <c:pt idx="3">
                  <c:v>Wednesday</c:v>
                </c:pt>
                <c:pt idx="4">
                  <c:v>Thursday</c:v>
                </c:pt>
                <c:pt idx="5">
                  <c:v>Friday</c:v>
                </c:pt>
                <c:pt idx="6">
                  <c:v>Saturday</c:v>
                </c:pt>
              </c:strCache>
            </c:strRef>
          </c:cat>
          <c:val>
            <c:numRef>
              <c:f>'Average Weekly Sales'!$B$4:$B$11</c:f>
              <c:numCache>
                <c:formatCode>General</c:formatCode>
                <c:ptCount val="7"/>
                <c:pt idx="0">
                  <c:v>51.116964285714261</c:v>
                </c:pt>
                <c:pt idx="1">
                  <c:v>43.564160583941636</c:v>
                </c:pt>
                <c:pt idx="2">
                  <c:v>38.503241379310339</c:v>
                </c:pt>
                <c:pt idx="3">
                  <c:v>44.909154929577475</c:v>
                </c:pt>
                <c:pt idx="4">
                  <c:v>45.741713286713292</c:v>
                </c:pt>
                <c:pt idx="5">
                  <c:v>45.94801886792456</c:v>
                </c:pt>
                <c:pt idx="6">
                  <c:v>46.288955223880592</c:v>
                </c:pt>
              </c:numCache>
            </c:numRef>
          </c:val>
          <c:smooth val="0"/>
          <c:extLst>
            <c:ext xmlns:c16="http://schemas.microsoft.com/office/drawing/2014/chart" uri="{C3380CC4-5D6E-409C-BE32-E72D297353CC}">
              <c16:uniqueId val="{00000000-5AEE-4125-AD46-BF3B18FE3A9B}"/>
            </c:ext>
          </c:extLst>
        </c:ser>
        <c:dLbls>
          <c:dLblPos val="t"/>
          <c:showLegendKey val="0"/>
          <c:showVal val="1"/>
          <c:showCatName val="0"/>
          <c:showSerName val="0"/>
          <c:showPercent val="0"/>
          <c:showBubbleSize val="0"/>
        </c:dLbls>
        <c:marker val="1"/>
        <c:smooth val="0"/>
        <c:axId val="775418928"/>
        <c:axId val="596681680"/>
      </c:lineChart>
      <c:catAx>
        <c:axId val="7754189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6681680"/>
        <c:crosses val="autoZero"/>
        <c:auto val="1"/>
        <c:lblAlgn val="ctr"/>
        <c:lblOffset val="100"/>
        <c:noMultiLvlLbl val="0"/>
      </c:catAx>
      <c:valAx>
        <c:axId val="596681680"/>
        <c:scaling>
          <c:orientation val="minMax"/>
          <c:min val="32"/>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54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[Coffee-Sales-Dashboard.xlsx]Sales Contribution!PivotTable4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Contribution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Segoe UI Variable Text Semibold" pitchFamily="2"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Segoe UI Variable Text Semibold" pitchFamily="2"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pivotFmt>
      <c:pivotFmt>
        <c:idx val="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Segoe UI Variable Text Semibold" pitchFamily="2"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Contribution'!$B$3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EC3F-4701-9D87-498803D6E6EE}"/>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EC3F-4701-9D87-498803D6E6EE}"/>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EC3F-4701-9D87-498803D6E6E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Segoe UI Variable Text Semibold" pitchFamily="2"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Contribution'!$A$4:$A$7</c:f>
              <c:strCache>
                <c:ptCount val="3"/>
                <c:pt idx="0">
                  <c:v>High sales</c:v>
                </c:pt>
                <c:pt idx="1">
                  <c:v>low sales</c:v>
                </c:pt>
                <c:pt idx="2">
                  <c:v>medium sales</c:v>
                </c:pt>
              </c:strCache>
            </c:strRef>
          </c:cat>
          <c:val>
            <c:numRef>
              <c:f>'Sales Contribution'!$B$4:$B$7</c:f>
              <c:numCache>
                <c:formatCode>General</c:formatCode>
                <c:ptCount val="3"/>
                <c:pt idx="0">
                  <c:v>16370.824999999983</c:v>
                </c:pt>
                <c:pt idx="1">
                  <c:v>15542.580000000013</c:v>
                </c:pt>
                <c:pt idx="2">
                  <c:v>13220.850000000002</c:v>
                </c:pt>
              </c:numCache>
            </c:numRef>
          </c:val>
          <c:extLst>
            <c:ext xmlns:c16="http://schemas.microsoft.com/office/drawing/2014/chart" uri="{C3380CC4-5D6E-409C-BE32-E72D297353CC}">
              <c16:uniqueId val="{00000006-EC3F-4701-9D87-498803D6E6EE}"/>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[Coffee-Sales-Dashboard.xlsx]Sales By Roast Type!PivotTable5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Roast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c:spPr>
      </c:pivotFmt>
      <c:pivotFmt>
        <c:idx val="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45702940978529"/>
          <c:y val="0.40831721538163435"/>
          <c:w val="0.7997867958812841"/>
          <c:h val="0.58743504377389066"/>
        </c:manualLayout>
      </c:layout>
      <c:pie3DChart>
        <c:varyColors val="1"/>
        <c:ser>
          <c:idx val="0"/>
          <c:order val="0"/>
          <c:tx>
            <c:strRef>
              <c:f>'Sales By Roast Type'!$B$3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9DD9-444E-935F-5B6DED54BACE}"/>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9DD9-444E-935F-5B6DED54BACE}"/>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9DD9-444E-935F-5B6DED54BAC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Roast Type'!$A$4:$A$7</c:f>
              <c:strCache>
                <c:ptCount val="3"/>
                <c:pt idx="0">
                  <c:v>D</c:v>
                </c:pt>
                <c:pt idx="1">
                  <c:v>L</c:v>
                </c:pt>
                <c:pt idx="2">
                  <c:v>M</c:v>
                </c:pt>
              </c:strCache>
            </c:strRef>
          </c:cat>
          <c:val>
            <c:numRef>
              <c:f>'Sales By Roast Type'!$B$4:$B$7</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6-9DD9-444E-935F-5B6DED54BACE}"/>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[Coffee-Sales-Dashboard.xlsx]sales by coffee type!PivotTable1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Coffee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1"/>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dLbl>
          <c:idx val="0"/>
          <c:showLegendKey val="0"/>
          <c:showVal val="1"/>
          <c:showCatName val="0"/>
          <c:showSerName val="0"/>
          <c:showPercent val="0"/>
          <c:showBubbleSize val="0"/>
          <c:extLst>
            <c:ext xmlns:c15="http://schemas.microsoft.com/office/drawing/2012/chart" uri="{CE6537A1-D6FC-4f65-9D91-7224C49458BB}"/>
          </c:extLst>
        </c:dLbl>
      </c:pivotFmt>
      <c:pivotFmt>
        <c:idx val="70"/>
        <c:dLbl>
          <c:idx val="0"/>
          <c:showLegendKey val="0"/>
          <c:showVal val="1"/>
          <c:showCatName val="0"/>
          <c:showSerName val="0"/>
          <c:showPercent val="0"/>
          <c:showBubbleSize val="0"/>
          <c:extLst>
            <c:ext xmlns:c15="http://schemas.microsoft.com/office/drawing/2012/chart" uri="{CE6537A1-D6FC-4f65-9D91-7224C49458BB}"/>
          </c:extLst>
        </c:dLbl>
      </c:pivotFmt>
      <c:pivotFmt>
        <c:idx val="71"/>
        <c:dLbl>
          <c:idx val="0"/>
          <c:showLegendKey val="0"/>
          <c:showVal val="1"/>
          <c:showCatName val="0"/>
          <c:showSerName val="0"/>
          <c:showPercent val="0"/>
          <c:showBubbleSize val="0"/>
          <c:extLst>
            <c:ext xmlns:c15="http://schemas.microsoft.com/office/drawing/2012/chart" uri="{CE6537A1-D6FC-4f65-9D91-7224C49458BB}"/>
          </c:extLst>
        </c:dLbl>
      </c:pivotFmt>
      <c:pivotFmt>
        <c:idx val="72"/>
        <c:dLbl>
          <c:idx val="0"/>
          <c:showLegendKey val="0"/>
          <c:showVal val="1"/>
          <c:showCatName val="0"/>
          <c:showSerName val="0"/>
          <c:showPercent val="0"/>
          <c:showBubbleSize val="0"/>
          <c:extLst>
            <c:ext xmlns:c15="http://schemas.microsoft.com/office/drawing/2012/chart" uri="{CE6537A1-D6FC-4f65-9D91-7224C49458BB}"/>
          </c:extLst>
        </c:dLbl>
      </c:pivotFmt>
      <c:pivotFmt>
        <c:idx val="73"/>
        <c:dLbl>
          <c:idx val="0"/>
          <c:showLegendKey val="0"/>
          <c:showVal val="1"/>
          <c:showCatName val="0"/>
          <c:showSerName val="0"/>
          <c:showPercent val="0"/>
          <c:showBubbleSize val="0"/>
          <c:extLst>
            <c:ext xmlns:c15="http://schemas.microsoft.com/office/drawing/2012/chart" uri="{CE6537A1-D6FC-4f65-9D91-7224C49458BB}"/>
          </c:extLst>
        </c:dLbl>
      </c:pivotFmt>
      <c:pivotFmt>
        <c:idx val="74"/>
        <c:dLbl>
          <c:idx val="0"/>
          <c:showLegendKey val="0"/>
          <c:showVal val="1"/>
          <c:showCatName val="0"/>
          <c:showSerName val="0"/>
          <c:showPercent val="0"/>
          <c:showBubbleSize val="0"/>
          <c:extLst>
            <c:ext xmlns:c15="http://schemas.microsoft.com/office/drawing/2012/chart" uri="{CE6537A1-D6FC-4f65-9D91-7224C49458BB}"/>
          </c:extLst>
        </c:dLbl>
      </c:pivotFmt>
      <c:pivotFmt>
        <c:idx val="75"/>
        <c:dLbl>
          <c:idx val="0"/>
          <c:showLegendKey val="0"/>
          <c:showVal val="1"/>
          <c:showCatName val="0"/>
          <c:showSerName val="0"/>
          <c:showPercent val="0"/>
          <c:showBubbleSize val="0"/>
          <c:extLst>
            <c:ext xmlns:c15="http://schemas.microsoft.com/office/drawing/2012/chart" uri="{CE6537A1-D6FC-4f65-9D91-7224C49458BB}"/>
          </c:extLst>
        </c:dLbl>
      </c:pivotFmt>
      <c:pivotFmt>
        <c:idx val="76"/>
        <c:dLbl>
          <c:idx val="0"/>
          <c:showLegendKey val="0"/>
          <c:showVal val="1"/>
          <c:showCatName val="0"/>
          <c:showSerName val="0"/>
          <c:showPercent val="0"/>
          <c:showBubbleSize val="0"/>
          <c:extLst>
            <c:ext xmlns:c15="http://schemas.microsoft.com/office/drawing/2012/chart" uri="{CE6537A1-D6FC-4f65-9D91-7224C49458BB}"/>
          </c:extLst>
        </c:dLbl>
      </c:pivotFmt>
      <c:pivotFmt>
        <c:idx val="77"/>
        <c:dLbl>
          <c:idx val="0"/>
          <c:showLegendKey val="0"/>
          <c:showVal val="1"/>
          <c:showCatName val="0"/>
          <c:showSerName val="0"/>
          <c:showPercent val="0"/>
          <c:showBubbleSize val="0"/>
          <c:extLst>
            <c:ext xmlns:c15="http://schemas.microsoft.com/office/drawing/2012/chart" uri="{CE6537A1-D6FC-4f65-9D91-7224C49458BB}"/>
          </c:extLst>
        </c:dLbl>
      </c:pivotFmt>
      <c:pivotFmt>
        <c:idx val="78"/>
        <c:dLbl>
          <c:idx val="0"/>
          <c:showLegendKey val="0"/>
          <c:showVal val="1"/>
          <c:showCatName val="0"/>
          <c:showSerName val="0"/>
          <c:showPercent val="0"/>
          <c:showBubbleSize val="0"/>
          <c:extLst>
            <c:ext xmlns:c15="http://schemas.microsoft.com/office/drawing/2012/chart" uri="{CE6537A1-D6FC-4f65-9D91-7224C49458BB}"/>
          </c:extLst>
        </c:dLbl>
      </c:pivotFmt>
      <c:pivotFmt>
        <c:idx val="79"/>
        <c:dLbl>
          <c:idx val="0"/>
          <c:showLegendKey val="0"/>
          <c:showVal val="1"/>
          <c:showCatName val="0"/>
          <c:showSerName val="0"/>
          <c:showPercent val="0"/>
          <c:showBubbleSize val="0"/>
          <c:extLst>
            <c:ext xmlns:c15="http://schemas.microsoft.com/office/drawing/2012/chart" uri="{CE6537A1-D6FC-4f65-9D91-7224C49458BB}"/>
          </c:extLst>
        </c:dLbl>
      </c:pivotFmt>
      <c:pivotFmt>
        <c:idx val="80"/>
        <c:dLbl>
          <c:idx val="0"/>
          <c:showLegendKey val="0"/>
          <c:showVal val="1"/>
          <c:showCatName val="0"/>
          <c:showSerName val="0"/>
          <c:showPercent val="0"/>
          <c:showBubbleSize val="0"/>
          <c:extLst>
            <c:ext xmlns:c15="http://schemas.microsoft.com/office/drawing/2012/chart" uri="{CE6537A1-D6FC-4f65-9D91-7224C49458BB}"/>
          </c:extLst>
        </c:dLbl>
      </c:pivotFmt>
      <c:pivotFmt>
        <c:idx val="81"/>
        <c:dLbl>
          <c:idx val="0"/>
          <c:showLegendKey val="0"/>
          <c:showVal val="1"/>
          <c:showCatName val="0"/>
          <c:showSerName val="0"/>
          <c:showPercent val="0"/>
          <c:showBubbleSize val="0"/>
          <c:extLst>
            <c:ext xmlns:c15="http://schemas.microsoft.com/office/drawing/2012/chart" uri="{CE6537A1-D6FC-4f65-9D91-7224C49458BB}"/>
          </c:extLst>
        </c:dLbl>
      </c:pivotFmt>
      <c:pivotFmt>
        <c:idx val="82"/>
        <c:dLbl>
          <c:idx val="0"/>
          <c:showLegendKey val="0"/>
          <c:showVal val="1"/>
          <c:showCatName val="0"/>
          <c:showSerName val="0"/>
          <c:showPercent val="0"/>
          <c:showBubbleSize val="0"/>
          <c:extLst>
            <c:ext xmlns:c15="http://schemas.microsoft.com/office/drawing/2012/chart" uri="{CE6537A1-D6FC-4f65-9D91-7224C49458BB}"/>
          </c:extLst>
        </c:dLbl>
      </c:pivotFmt>
      <c:pivotFmt>
        <c:idx val="83"/>
        <c:dLbl>
          <c:idx val="0"/>
          <c:showLegendKey val="0"/>
          <c:showVal val="1"/>
          <c:showCatName val="0"/>
          <c:showSerName val="0"/>
          <c:showPercent val="0"/>
          <c:showBubbleSize val="0"/>
          <c:extLst>
            <c:ext xmlns:c15="http://schemas.microsoft.com/office/drawing/2012/chart" uri="{CE6537A1-D6FC-4f65-9D91-7224C49458BB}"/>
          </c:extLst>
        </c:dLbl>
      </c:pivotFmt>
      <c:pivotFmt>
        <c:idx val="84"/>
        <c:dLbl>
          <c:idx val="0"/>
          <c:showLegendKey val="0"/>
          <c:showVal val="1"/>
          <c:showCatName val="0"/>
          <c:showSerName val="0"/>
          <c:showPercent val="0"/>
          <c:showBubbleSize val="0"/>
          <c:extLst>
            <c:ext xmlns:c15="http://schemas.microsoft.com/office/drawing/2012/chart" uri="{CE6537A1-D6FC-4f65-9D91-7224C49458BB}"/>
          </c:extLst>
        </c:dLbl>
      </c:pivotFmt>
      <c:pivotFmt>
        <c:idx val="85"/>
        <c:dLbl>
          <c:idx val="0"/>
          <c:showLegendKey val="0"/>
          <c:showVal val="1"/>
          <c:showCatName val="0"/>
          <c:showSerName val="0"/>
          <c:showPercent val="0"/>
          <c:showBubbleSize val="0"/>
          <c:extLst>
            <c:ext xmlns:c15="http://schemas.microsoft.com/office/drawing/2012/chart" uri="{CE6537A1-D6FC-4f65-9D91-7224C49458BB}"/>
          </c:extLst>
        </c:dLbl>
      </c:pivotFmt>
      <c:pivotFmt>
        <c:idx val="86"/>
        <c:dLbl>
          <c:idx val="0"/>
          <c:showLegendKey val="0"/>
          <c:showVal val="1"/>
          <c:showCatName val="0"/>
          <c:showSerName val="0"/>
          <c:showPercent val="0"/>
          <c:showBubbleSize val="0"/>
          <c:extLst>
            <c:ext xmlns:c15="http://schemas.microsoft.com/office/drawing/2012/chart" uri="{CE6537A1-D6FC-4f65-9D91-7224C49458BB}"/>
          </c:extLst>
        </c:dLbl>
      </c:pivotFmt>
      <c:pivotFmt>
        <c:idx val="87"/>
        <c:dLbl>
          <c:idx val="0"/>
          <c:showLegendKey val="0"/>
          <c:showVal val="1"/>
          <c:showCatName val="0"/>
          <c:showSerName val="0"/>
          <c:showPercent val="0"/>
          <c:showBubbleSize val="0"/>
          <c:extLst>
            <c:ext xmlns:c15="http://schemas.microsoft.com/office/drawing/2012/chart" uri="{CE6537A1-D6FC-4f65-9D91-7224C49458BB}"/>
          </c:extLst>
        </c:dLbl>
      </c:pivotFmt>
      <c:pivotFmt>
        <c:idx val="88"/>
        <c:dLbl>
          <c:idx val="0"/>
          <c:showLegendKey val="0"/>
          <c:showVal val="1"/>
          <c:showCatName val="0"/>
          <c:showSerName val="0"/>
          <c:showPercent val="0"/>
          <c:showBubbleSize val="0"/>
          <c:extLst>
            <c:ext xmlns:c15="http://schemas.microsoft.com/office/drawing/2012/chart" uri="{CE6537A1-D6FC-4f65-9D91-7224C49458BB}"/>
          </c:extLst>
        </c:dLbl>
      </c:pivotFmt>
      <c:pivotFmt>
        <c:idx val="89"/>
        <c:dLbl>
          <c:idx val="0"/>
          <c:showLegendKey val="0"/>
          <c:showVal val="1"/>
          <c:showCatName val="0"/>
          <c:showSerName val="0"/>
          <c:showPercent val="0"/>
          <c:showBubbleSize val="0"/>
          <c:extLst>
            <c:ext xmlns:c15="http://schemas.microsoft.com/office/drawing/2012/chart" uri="{CE6537A1-D6FC-4f65-9D91-7224C49458BB}"/>
          </c:extLst>
        </c:dLbl>
      </c:pivotFmt>
      <c:pivotFmt>
        <c:idx val="90"/>
        <c:dLbl>
          <c:idx val="0"/>
          <c:showLegendKey val="0"/>
          <c:showVal val="1"/>
          <c:showCatName val="0"/>
          <c:showSerName val="0"/>
          <c:showPercent val="0"/>
          <c:showBubbleSize val="0"/>
          <c:extLst>
            <c:ext xmlns:c15="http://schemas.microsoft.com/office/drawing/2012/chart" uri="{CE6537A1-D6FC-4f65-9D91-7224C49458BB}"/>
          </c:extLst>
        </c:dLbl>
      </c:pivotFmt>
      <c:pivotFmt>
        <c:idx val="91"/>
        <c:dLbl>
          <c:idx val="0"/>
          <c:showLegendKey val="0"/>
          <c:showVal val="1"/>
          <c:showCatName val="0"/>
          <c:showSerName val="0"/>
          <c:showPercent val="0"/>
          <c:showBubbleSize val="0"/>
          <c:extLst>
            <c:ext xmlns:c15="http://schemas.microsoft.com/office/drawing/2012/chart" uri="{CE6537A1-D6FC-4f65-9D91-7224C49458BB}"/>
          </c:extLst>
        </c:dLbl>
      </c:pivotFmt>
      <c:pivotFmt>
        <c:idx val="92"/>
        <c:dLbl>
          <c:idx val="0"/>
          <c:showLegendKey val="0"/>
          <c:showVal val="1"/>
          <c:showCatName val="0"/>
          <c:showSerName val="0"/>
          <c:showPercent val="0"/>
          <c:showBubbleSize val="0"/>
          <c:extLst>
            <c:ext xmlns:c15="http://schemas.microsoft.com/office/drawing/2012/chart" uri="{CE6537A1-D6FC-4f65-9D91-7224C49458BB}"/>
          </c:extLst>
        </c:dLbl>
      </c:pivotFmt>
      <c:pivotFmt>
        <c:idx val="93"/>
        <c:dLbl>
          <c:idx val="0"/>
          <c:showLegendKey val="0"/>
          <c:showVal val="1"/>
          <c:showCatName val="0"/>
          <c:showSerName val="0"/>
          <c:showPercent val="0"/>
          <c:showBubbleSize val="0"/>
          <c:extLst>
            <c:ext xmlns:c15="http://schemas.microsoft.com/office/drawing/2012/chart" uri="{CE6537A1-D6FC-4f65-9D91-7224C49458BB}"/>
          </c:extLst>
        </c:dLbl>
      </c:pivotFmt>
      <c:pivotFmt>
        <c:idx val="94"/>
        <c:dLbl>
          <c:idx val="0"/>
          <c:showLegendKey val="0"/>
          <c:showVal val="1"/>
          <c:showCatName val="0"/>
          <c:showSerName val="0"/>
          <c:showPercent val="0"/>
          <c:showBubbleSize val="0"/>
          <c:extLst>
            <c:ext xmlns:c15="http://schemas.microsoft.com/office/drawing/2012/chart" uri="{CE6537A1-D6FC-4f65-9D91-7224C49458BB}"/>
          </c:extLst>
        </c:dLbl>
      </c:pivotFmt>
      <c:pivotFmt>
        <c:idx val="95"/>
        <c:dLbl>
          <c:idx val="0"/>
          <c:showLegendKey val="0"/>
          <c:showVal val="1"/>
          <c:showCatName val="0"/>
          <c:showSerName val="0"/>
          <c:showPercent val="0"/>
          <c:showBubbleSize val="0"/>
          <c:extLst>
            <c:ext xmlns:c15="http://schemas.microsoft.com/office/drawing/2012/chart" uri="{CE6537A1-D6FC-4f65-9D91-7224C49458BB}"/>
          </c:extLst>
        </c:dLbl>
      </c:pivotFmt>
      <c:pivotFmt>
        <c:idx val="96"/>
        <c:dLbl>
          <c:idx val="0"/>
          <c:showLegendKey val="0"/>
          <c:showVal val="1"/>
          <c:showCatName val="0"/>
          <c:showSerName val="0"/>
          <c:showPercent val="0"/>
          <c:showBubbleSize val="0"/>
          <c:extLst>
            <c:ext xmlns:c15="http://schemas.microsoft.com/office/drawing/2012/chart" uri="{CE6537A1-D6FC-4f65-9D91-7224C49458BB}"/>
          </c:extLst>
        </c:dLbl>
      </c:pivotFmt>
      <c:pivotFmt>
        <c:idx val="97"/>
        <c:dLbl>
          <c:idx val="0"/>
          <c:showLegendKey val="0"/>
          <c:showVal val="1"/>
          <c:showCatName val="0"/>
          <c:showSerName val="0"/>
          <c:showPercent val="0"/>
          <c:showBubbleSize val="0"/>
          <c:extLst>
            <c:ext xmlns:c15="http://schemas.microsoft.com/office/drawing/2012/chart" uri="{CE6537A1-D6FC-4f65-9D91-7224C49458BB}"/>
          </c:extLst>
        </c:dLbl>
      </c:pivotFmt>
      <c:pivotFmt>
        <c:idx val="98"/>
        <c:dLbl>
          <c:idx val="0"/>
          <c:showLegendKey val="0"/>
          <c:showVal val="1"/>
          <c:showCatName val="0"/>
          <c:showSerName val="0"/>
          <c:showPercent val="0"/>
          <c:showBubbleSize val="0"/>
          <c:extLst>
            <c:ext xmlns:c15="http://schemas.microsoft.com/office/drawing/2012/chart" uri="{CE6537A1-D6FC-4f65-9D91-7224C49458BB}"/>
          </c:extLst>
        </c:dLbl>
      </c:pivotFmt>
      <c:pivotFmt>
        <c:idx val="99"/>
        <c:dLbl>
          <c:idx val="0"/>
          <c:showLegendKey val="0"/>
          <c:showVal val="1"/>
          <c:showCatName val="0"/>
          <c:showSerName val="0"/>
          <c:showPercent val="0"/>
          <c:showBubbleSize val="0"/>
          <c:extLst>
            <c:ext xmlns:c15="http://schemas.microsoft.com/office/drawing/2012/chart" uri="{CE6537A1-D6FC-4f65-9D91-7224C49458BB}"/>
          </c:extLst>
        </c:dLbl>
      </c:pivotFmt>
      <c:pivotFmt>
        <c:idx val="100"/>
        <c:dLbl>
          <c:idx val="0"/>
          <c:showLegendKey val="0"/>
          <c:showVal val="1"/>
          <c:showCatName val="0"/>
          <c:showSerName val="0"/>
          <c:showPercent val="0"/>
          <c:showBubbleSize val="0"/>
          <c:extLst>
            <c:ext xmlns:c15="http://schemas.microsoft.com/office/drawing/2012/chart" uri="{CE6537A1-D6FC-4f65-9D91-7224C49458BB}"/>
          </c:extLst>
        </c:dLbl>
      </c:pivotFmt>
      <c:pivotFmt>
        <c:idx val="101"/>
        <c:dLbl>
          <c:idx val="0"/>
          <c:showLegendKey val="0"/>
          <c:showVal val="1"/>
          <c:showCatName val="0"/>
          <c:showSerName val="0"/>
          <c:showPercent val="0"/>
          <c:showBubbleSize val="0"/>
          <c:extLst>
            <c:ext xmlns:c15="http://schemas.microsoft.com/office/drawing/2012/chart" uri="{CE6537A1-D6FC-4f65-9D91-7224C49458BB}"/>
          </c:extLst>
        </c:dLbl>
      </c:pivotFmt>
      <c:pivotFmt>
        <c:idx val="102"/>
        <c:dLbl>
          <c:idx val="0"/>
          <c:showLegendKey val="0"/>
          <c:showVal val="1"/>
          <c:showCatName val="0"/>
          <c:showSerName val="0"/>
          <c:showPercent val="0"/>
          <c:showBubbleSize val="0"/>
          <c:extLst>
            <c:ext xmlns:c15="http://schemas.microsoft.com/office/drawing/2012/chart" uri="{CE6537A1-D6FC-4f65-9D91-7224C49458BB}"/>
          </c:extLst>
        </c:dLbl>
      </c:pivotFmt>
      <c:pivotFmt>
        <c:idx val="103"/>
        <c:dLbl>
          <c:idx val="0"/>
          <c:showLegendKey val="0"/>
          <c:showVal val="1"/>
          <c:showCatName val="0"/>
          <c:showSerName val="0"/>
          <c:showPercent val="0"/>
          <c:showBubbleSize val="0"/>
          <c:extLst>
            <c:ext xmlns:c15="http://schemas.microsoft.com/office/drawing/2012/chart" uri="{CE6537A1-D6FC-4f65-9D91-7224C49458BB}"/>
          </c:extLst>
        </c:dLbl>
      </c:pivotFmt>
      <c:pivotFmt>
        <c:idx val="104"/>
        <c:dLbl>
          <c:idx val="0"/>
          <c:showLegendKey val="0"/>
          <c:showVal val="1"/>
          <c:showCatName val="0"/>
          <c:showSerName val="0"/>
          <c:showPercent val="0"/>
          <c:showBubbleSize val="0"/>
          <c:extLst>
            <c:ext xmlns:c15="http://schemas.microsoft.com/office/drawing/2012/chart" uri="{CE6537A1-D6FC-4f65-9D91-7224C49458BB}"/>
          </c:extLst>
        </c:dLbl>
      </c:pivotFmt>
      <c:pivotFmt>
        <c:idx val="105"/>
        <c:dLbl>
          <c:idx val="0"/>
          <c:showLegendKey val="0"/>
          <c:showVal val="1"/>
          <c:showCatName val="0"/>
          <c:showSerName val="0"/>
          <c:showPercent val="0"/>
          <c:showBubbleSize val="0"/>
          <c:extLst>
            <c:ext xmlns:c15="http://schemas.microsoft.com/office/drawing/2012/chart" uri="{CE6537A1-D6FC-4f65-9D91-7224C49458BB}"/>
          </c:extLst>
        </c:dLbl>
      </c:pivotFmt>
      <c:pivotFmt>
        <c:idx val="106"/>
        <c:dLbl>
          <c:idx val="0"/>
          <c:showLegendKey val="0"/>
          <c:showVal val="1"/>
          <c:showCatName val="0"/>
          <c:showSerName val="0"/>
          <c:showPercent val="0"/>
          <c:showBubbleSize val="0"/>
          <c:extLst>
            <c:ext xmlns:c15="http://schemas.microsoft.com/office/drawing/2012/chart" uri="{CE6537A1-D6FC-4f65-9D91-7224C49458BB}"/>
          </c:extLst>
        </c:dLbl>
      </c:pivotFmt>
      <c:pivotFmt>
        <c:idx val="107"/>
        <c:dLbl>
          <c:idx val="0"/>
          <c:showLegendKey val="0"/>
          <c:showVal val="1"/>
          <c:showCatName val="0"/>
          <c:showSerName val="0"/>
          <c:showPercent val="0"/>
          <c:showBubbleSize val="0"/>
          <c:extLst>
            <c:ext xmlns:c15="http://schemas.microsoft.com/office/drawing/2012/chart" uri="{CE6537A1-D6FC-4f65-9D91-7224C49458BB}"/>
          </c:extLst>
        </c:dLbl>
      </c:pivotFmt>
      <c:pivotFmt>
        <c:idx val="108"/>
        <c:dLbl>
          <c:idx val="0"/>
          <c:showLegendKey val="0"/>
          <c:showVal val="1"/>
          <c:showCatName val="0"/>
          <c:showSerName val="0"/>
          <c:showPercent val="0"/>
          <c:showBubbleSize val="0"/>
          <c:extLst>
            <c:ext xmlns:c15="http://schemas.microsoft.com/office/drawing/2012/chart" uri="{CE6537A1-D6FC-4f65-9D91-7224C49458BB}"/>
          </c:extLst>
        </c:dLbl>
      </c:pivotFmt>
      <c:pivotFmt>
        <c:idx val="109"/>
        <c:dLbl>
          <c:idx val="0"/>
          <c:showLegendKey val="0"/>
          <c:showVal val="1"/>
          <c:showCatName val="0"/>
          <c:showSerName val="0"/>
          <c:showPercent val="0"/>
          <c:showBubbleSize val="0"/>
          <c:extLst>
            <c:ext xmlns:c15="http://schemas.microsoft.com/office/drawing/2012/chart" uri="{CE6537A1-D6FC-4f65-9D91-7224C49458BB}"/>
          </c:extLst>
        </c:dLbl>
      </c:pivotFmt>
      <c:pivotFmt>
        <c:idx val="110"/>
        <c:dLbl>
          <c:idx val="0"/>
          <c:showLegendKey val="0"/>
          <c:showVal val="1"/>
          <c:showCatName val="0"/>
          <c:showSerName val="0"/>
          <c:showPercent val="0"/>
          <c:showBubbleSize val="0"/>
          <c:extLst>
            <c:ext xmlns:c15="http://schemas.microsoft.com/office/drawing/2012/chart" uri="{CE6537A1-D6FC-4f65-9D91-7224C49458BB}"/>
          </c:extLst>
        </c:dLbl>
      </c:pivotFmt>
      <c:pivotFmt>
        <c:idx val="111"/>
        <c:dLbl>
          <c:idx val="0"/>
          <c:showLegendKey val="0"/>
          <c:showVal val="1"/>
          <c:showCatName val="0"/>
          <c:showSerName val="0"/>
          <c:showPercent val="0"/>
          <c:showBubbleSize val="0"/>
          <c:extLst>
            <c:ext xmlns:c15="http://schemas.microsoft.com/office/drawing/2012/chart" uri="{CE6537A1-D6FC-4f65-9D91-7224C49458BB}"/>
          </c:extLst>
        </c:dLbl>
      </c:pivotFmt>
      <c:pivotFmt>
        <c:idx val="112"/>
        <c:dLbl>
          <c:idx val="0"/>
          <c:showLegendKey val="0"/>
          <c:showVal val="1"/>
          <c:showCatName val="0"/>
          <c:showSerName val="0"/>
          <c:showPercent val="0"/>
          <c:showBubbleSize val="0"/>
          <c:extLst>
            <c:ext xmlns:c15="http://schemas.microsoft.com/office/drawing/2012/chart" uri="{CE6537A1-D6FC-4f65-9D91-7224C49458BB}"/>
          </c:extLst>
        </c:dLbl>
      </c:pivotFmt>
      <c:pivotFmt>
        <c:idx val="113"/>
        <c:dLbl>
          <c:idx val="0"/>
          <c:showLegendKey val="0"/>
          <c:showVal val="1"/>
          <c:showCatName val="0"/>
          <c:showSerName val="0"/>
          <c:showPercent val="0"/>
          <c:showBubbleSize val="0"/>
          <c:extLst>
            <c:ext xmlns:c15="http://schemas.microsoft.com/office/drawing/2012/chart" uri="{CE6537A1-D6FC-4f65-9D91-7224C49458BB}"/>
          </c:extLst>
        </c:dLbl>
      </c:pivotFmt>
      <c:pivotFmt>
        <c:idx val="114"/>
        <c:dLbl>
          <c:idx val="0"/>
          <c:showLegendKey val="0"/>
          <c:showVal val="1"/>
          <c:showCatName val="0"/>
          <c:showSerName val="0"/>
          <c:showPercent val="0"/>
          <c:showBubbleSize val="0"/>
          <c:extLst>
            <c:ext xmlns:c15="http://schemas.microsoft.com/office/drawing/2012/chart" uri="{CE6537A1-D6FC-4f65-9D91-7224C49458BB}"/>
          </c:extLst>
        </c:dLbl>
      </c:pivotFmt>
      <c:pivotFmt>
        <c:idx val="115"/>
        <c:dLbl>
          <c:idx val="0"/>
          <c:showLegendKey val="0"/>
          <c:showVal val="1"/>
          <c:showCatName val="0"/>
          <c:showSerName val="0"/>
          <c:showPercent val="0"/>
          <c:showBubbleSize val="0"/>
          <c:extLst>
            <c:ext xmlns:c15="http://schemas.microsoft.com/office/drawing/2012/chart" uri="{CE6537A1-D6FC-4f65-9D91-7224C49458BB}"/>
          </c:extLst>
        </c:dLbl>
      </c:pivotFmt>
      <c:pivotFmt>
        <c:idx val="116"/>
        <c:dLbl>
          <c:idx val="0"/>
          <c:showLegendKey val="0"/>
          <c:showVal val="1"/>
          <c:showCatName val="0"/>
          <c:showSerName val="0"/>
          <c:showPercent val="0"/>
          <c:showBubbleSize val="0"/>
          <c:extLst>
            <c:ext xmlns:c15="http://schemas.microsoft.com/office/drawing/2012/chart" uri="{CE6537A1-D6FC-4f65-9D91-7224C49458BB}"/>
          </c:extLst>
        </c:dLbl>
      </c:pivotFmt>
      <c:pivotFmt>
        <c:idx val="117"/>
        <c:dLbl>
          <c:idx val="0"/>
          <c:showLegendKey val="0"/>
          <c:showVal val="1"/>
          <c:showCatName val="0"/>
          <c:showSerName val="0"/>
          <c:showPercent val="0"/>
          <c:showBubbleSize val="0"/>
          <c:extLst>
            <c:ext xmlns:c15="http://schemas.microsoft.com/office/drawing/2012/chart" uri="{CE6537A1-D6FC-4f65-9D91-7224C49458BB}"/>
          </c:extLst>
        </c:dLbl>
      </c:pivotFmt>
      <c:pivotFmt>
        <c:idx val="118"/>
        <c:dLbl>
          <c:idx val="0"/>
          <c:showLegendKey val="0"/>
          <c:showVal val="1"/>
          <c:showCatName val="0"/>
          <c:showSerName val="0"/>
          <c:showPercent val="0"/>
          <c:showBubbleSize val="0"/>
          <c:extLst>
            <c:ext xmlns:c15="http://schemas.microsoft.com/office/drawing/2012/chart" uri="{CE6537A1-D6FC-4f65-9D91-7224C49458BB}"/>
          </c:extLst>
        </c:dLbl>
      </c:pivotFmt>
      <c:pivotFmt>
        <c:idx val="119"/>
        <c:dLbl>
          <c:idx val="0"/>
          <c:showLegendKey val="0"/>
          <c:showVal val="1"/>
          <c:showCatName val="0"/>
          <c:showSerName val="0"/>
          <c:showPercent val="0"/>
          <c:showBubbleSize val="0"/>
          <c:extLst>
            <c:ext xmlns:c15="http://schemas.microsoft.com/office/drawing/2012/chart" uri="{CE6537A1-D6FC-4f65-9D91-7224C49458BB}"/>
          </c:extLst>
        </c:dLbl>
      </c:pivotFmt>
      <c:pivotFmt>
        <c:idx val="120"/>
        <c:dLbl>
          <c:idx val="0"/>
          <c:showLegendKey val="0"/>
          <c:showVal val="1"/>
          <c:showCatName val="0"/>
          <c:showSerName val="0"/>
          <c:showPercent val="0"/>
          <c:showBubbleSize val="0"/>
          <c:extLst>
            <c:ext xmlns:c15="http://schemas.microsoft.com/office/drawing/2012/chart" uri="{CE6537A1-D6FC-4f65-9D91-7224C49458BB}"/>
          </c:extLst>
        </c:dLbl>
      </c:pivotFmt>
      <c:pivotFmt>
        <c:idx val="121"/>
        <c:dLbl>
          <c:idx val="0"/>
          <c:showLegendKey val="0"/>
          <c:showVal val="1"/>
          <c:showCatName val="0"/>
          <c:showSerName val="0"/>
          <c:showPercent val="0"/>
          <c:showBubbleSize val="0"/>
          <c:extLst>
            <c:ext xmlns:c15="http://schemas.microsoft.com/office/drawing/2012/chart" uri="{CE6537A1-D6FC-4f65-9D91-7224C49458BB}"/>
          </c:extLst>
        </c:dLbl>
      </c:pivotFmt>
      <c:pivotFmt>
        <c:idx val="122"/>
        <c:dLbl>
          <c:idx val="0"/>
          <c:showLegendKey val="0"/>
          <c:showVal val="1"/>
          <c:showCatName val="0"/>
          <c:showSerName val="0"/>
          <c:showPercent val="0"/>
          <c:showBubbleSize val="0"/>
          <c:extLst>
            <c:ext xmlns:c15="http://schemas.microsoft.com/office/drawing/2012/chart" uri="{CE6537A1-D6FC-4f65-9D91-7224C49458BB}"/>
          </c:extLst>
        </c:dLbl>
      </c:pivotFmt>
      <c:pivotFmt>
        <c:idx val="123"/>
        <c:dLbl>
          <c:idx val="0"/>
          <c:showLegendKey val="0"/>
          <c:showVal val="1"/>
          <c:showCatName val="0"/>
          <c:showSerName val="0"/>
          <c:showPercent val="0"/>
          <c:showBubbleSize val="0"/>
          <c:extLst>
            <c:ext xmlns:c15="http://schemas.microsoft.com/office/drawing/2012/chart" uri="{CE6537A1-D6FC-4f65-9D91-7224C49458BB}"/>
          </c:extLst>
        </c:dLbl>
      </c:pivotFmt>
      <c:pivotFmt>
        <c:idx val="124"/>
        <c:dLbl>
          <c:idx val="0"/>
          <c:showLegendKey val="0"/>
          <c:showVal val="1"/>
          <c:showCatName val="0"/>
          <c:showSerName val="0"/>
          <c:showPercent val="0"/>
          <c:showBubbleSize val="0"/>
          <c:extLst>
            <c:ext xmlns:c15="http://schemas.microsoft.com/office/drawing/2012/chart" uri="{CE6537A1-D6FC-4f65-9D91-7224C49458BB}"/>
          </c:extLst>
        </c:dLbl>
      </c:pivotFmt>
      <c:pivotFmt>
        <c:idx val="125"/>
        <c:dLbl>
          <c:idx val="0"/>
          <c:showLegendKey val="0"/>
          <c:showVal val="1"/>
          <c:showCatName val="0"/>
          <c:showSerName val="0"/>
          <c:showPercent val="0"/>
          <c:showBubbleSize val="0"/>
          <c:extLst>
            <c:ext xmlns:c15="http://schemas.microsoft.com/office/drawing/2012/chart" uri="{CE6537A1-D6FC-4f65-9D91-7224C49458BB}"/>
          </c:extLst>
        </c:dLbl>
      </c:pivotFmt>
      <c:pivotFmt>
        <c:idx val="126"/>
        <c:dLbl>
          <c:idx val="0"/>
          <c:showLegendKey val="0"/>
          <c:showVal val="1"/>
          <c:showCatName val="0"/>
          <c:showSerName val="0"/>
          <c:showPercent val="0"/>
          <c:showBubbleSize val="0"/>
          <c:extLst>
            <c:ext xmlns:c15="http://schemas.microsoft.com/office/drawing/2012/chart" uri="{CE6537A1-D6FC-4f65-9D91-7224C49458BB}"/>
          </c:extLst>
        </c:dLbl>
      </c:pivotFmt>
      <c:pivotFmt>
        <c:idx val="127"/>
        <c:dLbl>
          <c:idx val="0"/>
          <c:showLegendKey val="0"/>
          <c:showVal val="1"/>
          <c:showCatName val="0"/>
          <c:showSerName val="0"/>
          <c:showPercent val="0"/>
          <c:showBubbleSize val="0"/>
          <c:extLst>
            <c:ext xmlns:c15="http://schemas.microsoft.com/office/drawing/2012/chart" uri="{CE6537A1-D6FC-4f65-9D91-7224C49458BB}"/>
          </c:extLst>
        </c:dLbl>
      </c:pivotFmt>
      <c:pivotFmt>
        <c:idx val="128"/>
        <c:dLbl>
          <c:idx val="0"/>
          <c:showLegendKey val="0"/>
          <c:showVal val="1"/>
          <c:showCatName val="0"/>
          <c:showSerName val="0"/>
          <c:showPercent val="0"/>
          <c:showBubbleSize val="0"/>
          <c:extLst>
            <c:ext xmlns:c15="http://schemas.microsoft.com/office/drawing/2012/chart" uri="{CE6537A1-D6FC-4f65-9D91-7224C49458BB}"/>
          </c:extLst>
        </c:dLbl>
      </c:pivotFmt>
      <c:pivotFmt>
        <c:idx val="129"/>
        <c:dLbl>
          <c:idx val="0"/>
          <c:showLegendKey val="0"/>
          <c:showVal val="1"/>
          <c:showCatName val="0"/>
          <c:showSerName val="0"/>
          <c:showPercent val="0"/>
          <c:showBubbleSize val="0"/>
          <c:extLst>
            <c:ext xmlns:c15="http://schemas.microsoft.com/office/drawing/2012/chart" uri="{CE6537A1-D6FC-4f65-9D91-7224C49458BB}"/>
          </c:extLst>
        </c:dLbl>
      </c:pivotFmt>
      <c:pivotFmt>
        <c:idx val="130"/>
        <c:dLbl>
          <c:idx val="0"/>
          <c:showLegendKey val="0"/>
          <c:showVal val="1"/>
          <c:showCatName val="0"/>
          <c:showSerName val="0"/>
          <c:showPercent val="0"/>
          <c:showBubbleSize val="0"/>
          <c:extLst>
            <c:ext xmlns:c15="http://schemas.microsoft.com/office/drawing/2012/chart" uri="{CE6537A1-D6FC-4f65-9D91-7224C49458BB}"/>
          </c:extLst>
        </c:dLbl>
      </c:pivotFmt>
      <c:pivotFmt>
        <c:idx val="131"/>
        <c:dLbl>
          <c:idx val="0"/>
          <c:showLegendKey val="0"/>
          <c:showVal val="1"/>
          <c:showCatName val="0"/>
          <c:showSerName val="0"/>
          <c:showPercent val="0"/>
          <c:showBubbleSize val="0"/>
          <c:extLst>
            <c:ext xmlns:c15="http://schemas.microsoft.com/office/drawing/2012/chart" uri="{CE6537A1-D6FC-4f65-9D91-7224C49458BB}"/>
          </c:extLst>
        </c:dLbl>
      </c:pivotFmt>
      <c:pivotFmt>
        <c:idx val="132"/>
        <c:dLbl>
          <c:idx val="0"/>
          <c:showLegendKey val="0"/>
          <c:showVal val="1"/>
          <c:showCatName val="0"/>
          <c:showSerName val="0"/>
          <c:showPercent val="0"/>
          <c:showBubbleSize val="0"/>
          <c:extLst>
            <c:ext xmlns:c15="http://schemas.microsoft.com/office/drawing/2012/chart" uri="{CE6537A1-D6FC-4f65-9D91-7224C49458BB}"/>
          </c:extLst>
        </c:dLbl>
      </c:pivotFmt>
      <c:pivotFmt>
        <c:idx val="133"/>
        <c:dLbl>
          <c:idx val="0"/>
          <c:showLegendKey val="0"/>
          <c:showVal val="1"/>
          <c:showCatName val="0"/>
          <c:showSerName val="0"/>
          <c:showPercent val="0"/>
          <c:showBubbleSize val="0"/>
          <c:extLst>
            <c:ext xmlns:c15="http://schemas.microsoft.com/office/drawing/2012/chart" uri="{CE6537A1-D6FC-4f65-9D91-7224C49458BB}"/>
          </c:extLst>
        </c:dLbl>
      </c:pivotFmt>
      <c:pivotFmt>
        <c:idx val="134"/>
        <c:dLbl>
          <c:idx val="0"/>
          <c:showLegendKey val="0"/>
          <c:showVal val="1"/>
          <c:showCatName val="0"/>
          <c:showSerName val="0"/>
          <c:showPercent val="0"/>
          <c:showBubbleSize val="0"/>
          <c:extLst>
            <c:ext xmlns:c15="http://schemas.microsoft.com/office/drawing/2012/chart" uri="{CE6537A1-D6FC-4f65-9D91-7224C49458BB}"/>
          </c:extLst>
        </c:dLbl>
      </c:pivotFmt>
      <c:pivotFmt>
        <c:idx val="135"/>
        <c:dLbl>
          <c:idx val="0"/>
          <c:showLegendKey val="0"/>
          <c:showVal val="1"/>
          <c:showCatName val="0"/>
          <c:showSerName val="0"/>
          <c:showPercent val="0"/>
          <c:showBubbleSize val="0"/>
          <c:extLst>
            <c:ext xmlns:c15="http://schemas.microsoft.com/office/drawing/2012/chart" uri="{CE6537A1-D6FC-4f65-9D91-7224C49458BB}"/>
          </c:extLst>
        </c:dLbl>
      </c:pivotFmt>
      <c:pivotFmt>
        <c:idx val="136"/>
        <c:dLbl>
          <c:idx val="0"/>
          <c:showLegendKey val="0"/>
          <c:showVal val="1"/>
          <c:showCatName val="0"/>
          <c:showSerName val="0"/>
          <c:showPercent val="0"/>
          <c:showBubbleSize val="0"/>
          <c:extLst>
            <c:ext xmlns:c15="http://schemas.microsoft.com/office/drawing/2012/chart" uri="{CE6537A1-D6FC-4f65-9D91-7224C49458BB}"/>
          </c:extLst>
        </c:dLbl>
      </c:pivotFmt>
      <c:pivotFmt>
        <c:idx val="137"/>
        <c:dLbl>
          <c:idx val="0"/>
          <c:showLegendKey val="0"/>
          <c:showVal val="1"/>
          <c:showCatName val="0"/>
          <c:showSerName val="0"/>
          <c:showPercent val="0"/>
          <c:showBubbleSize val="0"/>
          <c:extLst>
            <c:ext xmlns:c15="http://schemas.microsoft.com/office/drawing/2012/chart" uri="{CE6537A1-D6FC-4f65-9D91-7224C49458BB}"/>
          </c:extLst>
        </c:dLbl>
      </c:pivotFmt>
      <c:pivotFmt>
        <c:idx val="138"/>
        <c:dLbl>
          <c:idx val="0"/>
          <c:showLegendKey val="0"/>
          <c:showVal val="1"/>
          <c:showCatName val="0"/>
          <c:showSerName val="0"/>
          <c:showPercent val="0"/>
          <c:showBubbleSize val="0"/>
          <c:extLst>
            <c:ext xmlns:c15="http://schemas.microsoft.com/office/drawing/2012/chart" uri="{CE6537A1-D6FC-4f65-9D91-7224C49458BB}"/>
          </c:extLst>
        </c:dLbl>
      </c:pivotFmt>
      <c:pivotFmt>
        <c:idx val="139"/>
        <c:dLbl>
          <c:idx val="0"/>
          <c:showLegendKey val="0"/>
          <c:showVal val="1"/>
          <c:showCatName val="0"/>
          <c:showSerName val="0"/>
          <c:showPercent val="0"/>
          <c:showBubbleSize val="0"/>
          <c:extLst>
            <c:ext xmlns:c15="http://schemas.microsoft.com/office/drawing/2012/chart" uri="{CE6537A1-D6FC-4f65-9D91-7224C49458BB}"/>
          </c:extLst>
        </c:dLbl>
      </c:pivotFmt>
      <c:pivotFmt>
        <c:idx val="140"/>
        <c:dLbl>
          <c:idx val="0"/>
          <c:showLegendKey val="0"/>
          <c:showVal val="1"/>
          <c:showCatName val="0"/>
          <c:showSerName val="0"/>
          <c:showPercent val="0"/>
          <c:showBubbleSize val="0"/>
          <c:extLst>
            <c:ext xmlns:c15="http://schemas.microsoft.com/office/drawing/2012/chart" uri="{CE6537A1-D6FC-4f65-9D91-7224C49458BB}"/>
          </c:extLst>
        </c:dLbl>
      </c:pivotFmt>
      <c:pivotFmt>
        <c:idx val="141"/>
        <c:dLbl>
          <c:idx val="0"/>
          <c:showLegendKey val="0"/>
          <c:showVal val="1"/>
          <c:showCatName val="0"/>
          <c:showSerName val="0"/>
          <c:showPercent val="0"/>
          <c:showBubbleSize val="0"/>
          <c:extLst>
            <c:ext xmlns:c15="http://schemas.microsoft.com/office/drawing/2012/chart" uri="{CE6537A1-D6FC-4f65-9D91-7224C49458BB}"/>
          </c:extLst>
        </c:dLbl>
      </c:pivotFmt>
      <c:pivotFmt>
        <c:idx val="142"/>
        <c:dLbl>
          <c:idx val="0"/>
          <c:showLegendKey val="0"/>
          <c:showVal val="1"/>
          <c:showCatName val="0"/>
          <c:showSerName val="0"/>
          <c:showPercent val="0"/>
          <c:showBubbleSize val="0"/>
          <c:extLst>
            <c:ext xmlns:c15="http://schemas.microsoft.com/office/drawing/2012/chart" uri="{CE6537A1-D6FC-4f65-9D91-7224C49458BB}"/>
          </c:extLst>
        </c:dLbl>
      </c:pivotFmt>
      <c:pivotFmt>
        <c:idx val="143"/>
        <c:dLbl>
          <c:idx val="0"/>
          <c:showLegendKey val="0"/>
          <c:showVal val="1"/>
          <c:showCatName val="0"/>
          <c:showSerName val="0"/>
          <c:showPercent val="0"/>
          <c:showBubbleSize val="0"/>
          <c:extLst>
            <c:ext xmlns:c15="http://schemas.microsoft.com/office/drawing/2012/chart" uri="{CE6537A1-D6FC-4f65-9D91-7224C49458BB}"/>
          </c:extLst>
        </c:dLbl>
      </c:pivotFmt>
      <c:pivotFmt>
        <c:idx val="144"/>
        <c:dLbl>
          <c:idx val="0"/>
          <c:showLegendKey val="0"/>
          <c:showVal val="1"/>
          <c:showCatName val="0"/>
          <c:showSerName val="0"/>
          <c:showPercent val="0"/>
          <c:showBubbleSize val="0"/>
          <c:extLst>
            <c:ext xmlns:c15="http://schemas.microsoft.com/office/drawing/2012/chart" uri="{CE6537A1-D6FC-4f65-9D91-7224C49458BB}"/>
          </c:extLst>
        </c:dLbl>
      </c:pivotFmt>
      <c:pivotFmt>
        <c:idx val="145"/>
        <c:dLbl>
          <c:idx val="0"/>
          <c:showLegendKey val="0"/>
          <c:showVal val="1"/>
          <c:showCatName val="0"/>
          <c:showSerName val="0"/>
          <c:showPercent val="0"/>
          <c:showBubbleSize val="0"/>
          <c:extLst>
            <c:ext xmlns:c15="http://schemas.microsoft.com/office/drawing/2012/chart" uri="{CE6537A1-D6FC-4f65-9D91-7224C49458BB}"/>
          </c:extLst>
        </c:dLbl>
      </c:pivotFmt>
      <c:pivotFmt>
        <c:idx val="146"/>
        <c:dLbl>
          <c:idx val="0"/>
          <c:showLegendKey val="0"/>
          <c:showVal val="1"/>
          <c:showCatName val="0"/>
          <c:showSerName val="0"/>
          <c:showPercent val="0"/>
          <c:showBubbleSize val="0"/>
          <c:extLst>
            <c:ext xmlns:c15="http://schemas.microsoft.com/office/drawing/2012/chart" uri="{CE6537A1-D6FC-4f65-9D91-7224C49458BB}"/>
          </c:extLst>
        </c:dLbl>
      </c:pivotFmt>
      <c:pivotFmt>
        <c:idx val="147"/>
        <c:dLbl>
          <c:idx val="0"/>
          <c:showLegendKey val="0"/>
          <c:showVal val="1"/>
          <c:showCatName val="0"/>
          <c:showSerName val="0"/>
          <c:showPercent val="0"/>
          <c:showBubbleSize val="0"/>
          <c:extLst>
            <c:ext xmlns:c15="http://schemas.microsoft.com/office/drawing/2012/chart" uri="{CE6537A1-D6FC-4f65-9D91-7224C49458BB}"/>
          </c:extLst>
        </c:dLbl>
      </c:pivotFmt>
      <c:pivotFmt>
        <c:idx val="148"/>
        <c:dLbl>
          <c:idx val="0"/>
          <c:showLegendKey val="0"/>
          <c:showVal val="1"/>
          <c:showCatName val="0"/>
          <c:showSerName val="0"/>
          <c:showPercent val="0"/>
          <c:showBubbleSize val="0"/>
          <c:extLst>
            <c:ext xmlns:c15="http://schemas.microsoft.com/office/drawing/2012/chart" uri="{CE6537A1-D6FC-4f65-9D91-7224C49458BB}"/>
          </c:extLst>
        </c:dLbl>
      </c:pivotFmt>
      <c:pivotFmt>
        <c:idx val="149"/>
        <c:dLbl>
          <c:idx val="0"/>
          <c:showLegendKey val="0"/>
          <c:showVal val="1"/>
          <c:showCatName val="0"/>
          <c:showSerName val="0"/>
          <c:showPercent val="0"/>
          <c:showBubbleSize val="0"/>
          <c:extLst>
            <c:ext xmlns:c15="http://schemas.microsoft.com/office/drawing/2012/chart" uri="{CE6537A1-D6FC-4f65-9D91-7224C49458BB}"/>
          </c:extLst>
        </c:dLbl>
      </c:pivotFmt>
      <c:pivotFmt>
        <c:idx val="150"/>
        <c:dLbl>
          <c:idx val="0"/>
          <c:showLegendKey val="0"/>
          <c:showVal val="1"/>
          <c:showCatName val="0"/>
          <c:showSerName val="0"/>
          <c:showPercent val="0"/>
          <c:showBubbleSize val="0"/>
          <c:extLst>
            <c:ext xmlns:c15="http://schemas.microsoft.com/office/drawing/2012/chart" uri="{CE6537A1-D6FC-4f65-9D91-7224C49458BB}"/>
          </c:extLst>
        </c:dLbl>
      </c:pivotFmt>
      <c:pivotFmt>
        <c:idx val="151"/>
        <c:dLbl>
          <c:idx val="0"/>
          <c:showLegendKey val="0"/>
          <c:showVal val="1"/>
          <c:showCatName val="0"/>
          <c:showSerName val="0"/>
          <c:showPercent val="0"/>
          <c:showBubbleSize val="0"/>
          <c:extLst>
            <c:ext xmlns:c15="http://schemas.microsoft.com/office/drawing/2012/chart" uri="{CE6537A1-D6FC-4f65-9D91-7224C49458BB}"/>
          </c:extLst>
        </c:dLbl>
      </c:pivotFmt>
      <c:pivotFmt>
        <c:idx val="152"/>
        <c:dLbl>
          <c:idx val="0"/>
          <c:showLegendKey val="0"/>
          <c:showVal val="1"/>
          <c:showCatName val="0"/>
          <c:showSerName val="0"/>
          <c:showPercent val="0"/>
          <c:showBubbleSize val="0"/>
          <c:extLst>
            <c:ext xmlns:c15="http://schemas.microsoft.com/office/drawing/2012/chart" uri="{CE6537A1-D6FC-4f65-9D91-7224C49458BB}"/>
          </c:extLst>
        </c:dLbl>
      </c:pivotFmt>
      <c:pivotFmt>
        <c:idx val="153"/>
        <c:dLbl>
          <c:idx val="0"/>
          <c:showLegendKey val="0"/>
          <c:showVal val="1"/>
          <c:showCatName val="0"/>
          <c:showSerName val="0"/>
          <c:showPercent val="0"/>
          <c:showBubbleSize val="0"/>
          <c:extLst>
            <c:ext xmlns:c15="http://schemas.microsoft.com/office/drawing/2012/chart" uri="{CE6537A1-D6FC-4f65-9D91-7224C49458BB}"/>
          </c:extLst>
        </c:dLbl>
      </c:pivotFmt>
      <c:pivotFmt>
        <c:idx val="154"/>
        <c:dLbl>
          <c:idx val="0"/>
          <c:showLegendKey val="0"/>
          <c:showVal val="1"/>
          <c:showCatName val="0"/>
          <c:showSerName val="0"/>
          <c:showPercent val="0"/>
          <c:showBubbleSize val="0"/>
          <c:extLst>
            <c:ext xmlns:c15="http://schemas.microsoft.com/office/drawing/2012/chart" uri="{CE6537A1-D6FC-4f65-9D91-7224C49458BB}"/>
          </c:extLst>
        </c:dLbl>
      </c:pivotFmt>
      <c:pivotFmt>
        <c:idx val="155"/>
        <c:dLbl>
          <c:idx val="0"/>
          <c:showLegendKey val="0"/>
          <c:showVal val="1"/>
          <c:showCatName val="0"/>
          <c:showSerName val="0"/>
          <c:showPercent val="0"/>
          <c:showBubbleSize val="0"/>
          <c:extLst>
            <c:ext xmlns:c15="http://schemas.microsoft.com/office/drawing/2012/chart" uri="{CE6537A1-D6FC-4f65-9D91-7224C49458BB}"/>
          </c:extLst>
        </c:dLbl>
      </c:pivotFmt>
      <c:pivotFmt>
        <c:idx val="156"/>
        <c:dLbl>
          <c:idx val="0"/>
          <c:showLegendKey val="0"/>
          <c:showVal val="1"/>
          <c:showCatName val="0"/>
          <c:showSerName val="0"/>
          <c:showPercent val="0"/>
          <c:showBubbleSize val="0"/>
          <c:extLst>
            <c:ext xmlns:c15="http://schemas.microsoft.com/office/drawing/2012/chart" uri="{CE6537A1-D6FC-4f65-9D91-7224C49458BB}"/>
          </c:extLst>
        </c:dLbl>
      </c:pivotFmt>
      <c:pivotFmt>
        <c:idx val="157"/>
        <c:dLbl>
          <c:idx val="0"/>
          <c:showLegendKey val="0"/>
          <c:showVal val="1"/>
          <c:showCatName val="0"/>
          <c:showSerName val="0"/>
          <c:showPercent val="0"/>
          <c:showBubbleSize val="0"/>
          <c:extLst>
            <c:ext xmlns:c15="http://schemas.microsoft.com/office/drawing/2012/chart" uri="{CE6537A1-D6FC-4f65-9D91-7224C49458BB}"/>
          </c:extLst>
        </c:dLbl>
      </c:pivotFmt>
      <c:pivotFmt>
        <c:idx val="158"/>
        <c:dLbl>
          <c:idx val="0"/>
          <c:showLegendKey val="0"/>
          <c:showVal val="1"/>
          <c:showCatName val="0"/>
          <c:showSerName val="0"/>
          <c:showPercent val="0"/>
          <c:showBubbleSize val="0"/>
          <c:extLst>
            <c:ext xmlns:c15="http://schemas.microsoft.com/office/drawing/2012/chart" uri="{CE6537A1-D6FC-4f65-9D91-7224C49458BB}"/>
          </c:extLst>
        </c:dLbl>
      </c:pivotFmt>
      <c:pivotFmt>
        <c:idx val="159"/>
        <c:dLbl>
          <c:idx val="0"/>
          <c:showLegendKey val="0"/>
          <c:showVal val="1"/>
          <c:showCatName val="0"/>
          <c:showSerName val="0"/>
          <c:showPercent val="0"/>
          <c:showBubbleSize val="0"/>
          <c:extLst>
            <c:ext xmlns:c15="http://schemas.microsoft.com/office/drawing/2012/chart" uri="{CE6537A1-D6FC-4f65-9D91-7224C49458BB}"/>
          </c:extLst>
        </c:dLbl>
      </c:pivotFmt>
      <c:pivotFmt>
        <c:idx val="160"/>
        <c:dLbl>
          <c:idx val="0"/>
          <c:showLegendKey val="0"/>
          <c:showVal val="1"/>
          <c:showCatName val="0"/>
          <c:showSerName val="0"/>
          <c:showPercent val="0"/>
          <c:showBubbleSize val="0"/>
          <c:extLst>
            <c:ext xmlns:c15="http://schemas.microsoft.com/office/drawing/2012/chart" uri="{CE6537A1-D6FC-4f65-9D91-7224C49458BB}"/>
          </c:extLst>
        </c:dLbl>
      </c:pivotFmt>
      <c:pivotFmt>
        <c:idx val="161"/>
        <c:dLbl>
          <c:idx val="0"/>
          <c:showLegendKey val="0"/>
          <c:showVal val="1"/>
          <c:showCatName val="0"/>
          <c:showSerName val="0"/>
          <c:showPercent val="0"/>
          <c:showBubbleSize val="0"/>
          <c:extLst>
            <c:ext xmlns:c15="http://schemas.microsoft.com/office/drawing/2012/chart" uri="{CE6537A1-D6FC-4f65-9D91-7224C49458BB}"/>
          </c:extLst>
        </c:dLbl>
      </c:pivotFmt>
      <c:pivotFmt>
        <c:idx val="162"/>
        <c:dLbl>
          <c:idx val="0"/>
          <c:showLegendKey val="0"/>
          <c:showVal val="1"/>
          <c:showCatName val="0"/>
          <c:showSerName val="0"/>
          <c:showPercent val="0"/>
          <c:showBubbleSize val="0"/>
          <c:extLst>
            <c:ext xmlns:c15="http://schemas.microsoft.com/office/drawing/2012/chart" uri="{CE6537A1-D6FC-4f65-9D91-7224C49458BB}"/>
          </c:extLst>
        </c:dLbl>
      </c:pivotFmt>
      <c:pivotFmt>
        <c:idx val="163"/>
        <c:dLbl>
          <c:idx val="0"/>
          <c:showLegendKey val="0"/>
          <c:showVal val="1"/>
          <c:showCatName val="0"/>
          <c:showSerName val="0"/>
          <c:showPercent val="0"/>
          <c:showBubbleSize val="0"/>
          <c:extLst>
            <c:ext xmlns:c15="http://schemas.microsoft.com/office/drawing/2012/chart" uri="{CE6537A1-D6FC-4f65-9D91-7224C49458BB}"/>
          </c:extLst>
        </c:dLbl>
      </c:pivotFmt>
      <c:pivotFmt>
        <c:idx val="164"/>
        <c:dLbl>
          <c:idx val="0"/>
          <c:showLegendKey val="0"/>
          <c:showVal val="1"/>
          <c:showCatName val="0"/>
          <c:showSerName val="0"/>
          <c:showPercent val="0"/>
          <c:showBubbleSize val="0"/>
          <c:extLst>
            <c:ext xmlns:c15="http://schemas.microsoft.com/office/drawing/2012/chart" uri="{CE6537A1-D6FC-4f65-9D91-7224C49458BB}"/>
          </c:extLst>
        </c:dLbl>
      </c:pivotFmt>
      <c:pivotFmt>
        <c:idx val="165"/>
        <c:dLbl>
          <c:idx val="0"/>
          <c:showLegendKey val="0"/>
          <c:showVal val="1"/>
          <c:showCatName val="0"/>
          <c:showSerName val="0"/>
          <c:showPercent val="0"/>
          <c:showBubbleSize val="0"/>
          <c:extLst>
            <c:ext xmlns:c15="http://schemas.microsoft.com/office/drawing/2012/chart" uri="{CE6537A1-D6FC-4f65-9D91-7224C49458BB}"/>
          </c:extLst>
        </c:dLbl>
      </c:pivotFmt>
      <c:pivotFmt>
        <c:idx val="166"/>
        <c:dLbl>
          <c:idx val="0"/>
          <c:showLegendKey val="0"/>
          <c:showVal val="1"/>
          <c:showCatName val="0"/>
          <c:showSerName val="0"/>
          <c:showPercent val="0"/>
          <c:showBubbleSize val="0"/>
          <c:extLst>
            <c:ext xmlns:c15="http://schemas.microsoft.com/office/drawing/2012/chart" uri="{CE6537A1-D6FC-4f65-9D91-7224C49458BB}"/>
          </c:extLst>
        </c:dLbl>
      </c:pivotFmt>
      <c:pivotFmt>
        <c:idx val="167"/>
        <c:dLbl>
          <c:idx val="0"/>
          <c:showLegendKey val="0"/>
          <c:showVal val="1"/>
          <c:showCatName val="0"/>
          <c:showSerName val="0"/>
          <c:showPercent val="0"/>
          <c:showBubbleSize val="0"/>
          <c:extLst>
            <c:ext xmlns:c15="http://schemas.microsoft.com/office/drawing/2012/chart" uri="{CE6537A1-D6FC-4f65-9D91-7224C49458BB}"/>
          </c:extLst>
        </c:dLbl>
      </c:pivotFmt>
      <c:pivotFmt>
        <c:idx val="168"/>
        <c:dLbl>
          <c:idx val="0"/>
          <c:showLegendKey val="0"/>
          <c:showVal val="1"/>
          <c:showCatName val="0"/>
          <c:showSerName val="0"/>
          <c:showPercent val="0"/>
          <c:showBubbleSize val="0"/>
          <c:extLst>
            <c:ext xmlns:c15="http://schemas.microsoft.com/office/drawing/2012/chart" uri="{CE6537A1-D6FC-4f65-9D91-7224C49458BB}"/>
          </c:extLst>
        </c:dLbl>
      </c:pivotFmt>
      <c:pivotFmt>
        <c:idx val="169"/>
        <c:dLbl>
          <c:idx val="0"/>
          <c:showLegendKey val="0"/>
          <c:showVal val="1"/>
          <c:showCatName val="0"/>
          <c:showSerName val="0"/>
          <c:showPercent val="0"/>
          <c:showBubbleSize val="0"/>
          <c:extLst>
            <c:ext xmlns:c15="http://schemas.microsoft.com/office/drawing/2012/chart" uri="{CE6537A1-D6FC-4f65-9D91-7224C49458BB}"/>
          </c:extLst>
        </c:dLbl>
      </c:pivotFmt>
      <c:pivotFmt>
        <c:idx val="170"/>
        <c:dLbl>
          <c:idx val="0"/>
          <c:showLegendKey val="0"/>
          <c:showVal val="1"/>
          <c:showCatName val="0"/>
          <c:showSerName val="0"/>
          <c:showPercent val="0"/>
          <c:showBubbleSize val="0"/>
          <c:extLst>
            <c:ext xmlns:c15="http://schemas.microsoft.com/office/drawing/2012/chart" uri="{CE6537A1-D6FC-4f65-9D91-7224C49458BB}"/>
          </c:extLst>
        </c:dLbl>
      </c:pivotFmt>
      <c:pivotFmt>
        <c:idx val="171"/>
        <c:dLbl>
          <c:idx val="0"/>
          <c:showLegendKey val="0"/>
          <c:showVal val="1"/>
          <c:showCatName val="0"/>
          <c:showSerName val="0"/>
          <c:showPercent val="0"/>
          <c:showBubbleSize val="0"/>
          <c:extLst>
            <c:ext xmlns:c15="http://schemas.microsoft.com/office/drawing/2012/chart" uri="{CE6537A1-D6FC-4f65-9D91-7224C49458BB}"/>
          </c:extLst>
        </c:dLbl>
      </c:pivotFmt>
      <c:pivotFmt>
        <c:idx val="172"/>
        <c:dLbl>
          <c:idx val="0"/>
          <c:showLegendKey val="0"/>
          <c:showVal val="1"/>
          <c:showCatName val="0"/>
          <c:showSerName val="0"/>
          <c:showPercent val="0"/>
          <c:showBubbleSize val="0"/>
          <c:extLst>
            <c:ext xmlns:c15="http://schemas.microsoft.com/office/drawing/2012/chart" uri="{CE6537A1-D6FC-4f65-9D91-7224C49458BB}"/>
          </c:extLst>
        </c:dLbl>
      </c:pivotFmt>
      <c:pivotFmt>
        <c:idx val="173"/>
        <c:dLbl>
          <c:idx val="0"/>
          <c:showLegendKey val="0"/>
          <c:showVal val="1"/>
          <c:showCatName val="0"/>
          <c:showSerName val="0"/>
          <c:showPercent val="0"/>
          <c:showBubbleSize val="0"/>
          <c:extLst>
            <c:ext xmlns:c15="http://schemas.microsoft.com/office/drawing/2012/chart" uri="{CE6537A1-D6FC-4f65-9D91-7224C49458BB}"/>
          </c:extLst>
        </c:dLbl>
      </c:pivotFmt>
      <c:pivotFmt>
        <c:idx val="174"/>
        <c:dLbl>
          <c:idx val="0"/>
          <c:showLegendKey val="0"/>
          <c:showVal val="1"/>
          <c:showCatName val="0"/>
          <c:showSerName val="0"/>
          <c:showPercent val="0"/>
          <c:showBubbleSize val="0"/>
          <c:extLst>
            <c:ext xmlns:c15="http://schemas.microsoft.com/office/drawing/2012/chart" uri="{CE6537A1-D6FC-4f65-9D91-7224C49458BB}"/>
          </c:extLst>
        </c:dLbl>
      </c:pivotFmt>
      <c:pivotFmt>
        <c:idx val="175"/>
        <c:dLbl>
          <c:idx val="0"/>
          <c:showLegendKey val="0"/>
          <c:showVal val="1"/>
          <c:showCatName val="0"/>
          <c:showSerName val="0"/>
          <c:showPercent val="0"/>
          <c:showBubbleSize val="0"/>
          <c:extLst>
            <c:ext xmlns:c15="http://schemas.microsoft.com/office/drawing/2012/chart" uri="{CE6537A1-D6FC-4f65-9D91-7224C49458BB}"/>
          </c:extLst>
        </c:dLbl>
      </c:pivotFmt>
      <c:pivotFmt>
        <c:idx val="176"/>
        <c:dLbl>
          <c:idx val="0"/>
          <c:showLegendKey val="0"/>
          <c:showVal val="1"/>
          <c:showCatName val="0"/>
          <c:showSerName val="0"/>
          <c:showPercent val="0"/>
          <c:showBubbleSize val="0"/>
          <c:extLst>
            <c:ext xmlns:c15="http://schemas.microsoft.com/office/drawing/2012/chart" uri="{CE6537A1-D6FC-4f65-9D91-7224C49458BB}"/>
          </c:extLst>
        </c:dLbl>
      </c:pivotFmt>
      <c:pivotFmt>
        <c:idx val="177"/>
        <c:dLbl>
          <c:idx val="0"/>
          <c:showLegendKey val="0"/>
          <c:showVal val="1"/>
          <c:showCatName val="0"/>
          <c:showSerName val="0"/>
          <c:showPercent val="0"/>
          <c:showBubbleSize val="0"/>
          <c:extLst>
            <c:ext xmlns:c15="http://schemas.microsoft.com/office/drawing/2012/chart" uri="{CE6537A1-D6FC-4f65-9D91-7224C49458BB}"/>
          </c:extLst>
        </c:dLbl>
      </c:pivotFmt>
      <c:pivotFmt>
        <c:idx val="178"/>
        <c:dLbl>
          <c:idx val="0"/>
          <c:showLegendKey val="0"/>
          <c:showVal val="1"/>
          <c:showCatName val="0"/>
          <c:showSerName val="0"/>
          <c:showPercent val="0"/>
          <c:showBubbleSize val="0"/>
          <c:extLst>
            <c:ext xmlns:c15="http://schemas.microsoft.com/office/drawing/2012/chart" uri="{CE6537A1-D6FC-4f65-9D91-7224C49458BB}"/>
          </c:extLst>
        </c:dLbl>
      </c:pivotFmt>
      <c:pivotFmt>
        <c:idx val="179"/>
        <c:dLbl>
          <c:idx val="0"/>
          <c:showLegendKey val="0"/>
          <c:showVal val="1"/>
          <c:showCatName val="0"/>
          <c:showSerName val="0"/>
          <c:showPercent val="0"/>
          <c:showBubbleSize val="0"/>
          <c:extLst>
            <c:ext xmlns:c15="http://schemas.microsoft.com/office/drawing/2012/chart" uri="{CE6537A1-D6FC-4f65-9D91-7224C49458BB}"/>
          </c:extLst>
        </c:dLbl>
      </c:pivotFmt>
      <c:pivotFmt>
        <c:idx val="180"/>
        <c:dLbl>
          <c:idx val="0"/>
          <c:showLegendKey val="0"/>
          <c:showVal val="1"/>
          <c:showCatName val="0"/>
          <c:showSerName val="0"/>
          <c:showPercent val="0"/>
          <c:showBubbleSize val="0"/>
          <c:extLst>
            <c:ext xmlns:c15="http://schemas.microsoft.com/office/drawing/2012/chart" uri="{CE6537A1-D6FC-4f65-9D91-7224C49458BB}"/>
          </c:extLst>
        </c:dLbl>
      </c:pivotFmt>
      <c:pivotFmt>
        <c:idx val="181"/>
        <c:dLbl>
          <c:idx val="0"/>
          <c:showLegendKey val="0"/>
          <c:showVal val="1"/>
          <c:showCatName val="0"/>
          <c:showSerName val="0"/>
          <c:showPercent val="0"/>
          <c:showBubbleSize val="0"/>
          <c:extLst>
            <c:ext xmlns:c15="http://schemas.microsoft.com/office/drawing/2012/chart" uri="{CE6537A1-D6FC-4f65-9D91-7224C49458BB}"/>
          </c:extLst>
        </c:dLbl>
      </c:pivotFmt>
      <c:pivotFmt>
        <c:idx val="182"/>
        <c:dLbl>
          <c:idx val="0"/>
          <c:showLegendKey val="0"/>
          <c:showVal val="1"/>
          <c:showCatName val="0"/>
          <c:showSerName val="0"/>
          <c:showPercent val="0"/>
          <c:showBubbleSize val="0"/>
          <c:extLst>
            <c:ext xmlns:c15="http://schemas.microsoft.com/office/drawing/2012/chart" uri="{CE6537A1-D6FC-4f65-9D91-7224C49458BB}"/>
          </c:extLst>
        </c:dLbl>
      </c:pivotFmt>
      <c:pivotFmt>
        <c:idx val="183"/>
        <c:dLbl>
          <c:idx val="0"/>
          <c:showLegendKey val="0"/>
          <c:showVal val="1"/>
          <c:showCatName val="0"/>
          <c:showSerName val="0"/>
          <c:showPercent val="0"/>
          <c:showBubbleSize val="0"/>
          <c:extLst>
            <c:ext xmlns:c15="http://schemas.microsoft.com/office/drawing/2012/chart" uri="{CE6537A1-D6FC-4f65-9D91-7224C49458BB}"/>
          </c:extLst>
        </c:dLbl>
      </c:pivotFmt>
      <c:pivotFmt>
        <c:idx val="184"/>
        <c:dLbl>
          <c:idx val="0"/>
          <c:showLegendKey val="0"/>
          <c:showVal val="1"/>
          <c:showCatName val="0"/>
          <c:showSerName val="0"/>
          <c:showPercent val="0"/>
          <c:showBubbleSize val="0"/>
          <c:extLst>
            <c:ext xmlns:c15="http://schemas.microsoft.com/office/drawing/2012/chart" uri="{CE6537A1-D6FC-4f65-9D91-7224C49458BB}"/>
          </c:extLst>
        </c:dLbl>
      </c:pivotFmt>
      <c:pivotFmt>
        <c:idx val="185"/>
        <c:dLbl>
          <c:idx val="0"/>
          <c:showLegendKey val="0"/>
          <c:showVal val="1"/>
          <c:showCatName val="0"/>
          <c:showSerName val="0"/>
          <c:showPercent val="0"/>
          <c:showBubbleSize val="0"/>
          <c:extLst>
            <c:ext xmlns:c15="http://schemas.microsoft.com/office/drawing/2012/chart" uri="{CE6537A1-D6FC-4f65-9D91-7224C49458BB}"/>
          </c:extLst>
        </c:dLbl>
      </c:pivotFmt>
      <c:pivotFmt>
        <c:idx val="186"/>
        <c:dLbl>
          <c:idx val="0"/>
          <c:showLegendKey val="0"/>
          <c:showVal val="1"/>
          <c:showCatName val="0"/>
          <c:showSerName val="0"/>
          <c:showPercent val="0"/>
          <c:showBubbleSize val="0"/>
          <c:extLst>
            <c:ext xmlns:c15="http://schemas.microsoft.com/office/drawing/2012/chart" uri="{CE6537A1-D6FC-4f65-9D91-7224C49458BB}"/>
          </c:extLst>
        </c:dLbl>
      </c:pivotFmt>
      <c:pivotFmt>
        <c:idx val="187"/>
        <c:dLbl>
          <c:idx val="0"/>
          <c:showLegendKey val="0"/>
          <c:showVal val="1"/>
          <c:showCatName val="0"/>
          <c:showSerName val="0"/>
          <c:showPercent val="0"/>
          <c:showBubbleSize val="0"/>
          <c:extLst>
            <c:ext xmlns:c15="http://schemas.microsoft.com/office/drawing/2012/chart" uri="{CE6537A1-D6FC-4f65-9D91-7224C49458BB}"/>
          </c:extLst>
        </c:dLbl>
      </c:pivotFmt>
      <c:pivotFmt>
        <c:idx val="188"/>
        <c:dLbl>
          <c:idx val="0"/>
          <c:showLegendKey val="0"/>
          <c:showVal val="1"/>
          <c:showCatName val="0"/>
          <c:showSerName val="0"/>
          <c:showPercent val="0"/>
          <c:showBubbleSize val="0"/>
          <c:extLst>
            <c:ext xmlns:c15="http://schemas.microsoft.com/office/drawing/2012/chart" uri="{CE6537A1-D6FC-4f65-9D91-7224C49458BB}"/>
          </c:extLst>
        </c:dLbl>
      </c:pivotFmt>
      <c:pivotFmt>
        <c:idx val="189"/>
        <c:dLbl>
          <c:idx val="0"/>
          <c:showLegendKey val="0"/>
          <c:showVal val="1"/>
          <c:showCatName val="0"/>
          <c:showSerName val="0"/>
          <c:showPercent val="0"/>
          <c:showBubbleSize val="0"/>
          <c:extLst>
            <c:ext xmlns:c15="http://schemas.microsoft.com/office/drawing/2012/chart" uri="{CE6537A1-D6FC-4f65-9D91-7224C49458BB}"/>
          </c:extLst>
        </c:dLbl>
      </c:pivotFmt>
      <c:pivotFmt>
        <c:idx val="190"/>
        <c:dLbl>
          <c:idx val="0"/>
          <c:showLegendKey val="0"/>
          <c:showVal val="1"/>
          <c:showCatName val="0"/>
          <c:showSerName val="0"/>
          <c:showPercent val="0"/>
          <c:showBubbleSize val="0"/>
          <c:extLst>
            <c:ext xmlns:c15="http://schemas.microsoft.com/office/drawing/2012/chart" uri="{CE6537A1-D6FC-4f65-9D91-7224C49458BB}"/>
          </c:extLst>
        </c:dLbl>
      </c:pivotFmt>
      <c:pivotFmt>
        <c:idx val="191"/>
        <c:dLbl>
          <c:idx val="0"/>
          <c:showLegendKey val="0"/>
          <c:showVal val="1"/>
          <c:showCatName val="0"/>
          <c:showSerName val="0"/>
          <c:showPercent val="0"/>
          <c:showBubbleSize val="0"/>
          <c:extLst>
            <c:ext xmlns:c15="http://schemas.microsoft.com/office/drawing/2012/chart" uri="{CE6537A1-D6FC-4f65-9D91-7224C49458BB}"/>
          </c:extLst>
        </c:dLbl>
      </c:pivotFmt>
      <c:pivotFmt>
        <c:idx val="192"/>
        <c:dLbl>
          <c:idx val="0"/>
          <c:showLegendKey val="0"/>
          <c:showVal val="1"/>
          <c:showCatName val="0"/>
          <c:showSerName val="0"/>
          <c:showPercent val="0"/>
          <c:showBubbleSize val="0"/>
          <c:extLst>
            <c:ext xmlns:c15="http://schemas.microsoft.com/office/drawing/2012/chart" uri="{CE6537A1-D6FC-4f65-9D91-7224C49458BB}"/>
          </c:extLst>
        </c:dLbl>
      </c:pivotFmt>
      <c:pivotFmt>
        <c:idx val="193"/>
        <c:dLbl>
          <c:idx val="0"/>
          <c:showLegendKey val="0"/>
          <c:showVal val="1"/>
          <c:showCatName val="0"/>
          <c:showSerName val="0"/>
          <c:showPercent val="0"/>
          <c:showBubbleSize val="0"/>
          <c:extLst>
            <c:ext xmlns:c15="http://schemas.microsoft.com/office/drawing/2012/chart" uri="{CE6537A1-D6FC-4f65-9D91-7224C49458BB}"/>
          </c:extLst>
        </c:dLbl>
      </c:pivotFmt>
      <c:pivotFmt>
        <c:idx val="194"/>
        <c:dLbl>
          <c:idx val="0"/>
          <c:showLegendKey val="0"/>
          <c:showVal val="1"/>
          <c:showCatName val="0"/>
          <c:showSerName val="0"/>
          <c:showPercent val="0"/>
          <c:showBubbleSize val="0"/>
          <c:extLst>
            <c:ext xmlns:c15="http://schemas.microsoft.com/office/drawing/2012/chart" uri="{CE6537A1-D6FC-4f65-9D91-7224C49458BB}"/>
          </c:extLst>
        </c:dLbl>
      </c:pivotFmt>
      <c:pivotFmt>
        <c:idx val="195"/>
        <c:dLbl>
          <c:idx val="0"/>
          <c:showLegendKey val="0"/>
          <c:showVal val="1"/>
          <c:showCatName val="0"/>
          <c:showSerName val="0"/>
          <c:showPercent val="0"/>
          <c:showBubbleSize val="0"/>
          <c:extLst>
            <c:ext xmlns:c15="http://schemas.microsoft.com/office/drawing/2012/chart" uri="{CE6537A1-D6FC-4f65-9D91-7224C49458BB}"/>
          </c:extLst>
        </c:dLbl>
      </c:pivotFmt>
      <c:pivotFmt>
        <c:idx val="196"/>
        <c:dLbl>
          <c:idx val="0"/>
          <c:showLegendKey val="0"/>
          <c:showVal val="1"/>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coffee type'!$B$3:$B$4</c:f>
              <c:strCache>
                <c:ptCount val="1"/>
                <c:pt idx="0">
                  <c:v>High sales</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coffee type'!$A$5:$A$9</c:f>
              <c:strCache>
                <c:ptCount val="4"/>
                <c:pt idx="0">
                  <c:v>Ara</c:v>
                </c:pt>
                <c:pt idx="1">
                  <c:v>Exc</c:v>
                </c:pt>
                <c:pt idx="2">
                  <c:v>Lib</c:v>
                </c:pt>
                <c:pt idx="3">
                  <c:v>Rob</c:v>
                </c:pt>
              </c:strCache>
            </c:strRef>
          </c:cat>
          <c:val>
            <c:numRef>
              <c:f>'sales by coffee type'!$B$5:$B$9</c:f>
              <c:numCache>
                <c:formatCode>General</c:formatCode>
                <c:ptCount val="4"/>
                <c:pt idx="0">
                  <c:v>4605.0600000000013</c:v>
                </c:pt>
                <c:pt idx="1">
                  <c:v>4645.1949999999988</c:v>
                </c:pt>
                <c:pt idx="2">
                  <c:v>4524.5600000000004</c:v>
                </c:pt>
                <c:pt idx="3">
                  <c:v>2596.0099999999998</c:v>
                </c:pt>
              </c:numCache>
            </c:numRef>
          </c:val>
          <c:extLst>
            <c:ext xmlns:c16="http://schemas.microsoft.com/office/drawing/2014/chart" uri="{C3380CC4-5D6E-409C-BE32-E72D297353CC}">
              <c16:uniqueId val="{00000000-3504-4AD5-8FED-AFCF62EA247E}"/>
            </c:ext>
          </c:extLst>
        </c:ser>
        <c:ser>
          <c:idx val="1"/>
          <c:order val="1"/>
          <c:tx>
            <c:strRef>
              <c:f>'sales by coffee type'!$C$3:$C$4</c:f>
              <c:strCache>
                <c:ptCount val="1"/>
                <c:pt idx="0">
                  <c:v>low sales</c:v>
                </c:pt>
              </c:strCache>
            </c:strRef>
          </c:tx>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coffee type'!$A$5:$A$9</c:f>
              <c:strCache>
                <c:ptCount val="4"/>
                <c:pt idx="0">
                  <c:v>Ara</c:v>
                </c:pt>
                <c:pt idx="1">
                  <c:v>Exc</c:v>
                </c:pt>
                <c:pt idx="2">
                  <c:v>Lib</c:v>
                </c:pt>
                <c:pt idx="3">
                  <c:v>Rob</c:v>
                </c:pt>
              </c:strCache>
            </c:strRef>
          </c:cat>
          <c:val>
            <c:numRef>
              <c:f>'sales by coffee type'!$C$5:$C$9</c:f>
              <c:numCache>
                <c:formatCode>General</c:formatCode>
                <c:ptCount val="4"/>
                <c:pt idx="0">
                  <c:v>4006.2849999999985</c:v>
                </c:pt>
                <c:pt idx="1">
                  <c:v>3635.1749999999988</c:v>
                </c:pt>
                <c:pt idx="2">
                  <c:v>3984.9850000000015</c:v>
                </c:pt>
                <c:pt idx="3">
                  <c:v>3916.1349999999993</c:v>
                </c:pt>
              </c:numCache>
            </c:numRef>
          </c:val>
          <c:extLst>
            <c:ext xmlns:c16="http://schemas.microsoft.com/office/drawing/2014/chart" uri="{C3380CC4-5D6E-409C-BE32-E72D297353CC}">
              <c16:uniqueId val="{00000000-7E00-425B-B5FF-B126C3CBE91F}"/>
            </c:ext>
          </c:extLst>
        </c:ser>
        <c:ser>
          <c:idx val="2"/>
          <c:order val="2"/>
          <c:tx>
            <c:strRef>
              <c:f>'sales by coffee type'!$D$3:$D$4</c:f>
              <c:strCache>
                <c:ptCount val="1"/>
                <c:pt idx="0">
                  <c:v>medium sales</c:v>
                </c:pt>
              </c:strCache>
            </c:strRef>
          </c:tx>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coffee type'!$A$5:$A$9</c:f>
              <c:strCache>
                <c:ptCount val="4"/>
                <c:pt idx="0">
                  <c:v>Ara</c:v>
                </c:pt>
                <c:pt idx="1">
                  <c:v>Exc</c:v>
                </c:pt>
                <c:pt idx="2">
                  <c:v>Lib</c:v>
                </c:pt>
                <c:pt idx="3">
                  <c:v>Rob</c:v>
                </c:pt>
              </c:strCache>
            </c:strRef>
          </c:cat>
          <c:val>
            <c:numRef>
              <c:f>'sales by coffee type'!$D$5:$D$9</c:f>
              <c:numCache>
                <c:formatCode>General</c:formatCode>
                <c:ptCount val="4"/>
                <c:pt idx="0">
                  <c:v>3157.15</c:v>
                </c:pt>
                <c:pt idx="1">
                  <c:v>4026.0700000000006</c:v>
                </c:pt>
                <c:pt idx="2">
                  <c:v>3544.5299999999988</c:v>
                </c:pt>
                <c:pt idx="3">
                  <c:v>2493.1</c:v>
                </c:pt>
              </c:numCache>
            </c:numRef>
          </c:val>
          <c:extLst>
            <c:ext xmlns:c16="http://schemas.microsoft.com/office/drawing/2014/chart" uri="{C3380CC4-5D6E-409C-BE32-E72D297353CC}">
              <c16:uniqueId val="{00000001-7E00-425B-B5FF-B126C3CBE91F}"/>
            </c:ext>
          </c:extLst>
        </c:ser>
        <c:dLbls>
          <c:dLblPos val="outEnd"/>
          <c:showLegendKey val="0"/>
          <c:showVal val="1"/>
          <c:showCatName val="0"/>
          <c:showSerName val="0"/>
          <c:showPercent val="0"/>
          <c:showBubbleSize val="0"/>
        </c:dLbls>
        <c:gapWidth val="100"/>
        <c:axId val="602910976"/>
        <c:axId val="596667760"/>
      </c:barChart>
      <c:catAx>
        <c:axId val="602910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6667760"/>
        <c:crosses val="autoZero"/>
        <c:auto val="1"/>
        <c:lblAlgn val="ctr"/>
        <c:lblOffset val="100"/>
        <c:noMultiLvlLbl val="0"/>
      </c:catAx>
      <c:valAx>
        <c:axId val="596667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291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[Coffee-Sales-Dashboard.xlsx]Trend Analysis!PivotTable2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Coffee Sales Trend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Analysis'!$B$3:$B$4</c:f>
              <c:strCache>
                <c:ptCount val="1"/>
                <c:pt idx="0">
                  <c:v>Ara</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'Trend Analysis'!$A$5:$A$9</c:f>
              <c:strCache>
                <c:ptCount val="4"/>
                <c:pt idx="0">
                  <c:v>2019</c:v>
                </c:pt>
                <c:pt idx="1">
                  <c:v>2020</c:v>
                </c:pt>
                <c:pt idx="2">
                  <c:v>2021</c:v>
                </c:pt>
                <c:pt idx="3">
                  <c:v>2022</c:v>
                </c:pt>
              </c:strCache>
            </c:strRef>
          </c:cat>
          <c:val>
            <c:numRef>
              <c:f>'Trend Analysis'!$B$5:$B$9</c:f>
              <c:numCache>
                <c:formatCode>General</c:formatCode>
                <c:ptCount val="4"/>
                <c:pt idx="0">
                  <c:v>2926.63</c:v>
                </c:pt>
                <c:pt idx="1">
                  <c:v>3356.415</c:v>
                </c:pt>
                <c:pt idx="2">
                  <c:v>4045.6299999999992</c:v>
                </c:pt>
                <c:pt idx="3">
                  <c:v>1439.82</c:v>
                </c:pt>
              </c:numCache>
            </c:numRef>
          </c:val>
          <c:smooth val="0"/>
          <c:extLst>
            <c:ext xmlns:c16="http://schemas.microsoft.com/office/drawing/2014/chart" uri="{C3380CC4-5D6E-409C-BE32-E72D297353CC}">
              <c16:uniqueId val="{00000000-6134-4743-BF8F-FF962CF2F014}"/>
            </c:ext>
          </c:extLst>
        </c:ser>
        <c:ser>
          <c:idx val="1"/>
          <c:order val="1"/>
          <c:tx>
            <c:strRef>
              <c:f>'Trend Analysis'!$C$3:$C$4</c:f>
              <c:strCache>
                <c:ptCount val="1"/>
                <c:pt idx="0">
                  <c:v>Exc</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'Trend Analysis'!$A$5:$A$9</c:f>
              <c:strCache>
                <c:ptCount val="4"/>
                <c:pt idx="0">
                  <c:v>2019</c:v>
                </c:pt>
                <c:pt idx="1">
                  <c:v>2020</c:v>
                </c:pt>
                <c:pt idx="2">
                  <c:v>2021</c:v>
                </c:pt>
                <c:pt idx="3">
                  <c:v>2022</c:v>
                </c:pt>
              </c:strCache>
            </c:strRef>
          </c:cat>
          <c:val>
            <c:numRef>
              <c:f>'Trend Analysis'!$C$5:$C$9</c:f>
              <c:numCache>
                <c:formatCode>General</c:formatCode>
                <c:ptCount val="4"/>
                <c:pt idx="0">
                  <c:v>3481.46</c:v>
                </c:pt>
                <c:pt idx="1">
                  <c:v>3663.4100000000008</c:v>
                </c:pt>
                <c:pt idx="2">
                  <c:v>3469.6399999999994</c:v>
                </c:pt>
                <c:pt idx="3">
                  <c:v>1691.9299999999996</c:v>
                </c:pt>
              </c:numCache>
            </c:numRef>
          </c:val>
          <c:smooth val="0"/>
          <c:extLst>
            <c:ext xmlns:c16="http://schemas.microsoft.com/office/drawing/2014/chart" uri="{C3380CC4-5D6E-409C-BE32-E72D297353CC}">
              <c16:uniqueId val="{00000002-6134-4743-BF8F-FF962CF2F014}"/>
            </c:ext>
          </c:extLst>
        </c:ser>
        <c:ser>
          <c:idx val="2"/>
          <c:order val="2"/>
          <c:tx>
            <c:strRef>
              <c:f>'Trend Analysis'!$D$3:$D$4</c:f>
              <c:strCache>
                <c:ptCount val="1"/>
                <c:pt idx="0">
                  <c:v>Lib</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'Trend Analysis'!$A$5:$A$9</c:f>
              <c:strCache>
                <c:ptCount val="4"/>
                <c:pt idx="0">
                  <c:v>2019</c:v>
                </c:pt>
                <c:pt idx="1">
                  <c:v>2020</c:v>
                </c:pt>
                <c:pt idx="2">
                  <c:v>2021</c:v>
                </c:pt>
                <c:pt idx="3">
                  <c:v>2022</c:v>
                </c:pt>
              </c:strCache>
            </c:strRef>
          </c:cat>
          <c:val>
            <c:numRef>
              <c:f>'Trend Analysis'!$D$5:$D$9</c:f>
              <c:numCache>
                <c:formatCode>General</c:formatCode>
                <c:ptCount val="4"/>
                <c:pt idx="0">
                  <c:v>3378.0049999999987</c:v>
                </c:pt>
                <c:pt idx="1">
                  <c:v>2604.4550000000004</c:v>
                </c:pt>
                <c:pt idx="2">
                  <c:v>3836.6950000000011</c:v>
                </c:pt>
                <c:pt idx="3">
                  <c:v>2234.92</c:v>
                </c:pt>
              </c:numCache>
            </c:numRef>
          </c:val>
          <c:smooth val="0"/>
          <c:extLst>
            <c:ext xmlns:c16="http://schemas.microsoft.com/office/drawing/2014/chart" uri="{C3380CC4-5D6E-409C-BE32-E72D297353CC}">
              <c16:uniqueId val="{00000000-DFEE-4130-A580-D3EA9D5C28C0}"/>
            </c:ext>
          </c:extLst>
        </c:ser>
        <c:ser>
          <c:idx val="3"/>
          <c:order val="3"/>
          <c:tx>
            <c:strRef>
              <c:f>'Trend Analysis'!$E$3:$E$4</c:f>
              <c:strCache>
                <c:ptCount val="1"/>
                <c:pt idx="0">
                  <c:v>Rob</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'Trend Analysis'!$A$5:$A$9</c:f>
              <c:strCache>
                <c:ptCount val="4"/>
                <c:pt idx="0">
                  <c:v>2019</c:v>
                </c:pt>
                <c:pt idx="1">
                  <c:v>2020</c:v>
                </c:pt>
                <c:pt idx="2">
                  <c:v>2021</c:v>
                </c:pt>
                <c:pt idx="3">
                  <c:v>2022</c:v>
                </c:pt>
              </c:strCache>
            </c:strRef>
          </c:cat>
          <c:val>
            <c:numRef>
              <c:f>'Trend Analysis'!$E$5:$E$9</c:f>
              <c:numCache>
                <c:formatCode>General</c:formatCode>
                <c:ptCount val="4"/>
                <c:pt idx="0">
                  <c:v>2401.0700000000006</c:v>
                </c:pt>
                <c:pt idx="1">
                  <c:v>2493.2649999999994</c:v>
                </c:pt>
                <c:pt idx="2">
                  <c:v>2414.1449999999995</c:v>
                </c:pt>
                <c:pt idx="3">
                  <c:v>1696.7650000000001</c:v>
                </c:pt>
              </c:numCache>
            </c:numRef>
          </c:val>
          <c:smooth val="0"/>
          <c:extLst>
            <c:ext xmlns:c16="http://schemas.microsoft.com/office/drawing/2014/chart" uri="{C3380CC4-5D6E-409C-BE32-E72D297353CC}">
              <c16:uniqueId val="{00000001-DFEE-4130-A580-D3EA9D5C28C0}"/>
            </c:ext>
          </c:extLst>
        </c:ser>
        <c:dLbls>
          <c:showLegendKey val="0"/>
          <c:showVal val="0"/>
          <c:showCatName val="0"/>
          <c:showSerName val="0"/>
          <c:showPercent val="0"/>
          <c:showBubbleSize val="0"/>
        </c:dLbls>
        <c:marker val="1"/>
        <c:smooth val="0"/>
        <c:axId val="775335408"/>
        <c:axId val="596655760"/>
      </c:lineChart>
      <c:catAx>
        <c:axId val="7753354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6655760"/>
        <c:crosses val="autoZero"/>
        <c:auto val="1"/>
        <c:lblAlgn val="ctr"/>
        <c:lblOffset val="100"/>
        <c:noMultiLvlLbl val="0"/>
      </c:catAx>
      <c:valAx>
        <c:axId val="596655760"/>
        <c:scaling>
          <c:orientation val="minMax"/>
          <c:min val="1300"/>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533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[Coffee-Sales-Dashboard.xlsx]Average Weekly Sales!PivotTable3</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Weekday Average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Weekly 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'Average Weekly Sales'!$A$4:$A$11</c:f>
              <c:strCache>
                <c:ptCount val="7"/>
                <c:pt idx="0">
                  <c:v>Sunday</c:v>
                </c:pt>
                <c:pt idx="1">
                  <c:v>Monday</c:v>
                </c:pt>
                <c:pt idx="2">
                  <c:v>Tuesday</c:v>
                </c:pt>
                <c:pt idx="3">
                  <c:v>Wednesday</c:v>
                </c:pt>
                <c:pt idx="4">
                  <c:v>Thursday</c:v>
                </c:pt>
                <c:pt idx="5">
                  <c:v>Friday</c:v>
                </c:pt>
                <c:pt idx="6">
                  <c:v>Saturday</c:v>
                </c:pt>
              </c:strCache>
            </c:strRef>
          </c:cat>
          <c:val>
            <c:numRef>
              <c:f>'Average Weekly Sales'!$B$4:$B$11</c:f>
              <c:numCache>
                <c:formatCode>General</c:formatCode>
                <c:ptCount val="7"/>
                <c:pt idx="0">
                  <c:v>51.116964285714261</c:v>
                </c:pt>
                <c:pt idx="1">
                  <c:v>43.564160583941636</c:v>
                </c:pt>
                <c:pt idx="2">
                  <c:v>38.503241379310339</c:v>
                </c:pt>
                <c:pt idx="3">
                  <c:v>44.909154929577475</c:v>
                </c:pt>
                <c:pt idx="4">
                  <c:v>45.741713286713292</c:v>
                </c:pt>
                <c:pt idx="5">
                  <c:v>45.94801886792456</c:v>
                </c:pt>
                <c:pt idx="6">
                  <c:v>46.288955223880592</c:v>
                </c:pt>
              </c:numCache>
            </c:numRef>
          </c:val>
          <c:smooth val="0"/>
          <c:extLst>
            <c:ext xmlns:c16="http://schemas.microsoft.com/office/drawing/2014/chart" uri="{C3380CC4-5D6E-409C-BE32-E72D297353CC}">
              <c16:uniqueId val="{00000000-1949-46B8-8E81-05F237A8D82C}"/>
            </c:ext>
          </c:extLst>
        </c:ser>
        <c:dLbls>
          <c:dLblPos val="t"/>
          <c:showLegendKey val="0"/>
          <c:showVal val="1"/>
          <c:showCatName val="0"/>
          <c:showSerName val="0"/>
          <c:showPercent val="0"/>
          <c:showBubbleSize val="0"/>
        </c:dLbls>
        <c:marker val="1"/>
        <c:smooth val="0"/>
        <c:axId val="775418928"/>
        <c:axId val="596681680"/>
      </c:lineChart>
      <c:catAx>
        <c:axId val="7754189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6681680"/>
        <c:crosses val="autoZero"/>
        <c:auto val="1"/>
        <c:lblAlgn val="ctr"/>
        <c:lblOffset val="100"/>
        <c:noMultiLvlLbl val="0"/>
      </c:catAx>
      <c:valAx>
        <c:axId val="596681680"/>
        <c:scaling>
          <c:orientation val="minMax"/>
          <c:min val="32"/>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54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[Coffee-Sales-Dashboard.xlsx]Sales Contribution!PivotTable4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Contribution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Segoe UI Variable Text Semibold" pitchFamily="2"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5"/>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Contribution'!$B$3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6B79-4297-BF9A-DB345C435C80}"/>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6B79-4297-BF9A-DB345C435C80}"/>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6B79-4297-BF9A-DB345C435C80}"/>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Segoe UI Variable Text Semibold" pitchFamily="2" charset="0"/>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Contribution'!$A$4:$A$7</c:f>
              <c:strCache>
                <c:ptCount val="3"/>
                <c:pt idx="0">
                  <c:v>High sales</c:v>
                </c:pt>
                <c:pt idx="1">
                  <c:v>low sales</c:v>
                </c:pt>
                <c:pt idx="2">
                  <c:v>medium sales</c:v>
                </c:pt>
              </c:strCache>
            </c:strRef>
          </c:cat>
          <c:val>
            <c:numRef>
              <c:f>'Sales Contribution'!$B$4:$B$7</c:f>
              <c:numCache>
                <c:formatCode>General</c:formatCode>
                <c:ptCount val="3"/>
                <c:pt idx="0">
                  <c:v>16370.824999999983</c:v>
                </c:pt>
                <c:pt idx="1">
                  <c:v>15542.580000000013</c:v>
                </c:pt>
                <c:pt idx="2">
                  <c:v>13220.850000000002</c:v>
                </c:pt>
              </c:numCache>
            </c:numRef>
          </c:val>
          <c:extLst>
            <c:ext xmlns:c16="http://schemas.microsoft.com/office/drawing/2014/chart" uri="{C3380CC4-5D6E-409C-BE32-E72D297353CC}">
              <c16:uniqueId val="{00000000-EB03-4A20-B55C-3B8AA3D4A2CD}"/>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[Coffee-Sales-Dashboard.xlsx]Sales By Roast Type!PivotTable5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Roast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
        <c:idx val="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Roast Type'!$B$3</c:f>
              <c:strCache>
                <c:ptCount val="1"/>
                <c:pt idx="0">
                  <c:v>Total</c:v>
                </c:pt>
              </c:strCache>
            </c:strRef>
          </c:tx>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1-8939-496E-9B59-877D2C2BB546}"/>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3-8939-496E-9B59-877D2C2BB546}"/>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extLst>
              <c:ext xmlns:c16="http://schemas.microsoft.com/office/drawing/2014/chart" uri="{C3380CC4-5D6E-409C-BE32-E72D297353CC}">
                <c16:uniqueId val="{00000005-8939-496E-9B59-877D2C2BB546}"/>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Roast Type'!$A$4:$A$7</c:f>
              <c:strCache>
                <c:ptCount val="3"/>
                <c:pt idx="0">
                  <c:v>D</c:v>
                </c:pt>
                <c:pt idx="1">
                  <c:v>L</c:v>
                </c:pt>
                <c:pt idx="2">
                  <c:v>M</c:v>
                </c:pt>
              </c:strCache>
            </c:strRef>
          </c:cat>
          <c:val>
            <c:numRef>
              <c:f>'Sales By Roast Type'!$B$4:$B$7</c:f>
              <c:numCache>
                <c:formatCode>General</c:formatCode>
                <c:ptCount val="3"/>
                <c:pt idx="0">
                  <c:v>13179.315000000013</c:v>
                </c:pt>
                <c:pt idx="1">
                  <c:v>17354.464999999993</c:v>
                </c:pt>
                <c:pt idx="2">
                  <c:v>14600.474999999995</c:v>
                </c:pt>
              </c:numCache>
            </c:numRef>
          </c:val>
          <c:extLst>
            <c:ext xmlns:c16="http://schemas.microsoft.com/office/drawing/2014/chart" uri="{C3380CC4-5D6E-409C-BE32-E72D297353CC}">
              <c16:uniqueId val="{00000000-187B-4E35-9E96-D7BAAE7E8268}"/>
            </c:ext>
          </c:extLst>
        </c:ser>
        <c:dLbls>
          <c:dLblPos val="bestFit"/>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 5 Customer Sales!PivotTable6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Customers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Customer Sales'!$B$3</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Customer Sales'!$A$4:$A$9</c:f>
              <c:strCache>
                <c:ptCount val="5"/>
                <c:pt idx="0">
                  <c:v>Allis Wilmore</c:v>
                </c:pt>
                <c:pt idx="1">
                  <c:v>Brenn Dundredge</c:v>
                </c:pt>
                <c:pt idx="2">
                  <c:v>Terri Farra</c:v>
                </c:pt>
                <c:pt idx="3">
                  <c:v>Nealson Cuttler</c:v>
                </c:pt>
                <c:pt idx="4">
                  <c:v>Don Flintiff</c:v>
                </c:pt>
              </c:strCache>
            </c:strRef>
          </c:cat>
          <c:val>
            <c:numRef>
              <c:f>'Top 5 Customer Sales'!$B$4:$B$9</c:f>
              <c:numCache>
                <c:formatCode>General</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0223-4A48-848D-CCFA16FC8A3E}"/>
            </c:ext>
          </c:extLst>
        </c:ser>
        <c:dLbls>
          <c:dLblPos val="inEnd"/>
          <c:showLegendKey val="0"/>
          <c:showVal val="1"/>
          <c:showCatName val="0"/>
          <c:showSerName val="0"/>
          <c:showPercent val="0"/>
          <c:showBubbleSize val="0"/>
        </c:dLbls>
        <c:gapWidth val="100"/>
        <c:overlap val="-24"/>
        <c:axId val="987609008"/>
        <c:axId val="798928912"/>
      </c:barChart>
      <c:catAx>
        <c:axId val="9876090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928912"/>
        <c:crosses val="autoZero"/>
        <c:auto val="1"/>
        <c:lblAlgn val="ctr"/>
        <c:lblOffset val="100"/>
        <c:noMultiLvlLbl val="0"/>
      </c:catAx>
      <c:valAx>
        <c:axId val="7989289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7609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 5 Cities By Sales!PivotTable7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Cities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Cities By Sales'!$B$3</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Cities By Sales'!$A$4:$A$9</c:f>
              <c:strCache>
                <c:ptCount val="5"/>
                <c:pt idx="0">
                  <c:v>Washington</c:v>
                </c:pt>
                <c:pt idx="1">
                  <c:v>Houston</c:v>
                </c:pt>
                <c:pt idx="2">
                  <c:v>Toledo</c:v>
                </c:pt>
                <c:pt idx="3">
                  <c:v>New York City</c:v>
                </c:pt>
                <c:pt idx="4">
                  <c:v>Sacramento</c:v>
                </c:pt>
              </c:strCache>
            </c:strRef>
          </c:cat>
          <c:val>
            <c:numRef>
              <c:f>'Top 5 Cities By Sales'!$B$4:$B$9</c:f>
              <c:numCache>
                <c:formatCode>General</c:formatCode>
                <c:ptCount val="5"/>
                <c:pt idx="0">
                  <c:v>1066.92</c:v>
                </c:pt>
                <c:pt idx="1">
                  <c:v>819.77</c:v>
                </c:pt>
                <c:pt idx="2">
                  <c:v>774.18499999999995</c:v>
                </c:pt>
                <c:pt idx="3">
                  <c:v>772.7349999999999</c:v>
                </c:pt>
                <c:pt idx="4">
                  <c:v>627.74999999999989</c:v>
                </c:pt>
              </c:numCache>
            </c:numRef>
          </c:val>
          <c:extLst>
            <c:ext xmlns:c16="http://schemas.microsoft.com/office/drawing/2014/chart" uri="{C3380CC4-5D6E-409C-BE32-E72D297353CC}">
              <c16:uniqueId val="{00000000-74A2-4311-9E17-E917A74C4F14}"/>
            </c:ext>
          </c:extLst>
        </c:ser>
        <c:dLbls>
          <c:dLblPos val="inEnd"/>
          <c:showLegendKey val="0"/>
          <c:showVal val="1"/>
          <c:showCatName val="0"/>
          <c:showSerName val="0"/>
          <c:showPercent val="0"/>
          <c:showBubbleSize val="0"/>
        </c:dLbls>
        <c:gapWidth val="100"/>
        <c:overlap val="-24"/>
        <c:axId val="980297744"/>
        <c:axId val="1069615568"/>
      </c:barChart>
      <c:catAx>
        <c:axId val="980297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9615568"/>
        <c:crosses val="autoZero"/>
        <c:auto val="1"/>
        <c:lblAlgn val="ctr"/>
        <c:lblOffset val="100"/>
        <c:noMultiLvlLbl val="0"/>
      </c:catAx>
      <c:valAx>
        <c:axId val="10696155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8029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[Coffee-Sales-Dashboard.xlsx]Combination Chart!PivotTable8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Combination Graph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'Combination Chart'!$B$3</c:f>
              <c:strCache>
                <c:ptCount val="1"/>
                <c:pt idx="0">
                  <c:v>Sum of Sales</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invertIfNegative val="0"/>
          <c:cat>
            <c:strRef>
              <c:f>'Combination Chart'!$A$4:$A$8</c:f>
              <c:strCache>
                <c:ptCount val="4"/>
                <c:pt idx="0">
                  <c:v>Ara</c:v>
                </c:pt>
                <c:pt idx="1">
                  <c:v>Exc</c:v>
                </c:pt>
                <c:pt idx="2">
                  <c:v>Lib</c:v>
                </c:pt>
                <c:pt idx="3">
                  <c:v>Rob</c:v>
                </c:pt>
              </c:strCache>
            </c:strRef>
          </c:cat>
          <c:val>
            <c:numRef>
              <c:f>'Combination Chart'!$B$4:$B$8</c:f>
              <c:numCache>
                <c:formatCode>General</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0-447F-43D0-A43E-4FA07C698D77}"/>
            </c:ext>
          </c:extLst>
        </c:ser>
        <c:dLbls>
          <c:showLegendKey val="0"/>
          <c:showVal val="0"/>
          <c:showCatName val="0"/>
          <c:showSerName val="0"/>
          <c:showPercent val="0"/>
          <c:showBubbleSize val="0"/>
        </c:dLbls>
        <c:gapWidth val="150"/>
        <c:axId val="704226112"/>
        <c:axId val="1069701008"/>
      </c:barChart>
      <c:lineChart>
        <c:grouping val="standard"/>
        <c:varyColors val="0"/>
        <c:ser>
          <c:idx val="1"/>
          <c:order val="1"/>
          <c:tx>
            <c:strRef>
              <c:f>'Combination Chart'!$C$3</c:f>
              <c:strCache>
                <c:ptCount val="1"/>
                <c:pt idx="0">
                  <c:v>Sum of Quantity</c:v>
                </c:pt>
              </c:strCache>
            </c:strRef>
          </c:tx>
          <c:spPr>
            <a:ln w="34925" cap="rnd">
              <a:solidFill>
                <a:schemeClr val="accent2"/>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'Combination Chart'!$A$4:$A$8</c:f>
              <c:strCache>
                <c:ptCount val="4"/>
                <c:pt idx="0">
                  <c:v>Ara</c:v>
                </c:pt>
                <c:pt idx="1">
                  <c:v>Exc</c:v>
                </c:pt>
                <c:pt idx="2">
                  <c:v>Lib</c:v>
                </c:pt>
                <c:pt idx="3">
                  <c:v>Rob</c:v>
                </c:pt>
              </c:strCache>
            </c:strRef>
          </c:cat>
          <c:val>
            <c:numRef>
              <c:f>'Combination Chart'!$C$4:$C$8</c:f>
              <c:numCache>
                <c:formatCode>General</c:formatCode>
                <c:ptCount val="4"/>
                <c:pt idx="0">
                  <c:v>947</c:v>
                </c:pt>
                <c:pt idx="1">
                  <c:v>872</c:v>
                </c:pt>
                <c:pt idx="2">
                  <c:v>854</c:v>
                </c:pt>
                <c:pt idx="3">
                  <c:v>878</c:v>
                </c:pt>
              </c:numCache>
            </c:numRef>
          </c:val>
          <c:smooth val="0"/>
          <c:extLst>
            <c:ext xmlns:c16="http://schemas.microsoft.com/office/drawing/2014/chart" uri="{C3380CC4-5D6E-409C-BE32-E72D297353CC}">
              <c16:uniqueId val="{00000001-447F-43D0-A43E-4FA07C698D77}"/>
            </c:ext>
          </c:extLst>
        </c:ser>
        <c:dLbls>
          <c:showLegendKey val="0"/>
          <c:showVal val="0"/>
          <c:showCatName val="0"/>
          <c:showSerName val="0"/>
          <c:showPercent val="0"/>
          <c:showBubbleSize val="0"/>
        </c:dLbls>
        <c:marker val="1"/>
        <c:smooth val="0"/>
        <c:axId val="704223328"/>
        <c:axId val="1069701488"/>
      </c:lineChart>
      <c:catAx>
        <c:axId val="704226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9701008"/>
        <c:crosses val="autoZero"/>
        <c:auto val="1"/>
        <c:lblAlgn val="ctr"/>
        <c:lblOffset val="100"/>
        <c:noMultiLvlLbl val="0"/>
      </c:catAx>
      <c:valAx>
        <c:axId val="1069701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226112"/>
        <c:crosses val="autoZero"/>
        <c:crossBetween val="between"/>
      </c:valAx>
      <c:valAx>
        <c:axId val="106970148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4223328"/>
        <c:crosses val="max"/>
        <c:crossBetween val="between"/>
      </c:valAx>
      <c:catAx>
        <c:axId val="704223328"/>
        <c:scaling>
          <c:orientation val="minMax"/>
        </c:scaling>
        <c:delete val="1"/>
        <c:axPos val="b"/>
        <c:numFmt formatCode="General" sourceLinked="1"/>
        <c:majorTickMark val="none"/>
        <c:minorTickMark val="none"/>
        <c:tickLblPos val="nextTo"/>
        <c:crossAx val="10697014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254000</xdr:colOff>
      <xdr:row>44</xdr:row>
      <xdr:rowOff>129117</xdr:rowOff>
    </xdr:to>
    <xdr:sp macro="" textlink="">
      <xdr:nvSpPr>
        <xdr:cNvPr id="2" name="Rectangle 1">
          <a:extLst>
            <a:ext uri="{FF2B5EF4-FFF2-40B4-BE49-F238E27FC236}">
              <a16:creationId xmlns:a16="http://schemas.microsoft.com/office/drawing/2014/main" id="{4E1A6F8D-8228-10CD-E6FD-DBF461BDBF09}"/>
            </a:ext>
          </a:extLst>
        </xdr:cNvPr>
        <xdr:cNvSpPr/>
      </xdr:nvSpPr>
      <xdr:spPr>
        <a:xfrm>
          <a:off x="0" y="0"/>
          <a:ext cx="14915266" cy="8263547"/>
        </a:xfrm>
        <a:prstGeom prst="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43448</xdr:colOff>
      <xdr:row>2</xdr:row>
      <xdr:rowOff>142164</xdr:rowOff>
    </xdr:from>
    <xdr:to>
      <xdr:col>14</xdr:col>
      <xdr:colOff>56266</xdr:colOff>
      <xdr:row>4</xdr:row>
      <xdr:rowOff>168797</xdr:rowOff>
    </xdr:to>
    <xdr:sp macro="" textlink="">
      <xdr:nvSpPr>
        <xdr:cNvPr id="3" name="TextBox 2">
          <a:extLst>
            <a:ext uri="{FF2B5EF4-FFF2-40B4-BE49-F238E27FC236}">
              <a16:creationId xmlns:a16="http://schemas.microsoft.com/office/drawing/2014/main" id="{A1635956-5988-F098-7669-1FDFEFAE7D57}"/>
            </a:ext>
          </a:extLst>
        </xdr:cNvPr>
        <xdr:cNvSpPr txBox="1"/>
      </xdr:nvSpPr>
      <xdr:spPr>
        <a:xfrm>
          <a:off x="6152309" y="511911"/>
          <a:ext cx="2456362" cy="3963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chemeClr val="accent2">
                  <a:lumMod val="75000"/>
                </a:schemeClr>
              </a:solidFill>
              <a:latin typeface="Arial Black" panose="020B0A04020102020204" pitchFamily="34" charset="0"/>
            </a:rPr>
            <a:t>Coffee</a:t>
          </a:r>
          <a:r>
            <a:rPr lang="en-IN" sz="1400" b="0" baseline="0">
              <a:solidFill>
                <a:schemeClr val="accent2">
                  <a:lumMod val="75000"/>
                </a:schemeClr>
              </a:solidFill>
              <a:latin typeface="Arial Black" panose="020B0A04020102020204" pitchFamily="34" charset="0"/>
            </a:rPr>
            <a:t> Sales Analysis</a:t>
          </a:r>
          <a:endParaRPr lang="en-IN" sz="1400" b="0">
            <a:solidFill>
              <a:schemeClr val="accent2">
                <a:lumMod val="75000"/>
              </a:schemeClr>
            </a:solidFill>
            <a:latin typeface="Arial Black" panose="020B0A04020102020204" pitchFamily="34" charset="0"/>
          </a:endParaRPr>
        </a:p>
      </xdr:txBody>
    </xdr:sp>
    <xdr:clientData/>
  </xdr:twoCellAnchor>
  <xdr:twoCellAnchor>
    <xdr:from>
      <xdr:col>4</xdr:col>
      <xdr:colOff>463550</xdr:colOff>
      <xdr:row>13</xdr:row>
      <xdr:rowOff>148165</xdr:rowOff>
    </xdr:from>
    <xdr:to>
      <xdr:col>12</xdr:col>
      <xdr:colOff>405984</xdr:colOff>
      <xdr:row>24</xdr:row>
      <xdr:rowOff>160866</xdr:rowOff>
    </xdr:to>
    <xdr:graphicFrame macro="">
      <xdr:nvGraphicFramePr>
        <xdr:cNvPr id="4" name="Chart 3">
          <a:extLst>
            <a:ext uri="{FF2B5EF4-FFF2-40B4-BE49-F238E27FC236}">
              <a16:creationId xmlns:a16="http://schemas.microsoft.com/office/drawing/2014/main" id="{2565FDFE-A822-4760-982A-27F8E05AA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319617</xdr:colOff>
      <xdr:row>13</xdr:row>
      <xdr:rowOff>107950</xdr:rowOff>
    </xdr:from>
    <xdr:to>
      <xdr:col>21</xdr:col>
      <xdr:colOff>361950</xdr:colOff>
      <xdr:row>24</xdr:row>
      <xdr:rowOff>165101</xdr:rowOff>
    </xdr:to>
    <xdr:graphicFrame macro="">
      <xdr:nvGraphicFramePr>
        <xdr:cNvPr id="5" name="Chart 4">
          <a:extLst>
            <a:ext uri="{FF2B5EF4-FFF2-40B4-BE49-F238E27FC236}">
              <a16:creationId xmlns:a16="http://schemas.microsoft.com/office/drawing/2014/main" id="{49C10A0B-BC09-44C0-AB9D-D41C1ED117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80433</xdr:colOff>
      <xdr:row>25</xdr:row>
      <xdr:rowOff>158749</xdr:rowOff>
    </xdr:from>
    <xdr:to>
      <xdr:col>21</xdr:col>
      <xdr:colOff>440267</xdr:colOff>
      <xdr:row>40</xdr:row>
      <xdr:rowOff>35983</xdr:rowOff>
    </xdr:to>
    <xdr:graphicFrame macro="">
      <xdr:nvGraphicFramePr>
        <xdr:cNvPr id="6" name="Chart 5">
          <a:extLst>
            <a:ext uri="{FF2B5EF4-FFF2-40B4-BE49-F238E27FC236}">
              <a16:creationId xmlns:a16="http://schemas.microsoft.com/office/drawing/2014/main" id="{1FD06BE5-4711-4004-9E10-D38F9DB8C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374651</xdr:colOff>
      <xdr:row>26</xdr:row>
      <xdr:rowOff>14817</xdr:rowOff>
    </xdr:from>
    <xdr:to>
      <xdr:col>8</xdr:col>
      <xdr:colOff>556684</xdr:colOff>
      <xdr:row>40</xdr:row>
      <xdr:rowOff>8467</xdr:rowOff>
    </xdr:to>
    <xdr:graphicFrame macro="">
      <xdr:nvGraphicFramePr>
        <xdr:cNvPr id="7" name="Chart 6">
          <a:extLst>
            <a:ext uri="{FF2B5EF4-FFF2-40B4-BE49-F238E27FC236}">
              <a16:creationId xmlns:a16="http://schemas.microsoft.com/office/drawing/2014/main" id="{24B59EA2-B642-44E5-84CF-D6DD99CE5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436034</xdr:colOff>
      <xdr:row>26</xdr:row>
      <xdr:rowOff>12699</xdr:rowOff>
    </xdr:from>
    <xdr:to>
      <xdr:col>14</xdr:col>
      <xdr:colOff>423333</xdr:colOff>
      <xdr:row>39</xdr:row>
      <xdr:rowOff>169333</xdr:rowOff>
    </xdr:to>
    <xdr:graphicFrame macro="">
      <xdr:nvGraphicFramePr>
        <xdr:cNvPr id="8" name="Chart 7">
          <a:extLst>
            <a:ext uri="{FF2B5EF4-FFF2-40B4-BE49-F238E27FC236}">
              <a16:creationId xmlns:a16="http://schemas.microsoft.com/office/drawing/2014/main" id="{E90F8928-7A43-4E5C-8D67-84309CDB47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260351</xdr:colOff>
      <xdr:row>12</xdr:row>
      <xdr:rowOff>116416</xdr:rowOff>
    </xdr:from>
    <xdr:to>
      <xdr:col>3</xdr:col>
      <xdr:colOff>431801</xdr:colOff>
      <xdr:row>25</xdr:row>
      <xdr:rowOff>166157</xdr:rowOff>
    </xdr:to>
    <mc:AlternateContent xmlns:mc="http://schemas.openxmlformats.org/markup-compatibility/2006" xmlns:a14="http://schemas.microsoft.com/office/drawing/2010/main">
      <mc:Choice Requires="a14">
        <xdr:graphicFrame macro="">
          <xdr:nvGraphicFramePr>
            <xdr:cNvPr id="9" name="Weekday">
              <a:extLst>
                <a:ext uri="{FF2B5EF4-FFF2-40B4-BE49-F238E27FC236}">
                  <a16:creationId xmlns:a16="http://schemas.microsoft.com/office/drawing/2014/main" id="{AC753BC4-E4DF-B864-31E0-D17D188FF639}"/>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874531" y="2364941"/>
              <a:ext cx="1399811" cy="2485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12922</xdr:colOff>
      <xdr:row>5</xdr:row>
      <xdr:rowOff>170671</xdr:rowOff>
    </xdr:from>
    <xdr:to>
      <xdr:col>8</xdr:col>
      <xdr:colOff>12922</xdr:colOff>
      <xdr:row>11</xdr:row>
      <xdr:rowOff>177020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AC124228-1199-4A34-5841-0FB96755C38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83824" y="1107556"/>
              <a:ext cx="1842541" cy="11306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137583</xdr:colOff>
      <xdr:row>5</xdr:row>
      <xdr:rowOff>169333</xdr:rowOff>
    </xdr:from>
    <xdr:to>
      <xdr:col>15</xdr:col>
      <xdr:colOff>137583</xdr:colOff>
      <xdr:row>11</xdr:row>
      <xdr:rowOff>169333</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AF20CB94-55B6-FD95-9DE5-73F6113A38B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507747" y="1106218"/>
              <a:ext cx="1842541" cy="1124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207434</xdr:colOff>
      <xdr:row>28</xdr:row>
      <xdr:rowOff>63501</xdr:rowOff>
    </xdr:from>
    <xdr:to>
      <xdr:col>4</xdr:col>
      <xdr:colOff>207434</xdr:colOff>
      <xdr:row>36</xdr:row>
      <xdr:rowOff>88900</xdr:rowOff>
    </xdr:to>
    <mc:AlternateContent xmlns:mc="http://schemas.openxmlformats.org/markup-compatibility/2006" xmlns:a14="http://schemas.microsoft.com/office/drawing/2010/main">
      <mc:Choice Requires="a14">
        <xdr:graphicFrame macro="">
          <xdr:nvGraphicFramePr>
            <xdr:cNvPr id="12" name="Coffee Type">
              <a:extLst>
                <a:ext uri="{FF2B5EF4-FFF2-40B4-BE49-F238E27FC236}">
                  <a16:creationId xmlns:a16="http://schemas.microsoft.com/office/drawing/2014/main" id="{7FCDF241-C43E-B05C-7A3C-73F7C1A4EBC0}"/>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821614" y="5310058"/>
              <a:ext cx="1842541" cy="1524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491067</xdr:colOff>
      <xdr:row>5</xdr:row>
      <xdr:rowOff>146051</xdr:rowOff>
    </xdr:from>
    <xdr:to>
      <xdr:col>18</xdr:col>
      <xdr:colOff>491067</xdr:colOff>
      <xdr:row>12</xdr:row>
      <xdr:rowOff>19051</xdr:rowOff>
    </xdr:to>
    <mc:AlternateContent xmlns:mc="http://schemas.openxmlformats.org/markup-compatibility/2006" xmlns:a14="http://schemas.microsoft.com/office/drawing/2010/main">
      <mc:Choice Requires="a14">
        <xdr:graphicFrame macro="">
          <xdr:nvGraphicFramePr>
            <xdr:cNvPr id="13" name="Roast Type">
              <a:extLst>
                <a:ext uri="{FF2B5EF4-FFF2-40B4-BE49-F238E27FC236}">
                  <a16:creationId xmlns:a16="http://schemas.microsoft.com/office/drawing/2014/main" id="{DD3E30C9-2A00-E99D-2EF4-5705B76369EF}"/>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9703772" y="1082936"/>
              <a:ext cx="1842541" cy="1184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319616</xdr:colOff>
      <xdr:row>5</xdr:row>
      <xdr:rowOff>173568</xdr:rowOff>
    </xdr:from>
    <xdr:to>
      <xdr:col>11</xdr:col>
      <xdr:colOff>319616</xdr:colOff>
      <xdr:row>11</xdr:row>
      <xdr:rowOff>146051</xdr:rowOff>
    </xdr:to>
    <mc:AlternateContent xmlns:mc="http://schemas.openxmlformats.org/markup-compatibility/2006" xmlns:a14="http://schemas.microsoft.com/office/drawing/2010/main">
      <mc:Choice Requires="a14">
        <xdr:graphicFrame macro="">
          <xdr:nvGraphicFramePr>
            <xdr:cNvPr id="14" name="Sales Category">
              <a:extLst>
                <a:ext uri="{FF2B5EF4-FFF2-40B4-BE49-F238E27FC236}">
                  <a16:creationId xmlns:a16="http://schemas.microsoft.com/office/drawing/2014/main" id="{26668279-C38A-CD52-B82B-139F527F1432}"/>
                </a:ext>
              </a:extLst>
            </xdr:cNvPr>
            <xdr:cNvGraphicFramePr/>
          </xdr:nvGraphicFramePr>
          <xdr:xfrm>
            <a:off x="0" y="0"/>
            <a:ext cx="0" cy="0"/>
          </xdr:xfrm>
          <a:graphic>
            <a:graphicData uri="http://schemas.microsoft.com/office/drawing/2010/slicer">
              <sle:slicer xmlns:sle="http://schemas.microsoft.com/office/drawing/2010/slicer" name="Sales Category"/>
            </a:graphicData>
          </a:graphic>
        </xdr:graphicFrame>
      </mc:Choice>
      <mc:Fallback xmlns="">
        <xdr:sp macro="" textlink="">
          <xdr:nvSpPr>
            <xdr:cNvPr id="0" name=""/>
            <xdr:cNvSpPr>
              <a:spLocks noTextEdit="1"/>
            </xdr:cNvSpPr>
          </xdr:nvSpPr>
          <xdr:spPr>
            <a:xfrm>
              <a:off x="5233059" y="1110453"/>
              <a:ext cx="1842541" cy="1096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82550</xdr:colOff>
      <xdr:row>2</xdr:row>
      <xdr:rowOff>25400</xdr:rowOff>
    </xdr:from>
    <xdr:to>
      <xdr:col>18</xdr:col>
      <xdr:colOff>120650</xdr:colOff>
      <xdr:row>16</xdr:row>
      <xdr:rowOff>165100</xdr:rowOff>
    </xdr:to>
    <xdr:graphicFrame macro="">
      <xdr:nvGraphicFramePr>
        <xdr:cNvPr id="2" name="Chart 1">
          <a:extLst>
            <a:ext uri="{FF2B5EF4-FFF2-40B4-BE49-F238E27FC236}">
              <a16:creationId xmlns:a16="http://schemas.microsoft.com/office/drawing/2014/main" id="{8C0EF063-18F3-CA92-5298-CBA1E8484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38100</xdr:colOff>
      <xdr:row>2</xdr:row>
      <xdr:rowOff>31750</xdr:rowOff>
    </xdr:from>
    <xdr:to>
      <xdr:col>14</xdr:col>
      <xdr:colOff>457200</xdr:colOff>
      <xdr:row>17</xdr:row>
      <xdr:rowOff>12700</xdr:rowOff>
    </xdr:to>
    <xdr:graphicFrame macro="">
      <xdr:nvGraphicFramePr>
        <xdr:cNvPr id="2" name="Chart 1">
          <a:extLst>
            <a:ext uri="{FF2B5EF4-FFF2-40B4-BE49-F238E27FC236}">
              <a16:creationId xmlns:a16="http://schemas.microsoft.com/office/drawing/2014/main" id="{DF76A17C-D32B-0D93-54E3-DDDA54A5A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xdr:colOff>
      <xdr:row>2</xdr:row>
      <xdr:rowOff>19050</xdr:rowOff>
    </xdr:from>
    <xdr:to>
      <xdr:col>12</xdr:col>
      <xdr:colOff>292100</xdr:colOff>
      <xdr:row>17</xdr:row>
      <xdr:rowOff>0</xdr:rowOff>
    </xdr:to>
    <xdr:graphicFrame macro="">
      <xdr:nvGraphicFramePr>
        <xdr:cNvPr id="2" name="Chart 1">
          <a:extLst>
            <a:ext uri="{FF2B5EF4-FFF2-40B4-BE49-F238E27FC236}">
              <a16:creationId xmlns:a16="http://schemas.microsoft.com/office/drawing/2014/main" id="{59B6B2E8-89F0-8A48-44CE-381A7AC928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215900</xdr:colOff>
      <xdr:row>2</xdr:row>
      <xdr:rowOff>38100</xdr:rowOff>
    </xdr:from>
    <xdr:to>
      <xdr:col>10</xdr:col>
      <xdr:colOff>520700</xdr:colOff>
      <xdr:row>17</xdr:row>
      <xdr:rowOff>19050</xdr:rowOff>
    </xdr:to>
    <xdr:graphicFrame macro="">
      <xdr:nvGraphicFramePr>
        <xdr:cNvPr id="2" name="Chart 1">
          <a:extLst>
            <a:ext uri="{FF2B5EF4-FFF2-40B4-BE49-F238E27FC236}">
              <a16:creationId xmlns:a16="http://schemas.microsoft.com/office/drawing/2014/main" id="{396C6194-E80B-89AC-BDA6-EAC3052D3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2</xdr:row>
      <xdr:rowOff>38100</xdr:rowOff>
    </xdr:from>
    <xdr:to>
      <xdr:col>10</xdr:col>
      <xdr:colOff>323850</xdr:colOff>
      <xdr:row>17</xdr:row>
      <xdr:rowOff>19050</xdr:rowOff>
    </xdr:to>
    <xdr:graphicFrame macro="">
      <xdr:nvGraphicFramePr>
        <xdr:cNvPr id="2" name="Chart 1">
          <a:extLst>
            <a:ext uri="{FF2B5EF4-FFF2-40B4-BE49-F238E27FC236}">
              <a16:creationId xmlns:a16="http://schemas.microsoft.com/office/drawing/2014/main" id="{945F96F3-17F8-73C7-EA4A-E2FAC16B9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xdr:colOff>
      <xdr:row>2</xdr:row>
      <xdr:rowOff>31750</xdr:rowOff>
    </xdr:from>
    <xdr:to>
      <xdr:col>10</xdr:col>
      <xdr:colOff>342900</xdr:colOff>
      <xdr:row>17</xdr:row>
      <xdr:rowOff>12700</xdr:rowOff>
    </xdr:to>
    <xdr:graphicFrame macro="">
      <xdr:nvGraphicFramePr>
        <xdr:cNvPr id="2" name="Chart 1">
          <a:extLst>
            <a:ext uri="{FF2B5EF4-FFF2-40B4-BE49-F238E27FC236}">
              <a16:creationId xmlns:a16="http://schemas.microsoft.com/office/drawing/2014/main" id="{69D3AEC9-18B6-6A16-8540-D009B156E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50800</xdr:colOff>
      <xdr:row>2</xdr:row>
      <xdr:rowOff>25400</xdr:rowOff>
    </xdr:from>
    <xdr:to>
      <xdr:col>10</xdr:col>
      <xdr:colOff>355600</xdr:colOff>
      <xdr:row>17</xdr:row>
      <xdr:rowOff>6350</xdr:rowOff>
    </xdr:to>
    <xdr:graphicFrame macro="">
      <xdr:nvGraphicFramePr>
        <xdr:cNvPr id="2" name="Chart 1">
          <a:extLst>
            <a:ext uri="{FF2B5EF4-FFF2-40B4-BE49-F238E27FC236}">
              <a16:creationId xmlns:a16="http://schemas.microsoft.com/office/drawing/2014/main" id="{1EA73927-CC8D-E137-464A-5C25948A8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38100</xdr:colOff>
      <xdr:row>2</xdr:row>
      <xdr:rowOff>6350</xdr:rowOff>
    </xdr:from>
    <xdr:to>
      <xdr:col>13</xdr:col>
      <xdr:colOff>266700</xdr:colOff>
      <xdr:row>16</xdr:row>
      <xdr:rowOff>171450</xdr:rowOff>
    </xdr:to>
    <xdr:graphicFrame macro="">
      <xdr:nvGraphicFramePr>
        <xdr:cNvPr id="2" name="Chart 1">
          <a:extLst>
            <a:ext uri="{FF2B5EF4-FFF2-40B4-BE49-F238E27FC236}">
              <a16:creationId xmlns:a16="http://schemas.microsoft.com/office/drawing/2014/main" id="{193F9112-F2D6-AF8B-D7DB-C9CFF68CF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gzen" refreshedDate="46219.488466666669" createdVersion="8" refreshedVersion="8" minRefreshableVersion="3" recordCount="1000" xr:uid="{D8FC02CC-838C-4B03-8226-B54B190F4AB1}">
  <cacheSource type="worksheet">
    <worksheetSource name="Table1"/>
  </cacheSource>
  <cacheFields count="21">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0"/>
    </cacheField>
    <cacheField name="Weekday" numFmtId="14">
      <sharedItems count="7">
        <s v="Thursday"/>
        <s v="Wednesday"/>
        <s v="Friday"/>
        <s v="Monday"/>
        <s v="Saturday"/>
        <s v="Tuesday"/>
        <s v="Sunday"/>
      </sharedItems>
    </cacheField>
    <cacheField name="Month" numFmtId="14">
      <sharedItems/>
    </cacheField>
    <cacheField name="Year" numFmtId="14">
      <sharedItems count="4">
        <s v="2019"/>
        <s v="2021"/>
        <s v="2022"/>
        <s v="2020"/>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ity" numFmtId="0">
      <sharedItems count="375">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0">
      <sharedItems containsSemiMixedTypes="0" containsString="0" containsNumber="1" minValue="0.2" maxValue="2.5"/>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Sales Category" numFmtId="0">
      <sharedItems count="3">
        <s v="low sales"/>
        <s v="medium sales"/>
        <s v="High sales"/>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5867314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September"/>
    <x v="0"/>
    <s v="17670-51384-MA"/>
    <s v="R-M-1"/>
    <n v="2"/>
    <x v="0"/>
    <s v="aallner0@lulu.com"/>
    <x v="0"/>
    <x v="0"/>
    <x v="0"/>
    <x v="0"/>
    <n v="1"/>
    <n v="9.9499999999999993"/>
    <x v="0"/>
    <x v="0"/>
  </r>
  <r>
    <s v="QEV-37451-860"/>
    <x v="0"/>
    <x v="0"/>
    <s v="September"/>
    <x v="0"/>
    <s v="17670-51384-MA"/>
    <s v="E-M-0.5"/>
    <n v="5"/>
    <x v="0"/>
    <s v="aallner0@lulu.com"/>
    <x v="0"/>
    <x v="0"/>
    <x v="1"/>
    <x v="0"/>
    <n v="0.5"/>
    <n v="8.25"/>
    <x v="1"/>
    <x v="0"/>
  </r>
  <r>
    <s v="FAA-43335-268"/>
    <x v="1"/>
    <x v="0"/>
    <s v="June"/>
    <x v="1"/>
    <s v="21125-22134-PX"/>
    <s v="A-L-1"/>
    <n v="1"/>
    <x v="1"/>
    <s v="jredholes2@tmall.com"/>
    <x v="1"/>
    <x v="0"/>
    <x v="2"/>
    <x v="1"/>
    <n v="1"/>
    <n v="12.95"/>
    <x v="2"/>
    <x v="0"/>
  </r>
  <r>
    <s v="KAC-83089-793"/>
    <x v="2"/>
    <x v="0"/>
    <s v="July"/>
    <x v="1"/>
    <s v="23806-46781-OU"/>
    <s v="E-M-1"/>
    <n v="2"/>
    <x v="2"/>
    <n v="0"/>
    <x v="2"/>
    <x v="1"/>
    <x v="1"/>
    <x v="0"/>
    <n v="1"/>
    <n v="13.75"/>
    <x v="3"/>
    <x v="0"/>
  </r>
  <r>
    <s v="KAC-83089-793"/>
    <x v="2"/>
    <x v="0"/>
    <s v="July"/>
    <x v="1"/>
    <s v="23806-46781-OU"/>
    <s v="R-L-2.5"/>
    <n v="2"/>
    <x v="2"/>
    <n v="0"/>
    <x v="2"/>
    <x v="1"/>
    <x v="0"/>
    <x v="1"/>
    <n v="2.5"/>
    <n v="27.484999999999996"/>
    <x v="4"/>
    <x v="1"/>
  </r>
  <r>
    <s v="CVP-18956-553"/>
    <x v="3"/>
    <x v="1"/>
    <s v="August"/>
    <x v="1"/>
    <s v="86561-91660-RB"/>
    <s v="L-D-1"/>
    <n v="3"/>
    <x v="3"/>
    <n v="0"/>
    <x v="3"/>
    <x v="0"/>
    <x v="3"/>
    <x v="2"/>
    <n v="1"/>
    <n v="12.95"/>
    <x v="5"/>
    <x v="0"/>
  </r>
  <r>
    <s v="IPP-31994-879"/>
    <x v="4"/>
    <x v="2"/>
    <s v="January"/>
    <x v="2"/>
    <s v="65223-29612-CB"/>
    <s v="E-D-0.5"/>
    <n v="3"/>
    <x v="4"/>
    <s v="slobe6@nifty.com"/>
    <x v="4"/>
    <x v="0"/>
    <x v="1"/>
    <x v="2"/>
    <n v="0.5"/>
    <n v="7.29"/>
    <x v="6"/>
    <x v="0"/>
  </r>
  <r>
    <s v="SNZ-65340-705"/>
    <x v="5"/>
    <x v="2"/>
    <s v="May"/>
    <x v="2"/>
    <s v="21134-81676-FR"/>
    <s v="L-L-0.2"/>
    <n v="1"/>
    <x v="5"/>
    <n v="0"/>
    <x v="5"/>
    <x v="1"/>
    <x v="3"/>
    <x v="1"/>
    <n v="0.2"/>
    <n v="4.7549999999999999"/>
    <x v="7"/>
    <x v="0"/>
  </r>
  <r>
    <s v="EZT-46571-659"/>
    <x v="6"/>
    <x v="1"/>
    <s v="January"/>
    <x v="0"/>
    <s v="03396-68805-ZC"/>
    <s v="R-M-0.5"/>
    <n v="3"/>
    <x v="6"/>
    <s v="gpetracci8@livejournal.com"/>
    <x v="6"/>
    <x v="0"/>
    <x v="0"/>
    <x v="0"/>
    <n v="0.5"/>
    <n v="5.97"/>
    <x v="8"/>
    <x v="0"/>
  </r>
  <r>
    <s v="NWQ-70061-912"/>
    <x v="0"/>
    <x v="0"/>
    <s v="September"/>
    <x v="0"/>
    <s v="61021-27840-ZN"/>
    <s v="R-M-0.5"/>
    <n v="1"/>
    <x v="7"/>
    <s v="rraven9@ed.gov"/>
    <x v="6"/>
    <x v="0"/>
    <x v="0"/>
    <x v="0"/>
    <n v="0.5"/>
    <n v="5.97"/>
    <x v="9"/>
    <x v="0"/>
  </r>
  <r>
    <s v="BKK-47233-845"/>
    <x v="7"/>
    <x v="3"/>
    <s v="March"/>
    <x v="1"/>
    <s v="76239-90137-UQ"/>
    <s v="A-D-1"/>
    <n v="4"/>
    <x v="8"/>
    <s v="fferbera@businesswire.com"/>
    <x v="7"/>
    <x v="0"/>
    <x v="2"/>
    <x v="2"/>
    <n v="1"/>
    <n v="9.9499999999999993"/>
    <x v="10"/>
    <x v="0"/>
  </r>
  <r>
    <s v="VQR-01002-970"/>
    <x v="8"/>
    <x v="1"/>
    <s v="October"/>
    <x v="3"/>
    <s v="49315-21985-BB"/>
    <s v="E-L-2.5"/>
    <n v="5"/>
    <x v="9"/>
    <s v="dphizackerlyb@utexas.edu"/>
    <x v="7"/>
    <x v="0"/>
    <x v="1"/>
    <x v="1"/>
    <n v="2.5"/>
    <n v="34.154999999999994"/>
    <x v="11"/>
    <x v="2"/>
  </r>
  <r>
    <s v="SZW-48378-399"/>
    <x v="9"/>
    <x v="4"/>
    <s v="July"/>
    <x v="2"/>
    <s v="34136-36674-OM"/>
    <s v="R-M-1"/>
    <n v="5"/>
    <x v="10"/>
    <s v="rscholarc@nyu.edu"/>
    <x v="8"/>
    <x v="0"/>
    <x v="0"/>
    <x v="0"/>
    <n v="1"/>
    <n v="9.9499999999999993"/>
    <x v="12"/>
    <x v="0"/>
  </r>
  <r>
    <s v="ITA-87418-783"/>
    <x v="10"/>
    <x v="2"/>
    <s v="May"/>
    <x v="3"/>
    <s v="39396-12890-PE"/>
    <s v="R-D-2.5"/>
    <n v="2"/>
    <x v="11"/>
    <s v="tvanyutind@wix.com"/>
    <x v="9"/>
    <x v="0"/>
    <x v="0"/>
    <x v="2"/>
    <n v="2.5"/>
    <n v="20.584999999999997"/>
    <x v="13"/>
    <x v="0"/>
  </r>
  <r>
    <s v="GNZ-46006-527"/>
    <x v="11"/>
    <x v="5"/>
    <s v="April"/>
    <x v="2"/>
    <s v="95875-73336-RG"/>
    <s v="L-D-0.2"/>
    <n v="3"/>
    <x v="12"/>
    <s v="ptrobee@wunderground.com"/>
    <x v="10"/>
    <x v="0"/>
    <x v="3"/>
    <x v="2"/>
    <n v="0.2"/>
    <n v="3.8849999999999998"/>
    <x v="14"/>
    <x v="0"/>
  </r>
  <r>
    <s v="FYQ-78248-319"/>
    <x v="12"/>
    <x v="5"/>
    <s v="June"/>
    <x v="2"/>
    <s v="25473-43727-BY"/>
    <s v="R-M-2.5"/>
    <n v="5"/>
    <x v="13"/>
    <s v="loscroftf@ebay.co.uk"/>
    <x v="11"/>
    <x v="0"/>
    <x v="0"/>
    <x v="0"/>
    <n v="2.5"/>
    <n v="22.884999999999998"/>
    <x v="15"/>
    <x v="2"/>
  </r>
  <r>
    <s v="VAU-44387-624"/>
    <x v="13"/>
    <x v="1"/>
    <s v="March"/>
    <x v="0"/>
    <s v="99643-51048-IQ"/>
    <s v="A-M-0.2"/>
    <n v="6"/>
    <x v="14"/>
    <s v="malabasterg@hexun.com"/>
    <x v="12"/>
    <x v="0"/>
    <x v="2"/>
    <x v="0"/>
    <n v="0.2"/>
    <n v="3.375"/>
    <x v="16"/>
    <x v="0"/>
  </r>
  <r>
    <s v="RDW-33155-159"/>
    <x v="14"/>
    <x v="4"/>
    <s v="October"/>
    <x v="0"/>
    <s v="62173-15287-CU"/>
    <s v="A-L-1"/>
    <n v="6"/>
    <x v="15"/>
    <s v="rbroxuph@jimdo.com"/>
    <x v="13"/>
    <x v="0"/>
    <x v="2"/>
    <x v="1"/>
    <n v="1"/>
    <n v="12.95"/>
    <x v="17"/>
    <x v="1"/>
  </r>
  <r>
    <s v="TDZ-59011-211"/>
    <x v="15"/>
    <x v="0"/>
    <s v="June"/>
    <x v="0"/>
    <s v="57611-05522-ST"/>
    <s v="R-D-2.5"/>
    <n v="4"/>
    <x v="16"/>
    <s v="predfordi@ow.ly"/>
    <x v="14"/>
    <x v="1"/>
    <x v="0"/>
    <x v="2"/>
    <n v="2.5"/>
    <n v="20.584999999999997"/>
    <x v="18"/>
    <x v="1"/>
  </r>
  <r>
    <s v="IDU-25793-399"/>
    <x v="16"/>
    <x v="2"/>
    <s v="December"/>
    <x v="3"/>
    <s v="76664-37050-DT"/>
    <s v="A-M-0.2"/>
    <n v="5"/>
    <x v="17"/>
    <s v="acorradinoj@harvard.edu"/>
    <x v="15"/>
    <x v="0"/>
    <x v="2"/>
    <x v="0"/>
    <n v="0.2"/>
    <n v="3.375"/>
    <x v="19"/>
    <x v="0"/>
  </r>
  <r>
    <s v="IDU-25793-399"/>
    <x v="16"/>
    <x v="2"/>
    <s v="December"/>
    <x v="3"/>
    <s v="76664-37050-DT"/>
    <s v="E-D-0.2"/>
    <n v="4"/>
    <x v="17"/>
    <s v="acorradinoj@harvard.edu"/>
    <x v="15"/>
    <x v="0"/>
    <x v="1"/>
    <x v="2"/>
    <n v="0.2"/>
    <n v="3.645"/>
    <x v="20"/>
    <x v="0"/>
  </r>
  <r>
    <s v="NUO-20013-488"/>
    <x v="16"/>
    <x v="2"/>
    <s v="December"/>
    <x v="3"/>
    <s v="03090-88267-BQ"/>
    <s v="A-D-0.2"/>
    <n v="6"/>
    <x v="18"/>
    <s v="adavidowskyl@netvibes.com"/>
    <x v="16"/>
    <x v="0"/>
    <x v="2"/>
    <x v="2"/>
    <n v="0.2"/>
    <n v="2.9849999999999999"/>
    <x v="8"/>
    <x v="0"/>
  </r>
  <r>
    <s v="UQU-65630-479"/>
    <x v="17"/>
    <x v="2"/>
    <s v="January"/>
    <x v="1"/>
    <s v="37651-47492-NC"/>
    <s v="R-M-2.5"/>
    <n v="4"/>
    <x v="19"/>
    <s v="aantukm@kickstarter.com"/>
    <x v="17"/>
    <x v="0"/>
    <x v="0"/>
    <x v="0"/>
    <n v="2.5"/>
    <n v="22.884999999999998"/>
    <x v="21"/>
    <x v="1"/>
  </r>
  <r>
    <s v="FEO-11834-332"/>
    <x v="18"/>
    <x v="2"/>
    <s v="February"/>
    <x v="2"/>
    <s v="95399-57205-HI"/>
    <s v="A-D-0.2"/>
    <n v="4"/>
    <x v="20"/>
    <s v="ikleinertn@timesonline.co.uk"/>
    <x v="18"/>
    <x v="0"/>
    <x v="2"/>
    <x v="2"/>
    <n v="0.2"/>
    <n v="2.9849999999999999"/>
    <x v="22"/>
    <x v="0"/>
  </r>
  <r>
    <s v="TKY-71558-096"/>
    <x v="19"/>
    <x v="1"/>
    <s v="September"/>
    <x v="1"/>
    <s v="24010-66714-HW"/>
    <s v="A-M-1"/>
    <n v="1"/>
    <x v="21"/>
    <s v="cblofeldo@amazon.co.uk"/>
    <x v="19"/>
    <x v="0"/>
    <x v="2"/>
    <x v="0"/>
    <n v="1"/>
    <n v="11.25"/>
    <x v="23"/>
    <x v="0"/>
  </r>
  <r>
    <s v="OXY-65322-253"/>
    <x v="20"/>
    <x v="4"/>
    <s v="October"/>
    <x v="3"/>
    <s v="07591-92789-UA"/>
    <s v="E-M-0.2"/>
    <n v="3"/>
    <x v="22"/>
    <n v="0"/>
    <x v="17"/>
    <x v="0"/>
    <x v="1"/>
    <x v="0"/>
    <n v="0.2"/>
    <n v="4.125"/>
    <x v="24"/>
    <x v="0"/>
  </r>
  <r>
    <s v="EVP-43500-491"/>
    <x v="21"/>
    <x v="1"/>
    <s v="February"/>
    <x v="0"/>
    <s v="49231-44455-IC"/>
    <s v="A-M-0.5"/>
    <n v="4"/>
    <x v="23"/>
    <s v="sshalesq@umich.edu"/>
    <x v="20"/>
    <x v="0"/>
    <x v="2"/>
    <x v="0"/>
    <n v="0.5"/>
    <n v="6.75"/>
    <x v="25"/>
    <x v="0"/>
  </r>
  <r>
    <s v="WAG-26945-689"/>
    <x v="22"/>
    <x v="5"/>
    <s v="October"/>
    <x v="0"/>
    <s v="50124-88608-EO"/>
    <s v="A-M-0.2"/>
    <n v="5"/>
    <x v="24"/>
    <s v="vdanneilr@mtv.com"/>
    <x v="21"/>
    <x v="1"/>
    <x v="2"/>
    <x v="0"/>
    <n v="0.2"/>
    <n v="3.375"/>
    <x v="19"/>
    <x v="0"/>
  </r>
  <r>
    <s v="CHE-78995-767"/>
    <x v="23"/>
    <x v="5"/>
    <s v="August"/>
    <x v="2"/>
    <s v="00888-74814-UZ"/>
    <s v="A-D-0.5"/>
    <n v="3"/>
    <x v="25"/>
    <s v="tnewburys@usda.gov"/>
    <x v="22"/>
    <x v="1"/>
    <x v="2"/>
    <x v="2"/>
    <n v="0.5"/>
    <n v="5.97"/>
    <x v="8"/>
    <x v="0"/>
  </r>
  <r>
    <s v="RYZ-14633-602"/>
    <x v="21"/>
    <x v="1"/>
    <s v="February"/>
    <x v="0"/>
    <s v="14158-30713-OB"/>
    <s v="A-D-1"/>
    <n v="4"/>
    <x v="26"/>
    <s v="mcalcuttt@baidu.com"/>
    <x v="23"/>
    <x v="1"/>
    <x v="2"/>
    <x v="2"/>
    <n v="1"/>
    <n v="9.9499999999999993"/>
    <x v="10"/>
    <x v="0"/>
  </r>
  <r>
    <s v="WOQ-36015-429"/>
    <x v="24"/>
    <x v="4"/>
    <s v="September"/>
    <x v="1"/>
    <s v="51427-89175-QJ"/>
    <s v="L-M-0.2"/>
    <n v="5"/>
    <x v="27"/>
    <n v="0"/>
    <x v="24"/>
    <x v="0"/>
    <x v="3"/>
    <x v="0"/>
    <n v="0.2"/>
    <n v="4.3650000000000002"/>
    <x v="26"/>
    <x v="0"/>
  </r>
  <r>
    <s v="WOQ-36015-429"/>
    <x v="24"/>
    <x v="4"/>
    <s v="September"/>
    <x v="1"/>
    <s v="51427-89175-QJ"/>
    <s v="A-D-0.5"/>
    <n v="6"/>
    <x v="27"/>
    <n v="0"/>
    <x v="24"/>
    <x v="0"/>
    <x v="2"/>
    <x v="2"/>
    <n v="0.5"/>
    <n v="5.97"/>
    <x v="27"/>
    <x v="0"/>
  </r>
  <r>
    <s v="WOQ-36015-429"/>
    <x v="24"/>
    <x v="4"/>
    <s v="September"/>
    <x v="1"/>
    <s v="51427-89175-QJ"/>
    <s v="L-M-0.5"/>
    <n v="6"/>
    <x v="27"/>
    <n v="0"/>
    <x v="24"/>
    <x v="0"/>
    <x v="3"/>
    <x v="0"/>
    <n v="0.5"/>
    <n v="8.73"/>
    <x v="28"/>
    <x v="1"/>
  </r>
  <r>
    <s v="SCT-60553-454"/>
    <x v="25"/>
    <x v="4"/>
    <s v="July"/>
    <x v="1"/>
    <s v="39123-12846-YJ"/>
    <s v="L-L-0.2"/>
    <n v="5"/>
    <x v="28"/>
    <s v="ggatheralx@123-reg.co.uk"/>
    <x v="25"/>
    <x v="0"/>
    <x v="3"/>
    <x v="1"/>
    <n v="0.2"/>
    <n v="4.7549999999999999"/>
    <x v="29"/>
    <x v="0"/>
  </r>
  <r>
    <s v="GFK-52063-244"/>
    <x v="26"/>
    <x v="3"/>
    <s v="June"/>
    <x v="3"/>
    <s v="44981-99666-XB"/>
    <s v="L-L-0.5"/>
    <n v="6"/>
    <x v="29"/>
    <s v="uwelberryy@ebay.co.uk"/>
    <x v="26"/>
    <x v="2"/>
    <x v="3"/>
    <x v="1"/>
    <n v="0.5"/>
    <n v="9.51"/>
    <x v="30"/>
    <x v="1"/>
  </r>
  <r>
    <s v="AMM-79521-378"/>
    <x v="27"/>
    <x v="5"/>
    <s v="June"/>
    <x v="1"/>
    <s v="24825-51803-CQ"/>
    <s v="A-D-0.5"/>
    <n v="6"/>
    <x v="30"/>
    <s v="feilhartz@who.int"/>
    <x v="27"/>
    <x v="0"/>
    <x v="2"/>
    <x v="2"/>
    <n v="0.5"/>
    <n v="5.97"/>
    <x v="27"/>
    <x v="0"/>
  </r>
  <r>
    <s v="QUQ-90580-772"/>
    <x v="28"/>
    <x v="4"/>
    <s v="February"/>
    <x v="1"/>
    <s v="77634-13918-GJ"/>
    <s v="L-M-0.2"/>
    <n v="2"/>
    <x v="31"/>
    <s v="zponting10@altervista.org"/>
    <x v="28"/>
    <x v="0"/>
    <x v="3"/>
    <x v="0"/>
    <n v="0.2"/>
    <n v="4.3650000000000002"/>
    <x v="31"/>
    <x v="0"/>
  </r>
  <r>
    <s v="LGD-24408-274"/>
    <x v="29"/>
    <x v="0"/>
    <s v="April"/>
    <x v="0"/>
    <s v="13694-25001-LX"/>
    <s v="L-L-0.5"/>
    <n v="3"/>
    <x v="32"/>
    <s v="sstrase11@booking.com"/>
    <x v="29"/>
    <x v="0"/>
    <x v="3"/>
    <x v="1"/>
    <n v="0.5"/>
    <n v="9.51"/>
    <x v="32"/>
    <x v="0"/>
  </r>
  <r>
    <s v="HCT-95608-959"/>
    <x v="30"/>
    <x v="4"/>
    <s v="April"/>
    <x v="3"/>
    <s v="08523-01791-TI"/>
    <s v="R-M-2.5"/>
    <n v="5"/>
    <x v="33"/>
    <s v="dde12@unesco.org"/>
    <x v="30"/>
    <x v="0"/>
    <x v="0"/>
    <x v="0"/>
    <n v="2.5"/>
    <n v="22.884999999999998"/>
    <x v="15"/>
    <x v="2"/>
  </r>
  <r>
    <s v="OFX-99147-470"/>
    <x v="31"/>
    <x v="1"/>
    <s v="November"/>
    <x v="1"/>
    <s v="49860-68865-AB"/>
    <s v="R-M-1"/>
    <n v="6"/>
    <x v="34"/>
    <n v="0"/>
    <x v="31"/>
    <x v="0"/>
    <x v="0"/>
    <x v="0"/>
    <n v="1"/>
    <n v="9.9499999999999993"/>
    <x v="33"/>
    <x v="1"/>
  </r>
  <r>
    <s v="LUO-37559-016"/>
    <x v="32"/>
    <x v="3"/>
    <s v="April"/>
    <x v="1"/>
    <s v="21240-83132-SP"/>
    <s v="L-M-1"/>
    <n v="3"/>
    <x v="35"/>
    <n v="0"/>
    <x v="32"/>
    <x v="0"/>
    <x v="3"/>
    <x v="0"/>
    <n v="1"/>
    <n v="14.55"/>
    <x v="34"/>
    <x v="0"/>
  </r>
  <r>
    <s v="XWC-20610-167"/>
    <x v="33"/>
    <x v="0"/>
    <s v="July"/>
    <x v="2"/>
    <s v="08350-81623-TF"/>
    <s v="E-D-0.2"/>
    <n v="2"/>
    <x v="36"/>
    <s v="lyeoland15@pbs.org"/>
    <x v="33"/>
    <x v="0"/>
    <x v="1"/>
    <x v="2"/>
    <n v="0.2"/>
    <n v="3.645"/>
    <x v="35"/>
    <x v="0"/>
  </r>
  <r>
    <s v="GPU-79113-136"/>
    <x v="34"/>
    <x v="1"/>
    <s v="May"/>
    <x v="0"/>
    <s v="73284-01385-SJ"/>
    <s v="R-D-0.2"/>
    <n v="3"/>
    <x v="37"/>
    <s v="atolworthy16@toplist.cz"/>
    <x v="34"/>
    <x v="0"/>
    <x v="0"/>
    <x v="2"/>
    <n v="0.2"/>
    <n v="2.6849999999999996"/>
    <x v="36"/>
    <x v="0"/>
  </r>
  <r>
    <s v="ULR-52653-960"/>
    <x v="35"/>
    <x v="3"/>
    <s v="October"/>
    <x v="1"/>
    <s v="04152-34436-IE"/>
    <s v="L-L-2.5"/>
    <n v="2"/>
    <x v="38"/>
    <n v="0"/>
    <x v="35"/>
    <x v="0"/>
    <x v="3"/>
    <x v="1"/>
    <n v="2.5"/>
    <n v="36.454999999999998"/>
    <x v="37"/>
    <x v="1"/>
  </r>
  <r>
    <s v="HPI-42308-142"/>
    <x v="36"/>
    <x v="4"/>
    <s v="April"/>
    <x v="3"/>
    <s v="06631-86965-XP"/>
    <s v="E-M-0.5"/>
    <n v="2"/>
    <x v="39"/>
    <s v="obaudassi18@seesaa.net"/>
    <x v="36"/>
    <x v="0"/>
    <x v="1"/>
    <x v="0"/>
    <n v="0.5"/>
    <n v="8.25"/>
    <x v="38"/>
    <x v="0"/>
  </r>
  <r>
    <s v="XHI-30227-581"/>
    <x v="37"/>
    <x v="3"/>
    <s v="January"/>
    <x v="2"/>
    <s v="54619-08558-ZU"/>
    <s v="L-D-2.5"/>
    <n v="6"/>
    <x v="40"/>
    <s v="pkingsbury19@comcast.net"/>
    <x v="37"/>
    <x v="0"/>
    <x v="3"/>
    <x v="2"/>
    <n v="2.5"/>
    <n v="29.784999999999997"/>
    <x v="39"/>
    <x v="2"/>
  </r>
  <r>
    <s v="DJH-05202-380"/>
    <x v="38"/>
    <x v="0"/>
    <s v="November"/>
    <x v="0"/>
    <s v="85589-17020-CX"/>
    <s v="E-M-2.5"/>
    <n v="2"/>
    <x v="41"/>
    <n v="0"/>
    <x v="38"/>
    <x v="0"/>
    <x v="1"/>
    <x v="0"/>
    <n v="2.5"/>
    <n v="31.624999999999996"/>
    <x v="40"/>
    <x v="1"/>
  </r>
  <r>
    <s v="VMW-26889-781"/>
    <x v="39"/>
    <x v="2"/>
    <s v="June"/>
    <x v="0"/>
    <s v="36078-91009-WU"/>
    <s v="A-L-0.2"/>
    <n v="2"/>
    <x v="42"/>
    <s v="acurley1b@hao123.com"/>
    <x v="39"/>
    <x v="0"/>
    <x v="2"/>
    <x v="1"/>
    <n v="0.2"/>
    <n v="3.8849999999999998"/>
    <x v="41"/>
    <x v="0"/>
  </r>
  <r>
    <s v="DBU-81099-586"/>
    <x v="40"/>
    <x v="2"/>
    <s v="September"/>
    <x v="3"/>
    <s v="15770-27099-GX"/>
    <s v="A-D-2.5"/>
    <n v="4"/>
    <x v="43"/>
    <s v="rmcgilvary1c@tamu.edu"/>
    <x v="40"/>
    <x v="0"/>
    <x v="2"/>
    <x v="2"/>
    <n v="2.5"/>
    <n v="22.884999999999998"/>
    <x v="21"/>
    <x v="1"/>
  </r>
  <r>
    <s v="PQA-54820-810"/>
    <x v="41"/>
    <x v="1"/>
    <s v="August"/>
    <x v="2"/>
    <s v="91460-04823-BX"/>
    <s v="A-L-1"/>
    <n v="3"/>
    <x v="44"/>
    <s v="ipikett1d@xinhuanet.com"/>
    <x v="41"/>
    <x v="0"/>
    <x v="2"/>
    <x v="1"/>
    <n v="1"/>
    <n v="12.95"/>
    <x v="5"/>
    <x v="0"/>
  </r>
  <r>
    <s v="XKB-41924-202"/>
    <x v="42"/>
    <x v="2"/>
    <s v="August"/>
    <x v="2"/>
    <s v="45089-52817-WN"/>
    <s v="L-D-0.5"/>
    <n v="2"/>
    <x v="45"/>
    <s v="ibouldon1e@gizmodo.com"/>
    <x v="42"/>
    <x v="0"/>
    <x v="3"/>
    <x v="2"/>
    <n v="0.5"/>
    <n v="7.77"/>
    <x v="42"/>
    <x v="0"/>
  </r>
  <r>
    <s v="DWZ-69106-473"/>
    <x v="43"/>
    <x v="1"/>
    <s v="May"/>
    <x v="0"/>
    <s v="76447-50326-IC"/>
    <s v="L-L-2.5"/>
    <n v="4"/>
    <x v="46"/>
    <s v="kflanders1f@over-blog.com"/>
    <x v="43"/>
    <x v="1"/>
    <x v="3"/>
    <x v="1"/>
    <n v="2.5"/>
    <n v="36.454999999999998"/>
    <x v="43"/>
    <x v="2"/>
  </r>
  <r>
    <s v="YHV-68700-050"/>
    <x v="44"/>
    <x v="1"/>
    <s v="September"/>
    <x v="0"/>
    <s v="26333-67911-OL"/>
    <s v="R-M-0.5"/>
    <n v="5"/>
    <x v="47"/>
    <s v="hmattioli1g@webmd.com"/>
    <x v="44"/>
    <x v="2"/>
    <x v="0"/>
    <x v="0"/>
    <n v="0.5"/>
    <n v="5.97"/>
    <x v="44"/>
    <x v="0"/>
  </r>
  <r>
    <s v="YHV-68700-050"/>
    <x v="44"/>
    <x v="1"/>
    <s v="September"/>
    <x v="0"/>
    <s v="26333-67911-OL"/>
    <s v="L-L-2.5"/>
    <n v="2"/>
    <x v="47"/>
    <s v="hmattioli1g@webmd.com"/>
    <x v="44"/>
    <x v="2"/>
    <x v="3"/>
    <x v="1"/>
    <n v="2.5"/>
    <n v="36.454999999999998"/>
    <x v="37"/>
    <x v="1"/>
  </r>
  <r>
    <s v="KRB-88066-642"/>
    <x v="45"/>
    <x v="5"/>
    <s v="March"/>
    <x v="1"/>
    <s v="22107-86640-SB"/>
    <s v="L-M-1"/>
    <n v="5"/>
    <x v="48"/>
    <s v="agillard1i@issuu.com"/>
    <x v="45"/>
    <x v="0"/>
    <x v="3"/>
    <x v="0"/>
    <n v="1"/>
    <n v="14.55"/>
    <x v="45"/>
    <x v="1"/>
  </r>
  <r>
    <s v="LQU-08404-173"/>
    <x v="46"/>
    <x v="0"/>
    <s v="December"/>
    <x v="3"/>
    <s v="09960-34242-LZ"/>
    <s v="L-L-1"/>
    <n v="3"/>
    <x v="49"/>
    <n v="0"/>
    <x v="46"/>
    <x v="0"/>
    <x v="3"/>
    <x v="1"/>
    <n v="1"/>
    <n v="15.85"/>
    <x v="46"/>
    <x v="0"/>
  </r>
  <r>
    <s v="CWK-60159-881"/>
    <x v="47"/>
    <x v="3"/>
    <s v="January"/>
    <x v="3"/>
    <s v="04671-85591-RT"/>
    <s v="E-D-0.2"/>
    <n v="3"/>
    <x v="50"/>
    <s v="tgrizard1k@odnoklassniki.ru"/>
    <x v="47"/>
    <x v="0"/>
    <x v="1"/>
    <x v="2"/>
    <n v="0.2"/>
    <n v="3.645"/>
    <x v="47"/>
    <x v="0"/>
  </r>
  <r>
    <s v="EEG-74197-843"/>
    <x v="48"/>
    <x v="6"/>
    <s v="July"/>
    <x v="2"/>
    <s v="25729-68859-UA"/>
    <s v="E-L-1"/>
    <n v="4"/>
    <x v="51"/>
    <s v="rrelton1l@stanford.edu"/>
    <x v="48"/>
    <x v="0"/>
    <x v="1"/>
    <x v="1"/>
    <n v="1"/>
    <n v="14.85"/>
    <x v="48"/>
    <x v="1"/>
  </r>
  <r>
    <s v="UCZ-59708-525"/>
    <x v="49"/>
    <x v="2"/>
    <s v="March"/>
    <x v="2"/>
    <s v="05501-86351-NX"/>
    <s v="L-D-2.5"/>
    <n v="3"/>
    <x v="52"/>
    <n v="0"/>
    <x v="49"/>
    <x v="0"/>
    <x v="3"/>
    <x v="2"/>
    <n v="2.5"/>
    <n v="29.784999999999997"/>
    <x v="49"/>
    <x v="1"/>
  </r>
  <r>
    <s v="HUB-47311-849"/>
    <x v="50"/>
    <x v="5"/>
    <s v="December"/>
    <x v="1"/>
    <s v="04521-04300-OK"/>
    <s v="L-M-0.5"/>
    <n v="3"/>
    <x v="53"/>
    <s v="sgilroy1n@eepurl.com"/>
    <x v="50"/>
    <x v="0"/>
    <x v="3"/>
    <x v="0"/>
    <n v="0.5"/>
    <n v="8.73"/>
    <x v="50"/>
    <x v="0"/>
  </r>
  <r>
    <s v="WYM-17686-694"/>
    <x v="51"/>
    <x v="0"/>
    <s v="February"/>
    <x v="1"/>
    <s v="58689-55264-VK"/>
    <s v="A-D-2.5"/>
    <n v="5"/>
    <x v="54"/>
    <s v="ccottingham1o@wikipedia.org"/>
    <x v="51"/>
    <x v="0"/>
    <x v="2"/>
    <x v="2"/>
    <n v="2.5"/>
    <n v="22.884999999999998"/>
    <x v="15"/>
    <x v="2"/>
  </r>
  <r>
    <s v="ZYQ-15797-695"/>
    <x v="52"/>
    <x v="3"/>
    <s v="February"/>
    <x v="0"/>
    <s v="79436-73011-MM"/>
    <s v="R-D-0.5"/>
    <n v="5"/>
    <x v="55"/>
    <n v="0"/>
    <x v="52"/>
    <x v="2"/>
    <x v="0"/>
    <x v="2"/>
    <n v="0.5"/>
    <n v="5.3699999999999992"/>
    <x v="51"/>
    <x v="0"/>
  </r>
  <r>
    <s v="EEJ-16185-108"/>
    <x v="53"/>
    <x v="4"/>
    <s v="February"/>
    <x v="0"/>
    <s v="65552-60476-KY"/>
    <s v="L-L-0.2"/>
    <n v="5"/>
    <x v="56"/>
    <n v="0"/>
    <x v="53"/>
    <x v="0"/>
    <x v="3"/>
    <x v="1"/>
    <n v="0.2"/>
    <n v="4.7549999999999999"/>
    <x v="29"/>
    <x v="0"/>
  </r>
  <r>
    <s v="RWR-77888-800"/>
    <x v="54"/>
    <x v="2"/>
    <s v="February"/>
    <x v="3"/>
    <s v="69904-02729-YS"/>
    <s v="A-M-0.5"/>
    <n v="1"/>
    <x v="57"/>
    <s v="adykes1r@eventbrite.com"/>
    <x v="54"/>
    <x v="0"/>
    <x v="2"/>
    <x v="0"/>
    <n v="0.5"/>
    <n v="6.75"/>
    <x v="52"/>
    <x v="0"/>
  </r>
  <r>
    <s v="LHN-75209-742"/>
    <x v="55"/>
    <x v="3"/>
    <s v="March"/>
    <x v="3"/>
    <s v="01433-04270-AX"/>
    <s v="R-M-0.5"/>
    <n v="6"/>
    <x v="58"/>
    <n v="0"/>
    <x v="55"/>
    <x v="0"/>
    <x v="0"/>
    <x v="0"/>
    <n v="0.5"/>
    <n v="5.97"/>
    <x v="27"/>
    <x v="0"/>
  </r>
  <r>
    <s v="TIR-71396-998"/>
    <x v="56"/>
    <x v="6"/>
    <s v="March"/>
    <x v="2"/>
    <s v="14204-14186-LA"/>
    <s v="R-D-2.5"/>
    <n v="4"/>
    <x v="59"/>
    <s v="acockrem1t@engadget.com"/>
    <x v="56"/>
    <x v="0"/>
    <x v="0"/>
    <x v="2"/>
    <n v="2.5"/>
    <n v="20.584999999999997"/>
    <x v="18"/>
    <x v="1"/>
  </r>
  <r>
    <s v="RXF-37618-213"/>
    <x v="57"/>
    <x v="2"/>
    <s v="April"/>
    <x v="2"/>
    <s v="32948-34398-HC"/>
    <s v="R-L-0.5"/>
    <n v="1"/>
    <x v="60"/>
    <s v="bumpleby1u@soundcloud.com"/>
    <x v="57"/>
    <x v="0"/>
    <x v="0"/>
    <x v="1"/>
    <n v="0.5"/>
    <n v="7.169999999999999"/>
    <x v="53"/>
    <x v="0"/>
  </r>
  <r>
    <s v="ANM-16388-634"/>
    <x v="58"/>
    <x v="2"/>
    <s v="November"/>
    <x v="1"/>
    <s v="77343-52608-FF"/>
    <s v="L-L-0.2"/>
    <n v="2"/>
    <x v="61"/>
    <s v="nsaleway1v@dedecms.com"/>
    <x v="58"/>
    <x v="0"/>
    <x v="3"/>
    <x v="1"/>
    <n v="0.2"/>
    <n v="4.7549999999999999"/>
    <x v="54"/>
    <x v="0"/>
  </r>
  <r>
    <s v="WYL-29300-070"/>
    <x v="59"/>
    <x v="1"/>
    <s v="October"/>
    <x v="0"/>
    <s v="42770-36274-QA"/>
    <s v="R-M-0.2"/>
    <n v="1"/>
    <x v="62"/>
    <s v="hgoulter1w@abc.net.au"/>
    <x v="59"/>
    <x v="0"/>
    <x v="0"/>
    <x v="0"/>
    <n v="0.2"/>
    <n v="2.9849999999999999"/>
    <x v="55"/>
    <x v="0"/>
  </r>
  <r>
    <s v="JHW-74554-805"/>
    <x v="60"/>
    <x v="5"/>
    <s v="November"/>
    <x v="0"/>
    <s v="14103-58987-ZU"/>
    <s v="R-M-1"/>
    <n v="6"/>
    <x v="63"/>
    <s v="grizzello1x@symantec.com"/>
    <x v="60"/>
    <x v="2"/>
    <x v="0"/>
    <x v="0"/>
    <n v="1"/>
    <n v="9.9499999999999993"/>
    <x v="33"/>
    <x v="1"/>
  </r>
  <r>
    <s v="KYS-27063-603"/>
    <x v="61"/>
    <x v="6"/>
    <s v="June"/>
    <x v="0"/>
    <s v="69958-32065-SW"/>
    <s v="E-L-2.5"/>
    <n v="4"/>
    <x v="64"/>
    <s v="slist1y@mapquest.com"/>
    <x v="61"/>
    <x v="0"/>
    <x v="1"/>
    <x v="1"/>
    <n v="2.5"/>
    <n v="34.154999999999994"/>
    <x v="56"/>
    <x v="2"/>
  </r>
  <r>
    <s v="GAZ-58626-277"/>
    <x v="62"/>
    <x v="3"/>
    <s v="January"/>
    <x v="1"/>
    <s v="69533-84907-FA"/>
    <s v="L-L-0.2"/>
    <n v="2"/>
    <x v="65"/>
    <s v="sedmondson1z@theguardian.com"/>
    <x v="62"/>
    <x v="1"/>
    <x v="3"/>
    <x v="1"/>
    <n v="0.2"/>
    <n v="4.7549999999999999"/>
    <x v="54"/>
    <x v="0"/>
  </r>
  <r>
    <s v="RPJ-37787-335"/>
    <x v="63"/>
    <x v="5"/>
    <s v="October"/>
    <x v="3"/>
    <s v="76005-95461-CI"/>
    <s v="A-M-2.5"/>
    <n v="3"/>
    <x v="66"/>
    <n v="0"/>
    <x v="32"/>
    <x v="0"/>
    <x v="2"/>
    <x v="0"/>
    <n v="2.5"/>
    <n v="25.874999999999996"/>
    <x v="57"/>
    <x v="1"/>
  </r>
  <r>
    <s v="LEF-83057-763"/>
    <x v="64"/>
    <x v="5"/>
    <s v="June"/>
    <x v="1"/>
    <s v="15395-90855-VB"/>
    <s v="L-M-0.2"/>
    <n v="5"/>
    <x v="67"/>
    <n v="0"/>
    <x v="63"/>
    <x v="0"/>
    <x v="3"/>
    <x v="0"/>
    <n v="0.2"/>
    <n v="4.3650000000000002"/>
    <x v="26"/>
    <x v="0"/>
  </r>
  <r>
    <s v="RPW-36123-215"/>
    <x v="65"/>
    <x v="3"/>
    <s v="July"/>
    <x v="1"/>
    <s v="80640-45811-LB"/>
    <s v="E-L-0.5"/>
    <n v="2"/>
    <x v="68"/>
    <s v="jrangall22@newsvine.com"/>
    <x v="64"/>
    <x v="0"/>
    <x v="1"/>
    <x v="1"/>
    <n v="0.5"/>
    <n v="8.91"/>
    <x v="58"/>
    <x v="0"/>
  </r>
  <r>
    <s v="WLL-59044-117"/>
    <x v="66"/>
    <x v="2"/>
    <s v="July"/>
    <x v="1"/>
    <s v="28476-04082-GR"/>
    <s v="R-D-1"/>
    <n v="6"/>
    <x v="69"/>
    <s v="kboorn23@ezinearticles.com"/>
    <x v="65"/>
    <x v="1"/>
    <x v="0"/>
    <x v="2"/>
    <n v="1"/>
    <n v="8.9499999999999993"/>
    <x v="59"/>
    <x v="1"/>
  </r>
  <r>
    <s v="AWT-22827-563"/>
    <x v="67"/>
    <x v="4"/>
    <s v="January"/>
    <x v="3"/>
    <s v="12018-75670-EU"/>
    <s v="R-L-0.2"/>
    <n v="1"/>
    <x v="70"/>
    <n v="0"/>
    <x v="66"/>
    <x v="1"/>
    <x v="0"/>
    <x v="1"/>
    <n v="0.2"/>
    <n v="3.5849999999999995"/>
    <x v="60"/>
    <x v="0"/>
  </r>
  <r>
    <s v="QLM-07145-668"/>
    <x v="68"/>
    <x v="0"/>
    <s v="May"/>
    <x v="0"/>
    <s v="86437-17399-FK"/>
    <s v="E-D-0.2"/>
    <n v="2"/>
    <x v="71"/>
    <s v="celgey25@webs.com"/>
    <x v="67"/>
    <x v="0"/>
    <x v="1"/>
    <x v="2"/>
    <n v="0.2"/>
    <n v="3.645"/>
    <x v="35"/>
    <x v="0"/>
  </r>
  <r>
    <s v="HVQ-64398-930"/>
    <x v="69"/>
    <x v="3"/>
    <s v="March"/>
    <x v="3"/>
    <s v="62979-53167-ML"/>
    <s v="A-M-0.5"/>
    <n v="6"/>
    <x v="72"/>
    <s v="lmizzi26@rakuten.co.jp"/>
    <x v="68"/>
    <x v="0"/>
    <x v="2"/>
    <x v="0"/>
    <n v="0.5"/>
    <n v="6.75"/>
    <x v="61"/>
    <x v="0"/>
  </r>
  <r>
    <s v="WRT-40778-247"/>
    <x v="70"/>
    <x v="6"/>
    <s v="March"/>
    <x v="2"/>
    <s v="54810-81899-HL"/>
    <s v="R-L-1"/>
    <n v="4"/>
    <x v="73"/>
    <s v="cgiacomazzo27@jigsy.com"/>
    <x v="69"/>
    <x v="0"/>
    <x v="0"/>
    <x v="1"/>
    <n v="1"/>
    <n v="11.95"/>
    <x v="62"/>
    <x v="0"/>
  </r>
  <r>
    <s v="SUB-13006-125"/>
    <x v="71"/>
    <x v="1"/>
    <s v="April"/>
    <x v="0"/>
    <s v="26103-41504-IB"/>
    <s v="A-L-0.5"/>
    <n v="5"/>
    <x v="74"/>
    <s v="aarnow28@arizona.edu"/>
    <x v="70"/>
    <x v="0"/>
    <x v="2"/>
    <x v="1"/>
    <n v="0.5"/>
    <n v="7.77"/>
    <x v="5"/>
    <x v="0"/>
  </r>
  <r>
    <s v="CQM-49696-263"/>
    <x v="72"/>
    <x v="2"/>
    <s v="October"/>
    <x v="0"/>
    <s v="76534-45229-SG"/>
    <s v="L-L-2.5"/>
    <n v="3"/>
    <x v="75"/>
    <s v="syann29@senate.gov"/>
    <x v="71"/>
    <x v="0"/>
    <x v="3"/>
    <x v="1"/>
    <n v="2.5"/>
    <n v="36.454999999999998"/>
    <x v="63"/>
    <x v="2"/>
  </r>
  <r>
    <s v="KXN-85094-246"/>
    <x v="73"/>
    <x v="2"/>
    <s v="September"/>
    <x v="0"/>
    <s v="81744-27332-RR"/>
    <s v="L-M-2.5"/>
    <n v="3"/>
    <x v="76"/>
    <s v="bnaulls2a@tiny.cc"/>
    <x v="72"/>
    <x v="1"/>
    <x v="3"/>
    <x v="0"/>
    <n v="2.5"/>
    <n v="33.464999999999996"/>
    <x v="64"/>
    <x v="2"/>
  </r>
  <r>
    <s v="XOQ-12405-419"/>
    <x v="74"/>
    <x v="6"/>
    <s v="April"/>
    <x v="3"/>
    <s v="91513-75657-PH"/>
    <s v="R-D-2.5"/>
    <n v="4"/>
    <x v="77"/>
    <n v="0"/>
    <x v="73"/>
    <x v="0"/>
    <x v="0"/>
    <x v="2"/>
    <n v="2.5"/>
    <n v="20.584999999999997"/>
    <x v="18"/>
    <x v="1"/>
  </r>
  <r>
    <s v="HYF-10254-369"/>
    <x v="75"/>
    <x v="0"/>
    <s v="November"/>
    <x v="0"/>
    <s v="30373-66619-CB"/>
    <s v="L-L-0.5"/>
    <n v="1"/>
    <x v="78"/>
    <s v="zsherewood2c@apache.org"/>
    <x v="74"/>
    <x v="0"/>
    <x v="3"/>
    <x v="1"/>
    <n v="0.5"/>
    <n v="9.51"/>
    <x v="54"/>
    <x v="0"/>
  </r>
  <r>
    <s v="XXJ-47000-307"/>
    <x v="76"/>
    <x v="0"/>
    <s v="July"/>
    <x v="0"/>
    <s v="31582-23562-FM"/>
    <s v="A-L-2.5"/>
    <n v="3"/>
    <x v="79"/>
    <s v="jdufaire2d@fc2.com"/>
    <x v="57"/>
    <x v="0"/>
    <x v="2"/>
    <x v="1"/>
    <n v="2.5"/>
    <n v="29.784999999999997"/>
    <x v="49"/>
    <x v="1"/>
  </r>
  <r>
    <s v="XXJ-47000-307"/>
    <x v="76"/>
    <x v="0"/>
    <s v="July"/>
    <x v="0"/>
    <s v="31582-23562-FM"/>
    <s v="A-D-0.2"/>
    <n v="4"/>
    <x v="79"/>
    <s v="jdufaire2d@fc2.com"/>
    <x v="57"/>
    <x v="0"/>
    <x v="2"/>
    <x v="2"/>
    <n v="0.2"/>
    <n v="2.9849999999999999"/>
    <x v="22"/>
    <x v="0"/>
  </r>
  <r>
    <s v="ZDK-82166-357"/>
    <x v="77"/>
    <x v="4"/>
    <s v="April"/>
    <x v="1"/>
    <s v="81431-12577-VD"/>
    <s v="A-M-1"/>
    <n v="3"/>
    <x v="80"/>
    <s v="bkeaveney2f@netlog.com"/>
    <x v="75"/>
    <x v="0"/>
    <x v="2"/>
    <x v="0"/>
    <n v="1"/>
    <n v="11.25"/>
    <x v="65"/>
    <x v="0"/>
  </r>
  <r>
    <s v="IHN-19982-362"/>
    <x v="78"/>
    <x v="3"/>
    <s v="March"/>
    <x v="1"/>
    <s v="68894-91205-MP"/>
    <s v="R-L-1"/>
    <n v="3"/>
    <x v="81"/>
    <s v="egrise2g@cargocollective.com"/>
    <x v="76"/>
    <x v="0"/>
    <x v="0"/>
    <x v="1"/>
    <n v="1"/>
    <n v="11.95"/>
    <x v="66"/>
    <x v="0"/>
  </r>
  <r>
    <s v="VMT-10030-889"/>
    <x v="79"/>
    <x v="1"/>
    <s v="December"/>
    <x v="1"/>
    <s v="87602-55754-VN"/>
    <s v="A-L-1"/>
    <n v="6"/>
    <x v="82"/>
    <s v="tgottelier2h@vistaprint.com"/>
    <x v="77"/>
    <x v="0"/>
    <x v="2"/>
    <x v="1"/>
    <n v="1"/>
    <n v="12.95"/>
    <x v="17"/>
    <x v="1"/>
  </r>
  <r>
    <s v="NHL-11063-100"/>
    <x v="80"/>
    <x v="1"/>
    <s v="May"/>
    <x v="3"/>
    <s v="39181-35745-WH"/>
    <s v="A-L-1"/>
    <n v="4"/>
    <x v="83"/>
    <n v="0"/>
    <x v="43"/>
    <x v="1"/>
    <x v="2"/>
    <x v="1"/>
    <n v="1"/>
    <n v="12.95"/>
    <x v="67"/>
    <x v="1"/>
  </r>
  <r>
    <s v="ROV-87448-086"/>
    <x v="81"/>
    <x v="3"/>
    <s v="November"/>
    <x v="3"/>
    <s v="30381-64762-NG"/>
    <s v="A-M-2.5"/>
    <n v="4"/>
    <x v="84"/>
    <s v="agreenhead2j@dailymail.co.uk"/>
    <x v="78"/>
    <x v="0"/>
    <x v="2"/>
    <x v="0"/>
    <n v="2.5"/>
    <n v="25.874999999999996"/>
    <x v="68"/>
    <x v="2"/>
  </r>
  <r>
    <s v="DGY-35773-612"/>
    <x v="82"/>
    <x v="4"/>
    <s v="July"/>
    <x v="3"/>
    <s v="17503-27693-ZH"/>
    <s v="E-L-1"/>
    <n v="3"/>
    <x v="85"/>
    <n v="0"/>
    <x v="79"/>
    <x v="0"/>
    <x v="1"/>
    <x v="1"/>
    <n v="1"/>
    <n v="14.85"/>
    <x v="69"/>
    <x v="0"/>
  </r>
  <r>
    <s v="YWH-50638-556"/>
    <x v="83"/>
    <x v="0"/>
    <s v="March"/>
    <x v="0"/>
    <s v="89442-35633-HJ"/>
    <s v="E-L-0.5"/>
    <n v="4"/>
    <x v="86"/>
    <s v="elangcaster2l@spotify.com"/>
    <x v="80"/>
    <x v="2"/>
    <x v="1"/>
    <x v="1"/>
    <n v="0.5"/>
    <n v="8.91"/>
    <x v="70"/>
    <x v="0"/>
  </r>
  <r>
    <s v="ISL-11200-600"/>
    <x v="84"/>
    <x v="0"/>
    <s v="July"/>
    <x v="3"/>
    <s v="13654-85265-IL"/>
    <s v="A-D-0.2"/>
    <n v="6"/>
    <x v="87"/>
    <n v="0"/>
    <x v="81"/>
    <x v="1"/>
    <x v="2"/>
    <x v="2"/>
    <n v="0.2"/>
    <n v="2.9849999999999999"/>
    <x v="8"/>
    <x v="0"/>
  </r>
  <r>
    <s v="LBZ-75997-047"/>
    <x v="85"/>
    <x v="5"/>
    <s v="December"/>
    <x v="0"/>
    <s v="40946-22090-FP"/>
    <s v="A-M-2.5"/>
    <n v="6"/>
    <x v="88"/>
    <s v="nmagauran2n@51.la"/>
    <x v="74"/>
    <x v="0"/>
    <x v="2"/>
    <x v="0"/>
    <n v="2.5"/>
    <n v="25.874999999999996"/>
    <x v="71"/>
    <x v="2"/>
  </r>
  <r>
    <s v="EUH-08089-954"/>
    <x v="86"/>
    <x v="6"/>
    <s v="December"/>
    <x v="3"/>
    <s v="29050-93691-TS"/>
    <s v="A-D-0.2"/>
    <n v="2"/>
    <x v="89"/>
    <s v="vkirdsch2o@google.fr"/>
    <x v="10"/>
    <x v="0"/>
    <x v="2"/>
    <x v="2"/>
    <n v="0.2"/>
    <n v="2.9849999999999999"/>
    <x v="9"/>
    <x v="0"/>
  </r>
  <r>
    <s v="BLD-12227-251"/>
    <x v="87"/>
    <x v="0"/>
    <s v="March"/>
    <x v="1"/>
    <s v="64395-74865-WF"/>
    <s v="A-M-0.5"/>
    <n v="2"/>
    <x v="90"/>
    <s v="iwhapple2p@com.com"/>
    <x v="74"/>
    <x v="0"/>
    <x v="2"/>
    <x v="0"/>
    <n v="0.5"/>
    <n v="6.75"/>
    <x v="72"/>
    <x v="0"/>
  </r>
  <r>
    <s v="OPY-30711-853"/>
    <x v="25"/>
    <x v="4"/>
    <s v="July"/>
    <x v="1"/>
    <s v="81861-66046-SU"/>
    <s v="A-D-0.2"/>
    <n v="1"/>
    <x v="91"/>
    <n v="0"/>
    <x v="82"/>
    <x v="1"/>
    <x v="2"/>
    <x v="2"/>
    <n v="0.2"/>
    <n v="2.9849999999999999"/>
    <x v="55"/>
    <x v="0"/>
  </r>
  <r>
    <s v="DBC-44122-300"/>
    <x v="88"/>
    <x v="1"/>
    <s v="November"/>
    <x v="3"/>
    <s v="13366-78506-KP"/>
    <s v="L-M-0.2"/>
    <n v="3"/>
    <x v="92"/>
    <n v="0"/>
    <x v="61"/>
    <x v="0"/>
    <x v="3"/>
    <x v="0"/>
    <n v="0.2"/>
    <n v="4.3650000000000002"/>
    <x v="73"/>
    <x v="0"/>
  </r>
  <r>
    <s v="FJQ-60035-234"/>
    <x v="89"/>
    <x v="3"/>
    <s v="April"/>
    <x v="1"/>
    <s v="08847-29858-HN"/>
    <s v="A-L-0.2"/>
    <n v="2"/>
    <x v="93"/>
    <n v="0"/>
    <x v="83"/>
    <x v="0"/>
    <x v="2"/>
    <x v="1"/>
    <n v="0.2"/>
    <n v="3.8849999999999998"/>
    <x v="41"/>
    <x v="0"/>
  </r>
  <r>
    <s v="HSF-66926-425"/>
    <x v="90"/>
    <x v="6"/>
    <s v="March"/>
    <x v="3"/>
    <s v="00539-42510-RY"/>
    <s v="L-D-2.5"/>
    <n v="5"/>
    <x v="94"/>
    <s v="nyoules2t@reference.com"/>
    <x v="84"/>
    <x v="1"/>
    <x v="3"/>
    <x v="2"/>
    <n v="2.5"/>
    <n v="29.784999999999997"/>
    <x v="74"/>
    <x v="2"/>
  </r>
  <r>
    <s v="LQG-41416-375"/>
    <x v="91"/>
    <x v="5"/>
    <s v="October"/>
    <x v="1"/>
    <s v="45190-08727-NV"/>
    <s v="L-D-1"/>
    <n v="3"/>
    <x v="95"/>
    <s v="daizikovitz2u@answers.com"/>
    <x v="85"/>
    <x v="1"/>
    <x v="3"/>
    <x v="2"/>
    <n v="1"/>
    <n v="12.95"/>
    <x v="5"/>
    <x v="0"/>
  </r>
  <r>
    <s v="VZO-97265-841"/>
    <x v="92"/>
    <x v="2"/>
    <s v="July"/>
    <x v="2"/>
    <s v="87049-37901-FU"/>
    <s v="R-M-0.2"/>
    <n v="4"/>
    <x v="96"/>
    <s v="brevel2v@fastcompany.com"/>
    <x v="36"/>
    <x v="0"/>
    <x v="0"/>
    <x v="0"/>
    <n v="0.2"/>
    <n v="2.9849999999999999"/>
    <x v="22"/>
    <x v="0"/>
  </r>
  <r>
    <s v="MOR-12987-399"/>
    <x v="93"/>
    <x v="4"/>
    <s v="August"/>
    <x v="0"/>
    <s v="34015-31593-JC"/>
    <s v="L-M-1"/>
    <n v="6"/>
    <x v="97"/>
    <s v="epriddis2w@nationalgeographic.com"/>
    <x v="86"/>
    <x v="0"/>
    <x v="3"/>
    <x v="0"/>
    <n v="1"/>
    <n v="14.55"/>
    <x v="75"/>
    <x v="1"/>
  </r>
  <r>
    <s v="UOA-23786-489"/>
    <x v="94"/>
    <x v="6"/>
    <s v="May"/>
    <x v="3"/>
    <s v="90305-50099-SV"/>
    <s v="A-M-0.5"/>
    <n v="6"/>
    <x v="98"/>
    <s v="qveel2x@jugem.jp"/>
    <x v="13"/>
    <x v="0"/>
    <x v="2"/>
    <x v="0"/>
    <n v="0.5"/>
    <n v="6.75"/>
    <x v="61"/>
    <x v="0"/>
  </r>
  <r>
    <s v="AJL-52941-018"/>
    <x v="95"/>
    <x v="5"/>
    <s v="May"/>
    <x v="3"/>
    <s v="55871-61935-MF"/>
    <s v="E-D-1"/>
    <n v="2"/>
    <x v="99"/>
    <s v="lconyers2y@twitter.com"/>
    <x v="87"/>
    <x v="0"/>
    <x v="1"/>
    <x v="2"/>
    <n v="1"/>
    <n v="12.15"/>
    <x v="76"/>
    <x v="0"/>
  </r>
  <r>
    <s v="XSZ-84273-421"/>
    <x v="96"/>
    <x v="6"/>
    <s v="April"/>
    <x v="0"/>
    <s v="15405-60469-TM"/>
    <s v="R-M-0.5"/>
    <n v="3"/>
    <x v="100"/>
    <s v="pwye2z@dagondesign.com"/>
    <x v="71"/>
    <x v="0"/>
    <x v="0"/>
    <x v="0"/>
    <n v="0.5"/>
    <n v="5.97"/>
    <x v="8"/>
    <x v="0"/>
  </r>
  <r>
    <s v="NUN-48214-216"/>
    <x v="97"/>
    <x v="1"/>
    <s v="July"/>
    <x v="3"/>
    <s v="06953-94794-FB"/>
    <s v="A-M-0.5"/>
    <n v="4"/>
    <x v="101"/>
    <n v="0"/>
    <x v="51"/>
    <x v="0"/>
    <x v="2"/>
    <x v="0"/>
    <n v="0.5"/>
    <n v="6.75"/>
    <x v="25"/>
    <x v="0"/>
  </r>
  <r>
    <s v="AKV-93064-769"/>
    <x v="98"/>
    <x v="0"/>
    <s v="December"/>
    <x v="0"/>
    <s v="22305-40299-CY"/>
    <s v="L-D-0.5"/>
    <n v="1"/>
    <x v="102"/>
    <s v="tsheryn31@mtv.com"/>
    <x v="88"/>
    <x v="0"/>
    <x v="3"/>
    <x v="2"/>
    <n v="0.5"/>
    <n v="7.77"/>
    <x v="41"/>
    <x v="0"/>
  </r>
  <r>
    <s v="BRB-40903-533"/>
    <x v="99"/>
    <x v="1"/>
    <s v="June"/>
    <x v="2"/>
    <s v="09020-56774-GU"/>
    <s v="E-L-0.2"/>
    <n v="3"/>
    <x v="103"/>
    <s v="mredgrave32@cargocollective.com"/>
    <x v="64"/>
    <x v="0"/>
    <x v="1"/>
    <x v="1"/>
    <n v="0.2"/>
    <n v="4.4550000000000001"/>
    <x v="77"/>
    <x v="0"/>
  </r>
  <r>
    <s v="GPR-19973-483"/>
    <x v="100"/>
    <x v="1"/>
    <s v="June"/>
    <x v="0"/>
    <s v="92926-08470-YS"/>
    <s v="R-D-0.5"/>
    <n v="5"/>
    <x v="104"/>
    <s v="bfominov33@yale.edu"/>
    <x v="48"/>
    <x v="0"/>
    <x v="0"/>
    <x v="2"/>
    <n v="0.5"/>
    <n v="5.3699999999999992"/>
    <x v="51"/>
    <x v="0"/>
  </r>
  <r>
    <s v="XIY-43041-882"/>
    <x v="101"/>
    <x v="5"/>
    <s v="October"/>
    <x v="1"/>
    <s v="07250-63194-JO"/>
    <s v="A-M-1"/>
    <n v="1"/>
    <x v="105"/>
    <s v="scritchlow34@un.org"/>
    <x v="8"/>
    <x v="0"/>
    <x v="2"/>
    <x v="0"/>
    <n v="1"/>
    <n v="11.25"/>
    <x v="23"/>
    <x v="0"/>
  </r>
  <r>
    <s v="YGY-98425-969"/>
    <x v="102"/>
    <x v="3"/>
    <s v="April"/>
    <x v="0"/>
    <s v="63787-96257-TQ"/>
    <s v="L-M-1"/>
    <n v="1"/>
    <x v="106"/>
    <s v="msteptow35@earthlink.net"/>
    <x v="89"/>
    <x v="1"/>
    <x v="3"/>
    <x v="0"/>
    <n v="1"/>
    <n v="14.55"/>
    <x v="78"/>
    <x v="0"/>
  </r>
  <r>
    <s v="MSB-08397-648"/>
    <x v="103"/>
    <x v="1"/>
    <s v="March"/>
    <x v="1"/>
    <s v="49530-25460-RW"/>
    <s v="R-L-0.2"/>
    <n v="4"/>
    <x v="107"/>
    <n v="0"/>
    <x v="90"/>
    <x v="0"/>
    <x v="0"/>
    <x v="1"/>
    <n v="0.2"/>
    <n v="3.5849999999999995"/>
    <x v="79"/>
    <x v="0"/>
  </r>
  <r>
    <s v="WDR-06028-345"/>
    <x v="104"/>
    <x v="2"/>
    <s v="August"/>
    <x v="0"/>
    <s v="66508-21373-OQ"/>
    <s v="L-L-1"/>
    <n v="1"/>
    <x v="108"/>
    <s v="imulliner37@pinterest.com"/>
    <x v="38"/>
    <x v="2"/>
    <x v="3"/>
    <x v="1"/>
    <n v="1"/>
    <n v="15.85"/>
    <x v="80"/>
    <x v="0"/>
  </r>
  <r>
    <s v="MXM-42948-061"/>
    <x v="105"/>
    <x v="5"/>
    <s v="August"/>
    <x v="3"/>
    <s v="20203-03950-FY"/>
    <s v="L-L-0.2"/>
    <n v="4"/>
    <x v="109"/>
    <s v="gstandley38@dion.ne.jp"/>
    <x v="91"/>
    <x v="1"/>
    <x v="3"/>
    <x v="1"/>
    <n v="0.2"/>
    <n v="4.7549999999999999"/>
    <x v="81"/>
    <x v="0"/>
  </r>
  <r>
    <s v="MGQ-98961-173"/>
    <x v="11"/>
    <x v="5"/>
    <s v="April"/>
    <x v="2"/>
    <s v="83895-90735-XH"/>
    <s v="L-L-0.5"/>
    <n v="4"/>
    <x v="110"/>
    <s v="bdrage39@youku.com"/>
    <x v="4"/>
    <x v="0"/>
    <x v="3"/>
    <x v="1"/>
    <n v="0.5"/>
    <n v="9.51"/>
    <x v="82"/>
    <x v="0"/>
  </r>
  <r>
    <s v="RFH-64349-897"/>
    <x v="106"/>
    <x v="5"/>
    <s v="October"/>
    <x v="0"/>
    <s v="61954-61462-RJ"/>
    <s v="E-D-0.5"/>
    <n v="3"/>
    <x v="111"/>
    <s v="myallop3a@fema.gov"/>
    <x v="92"/>
    <x v="0"/>
    <x v="1"/>
    <x v="2"/>
    <n v="0.5"/>
    <n v="7.29"/>
    <x v="6"/>
    <x v="0"/>
  </r>
  <r>
    <s v="TKL-20738-660"/>
    <x v="107"/>
    <x v="4"/>
    <s v="October"/>
    <x v="1"/>
    <s v="47939-53158-LS"/>
    <s v="E-M-0.2"/>
    <n v="1"/>
    <x v="112"/>
    <s v="cswitsur3b@chronoengine.com"/>
    <x v="93"/>
    <x v="0"/>
    <x v="1"/>
    <x v="0"/>
    <n v="0.2"/>
    <n v="4.125"/>
    <x v="83"/>
    <x v="0"/>
  </r>
  <r>
    <s v="TKL-20738-660"/>
    <x v="107"/>
    <x v="4"/>
    <s v="October"/>
    <x v="1"/>
    <s v="47939-53158-LS"/>
    <s v="A-L-0.2"/>
    <n v="1"/>
    <x v="112"/>
    <s v="cswitsur3b@chronoengine.com"/>
    <x v="93"/>
    <x v="0"/>
    <x v="2"/>
    <x v="1"/>
    <n v="0.2"/>
    <n v="3.8849999999999998"/>
    <x v="84"/>
    <x v="0"/>
  </r>
  <r>
    <s v="TKL-20738-660"/>
    <x v="107"/>
    <x v="4"/>
    <s v="October"/>
    <x v="1"/>
    <s v="47939-53158-LS"/>
    <s v="E-M-1"/>
    <n v="5"/>
    <x v="112"/>
    <s v="cswitsur3b@chronoengine.com"/>
    <x v="93"/>
    <x v="0"/>
    <x v="1"/>
    <x v="0"/>
    <n v="1"/>
    <n v="13.75"/>
    <x v="85"/>
    <x v="1"/>
  </r>
  <r>
    <s v="GOW-03198-575"/>
    <x v="108"/>
    <x v="4"/>
    <s v="March"/>
    <x v="1"/>
    <s v="61513-27752-FA"/>
    <s v="A-D-0.5"/>
    <n v="4"/>
    <x v="113"/>
    <s v="mludwell3e@blogger.com"/>
    <x v="29"/>
    <x v="0"/>
    <x v="2"/>
    <x v="2"/>
    <n v="0.5"/>
    <n v="5.97"/>
    <x v="86"/>
    <x v="0"/>
  </r>
  <r>
    <s v="QJB-90477-635"/>
    <x v="109"/>
    <x v="6"/>
    <s v="June"/>
    <x v="2"/>
    <s v="89714-19856-WX"/>
    <s v="L-L-2.5"/>
    <n v="4"/>
    <x v="114"/>
    <s v="dbeauchamp3f@usda.gov"/>
    <x v="94"/>
    <x v="0"/>
    <x v="3"/>
    <x v="1"/>
    <n v="2.5"/>
    <n v="36.454999999999998"/>
    <x v="43"/>
    <x v="2"/>
  </r>
  <r>
    <s v="MWP-46239-785"/>
    <x v="110"/>
    <x v="4"/>
    <s v="April"/>
    <x v="0"/>
    <s v="87979-56781-YV"/>
    <s v="L-M-0.2"/>
    <n v="5"/>
    <x v="115"/>
    <s v="srodliff3g@ted.com"/>
    <x v="95"/>
    <x v="0"/>
    <x v="3"/>
    <x v="0"/>
    <n v="0.2"/>
    <n v="4.3650000000000002"/>
    <x v="26"/>
    <x v="0"/>
  </r>
  <r>
    <s v="QDV-03406-248"/>
    <x v="111"/>
    <x v="0"/>
    <s v="May"/>
    <x v="0"/>
    <s v="74126-88836-KA"/>
    <s v="L-M-0.5"/>
    <n v="3"/>
    <x v="116"/>
    <s v="swoodham3h@businesswire.com"/>
    <x v="96"/>
    <x v="1"/>
    <x v="3"/>
    <x v="0"/>
    <n v="0.5"/>
    <n v="8.73"/>
    <x v="50"/>
    <x v="0"/>
  </r>
  <r>
    <s v="GPH-40635-105"/>
    <x v="112"/>
    <x v="5"/>
    <s v="July"/>
    <x v="3"/>
    <s v="37397-05992-VO"/>
    <s v="A-M-1"/>
    <n v="1"/>
    <x v="117"/>
    <s v="hsynnot3i@about.com"/>
    <x v="92"/>
    <x v="0"/>
    <x v="2"/>
    <x v="0"/>
    <n v="1"/>
    <n v="11.25"/>
    <x v="23"/>
    <x v="0"/>
  </r>
  <r>
    <s v="JOM-80930-071"/>
    <x v="113"/>
    <x v="1"/>
    <s v="November"/>
    <x v="1"/>
    <s v="54904-18397-UD"/>
    <s v="L-D-1"/>
    <n v="6"/>
    <x v="118"/>
    <s v="rlepere3j@shop-pro.jp"/>
    <x v="75"/>
    <x v="1"/>
    <x v="3"/>
    <x v="2"/>
    <n v="1"/>
    <n v="12.95"/>
    <x v="17"/>
    <x v="1"/>
  </r>
  <r>
    <s v="OIL-26493-755"/>
    <x v="114"/>
    <x v="5"/>
    <s v="August"/>
    <x v="1"/>
    <s v="19017-95853-EK"/>
    <s v="A-M-0.5"/>
    <n v="1"/>
    <x v="119"/>
    <s v="twoofinden3k@businesswire.com"/>
    <x v="97"/>
    <x v="0"/>
    <x v="2"/>
    <x v="0"/>
    <n v="0.5"/>
    <n v="6.75"/>
    <x v="52"/>
    <x v="0"/>
  </r>
  <r>
    <s v="CYV-13426-645"/>
    <x v="115"/>
    <x v="4"/>
    <s v="July"/>
    <x v="0"/>
    <s v="88593-59934-VU"/>
    <s v="E-D-1"/>
    <n v="1"/>
    <x v="120"/>
    <s v="edacca3l@google.pl"/>
    <x v="98"/>
    <x v="0"/>
    <x v="1"/>
    <x v="2"/>
    <n v="1"/>
    <n v="12.15"/>
    <x v="87"/>
    <x v="0"/>
  </r>
  <r>
    <s v="WRP-39846-614"/>
    <x v="49"/>
    <x v="2"/>
    <s v="March"/>
    <x v="2"/>
    <s v="47493-68564-YM"/>
    <s v="A-L-2.5"/>
    <n v="5"/>
    <x v="121"/>
    <n v="0"/>
    <x v="89"/>
    <x v="1"/>
    <x v="2"/>
    <x v="1"/>
    <n v="2.5"/>
    <n v="29.784999999999997"/>
    <x v="74"/>
    <x v="2"/>
  </r>
  <r>
    <s v="VDZ-76673-968"/>
    <x v="116"/>
    <x v="0"/>
    <s v="December"/>
    <x v="3"/>
    <s v="82246-82543-DW"/>
    <s v="E-D-0.5"/>
    <n v="2"/>
    <x v="122"/>
    <s v="bhindsberg3n@blogs.com"/>
    <x v="63"/>
    <x v="0"/>
    <x v="1"/>
    <x v="2"/>
    <n v="0.5"/>
    <n v="7.29"/>
    <x v="20"/>
    <x v="0"/>
  </r>
  <r>
    <s v="VTV-03546-175"/>
    <x v="117"/>
    <x v="2"/>
    <s v="July"/>
    <x v="3"/>
    <s v="03384-62101-IY"/>
    <s v="A-L-2.5"/>
    <n v="5"/>
    <x v="123"/>
    <s v="orobins3o@salon.com"/>
    <x v="99"/>
    <x v="0"/>
    <x v="2"/>
    <x v="1"/>
    <n v="2.5"/>
    <n v="29.784999999999997"/>
    <x v="74"/>
    <x v="2"/>
  </r>
  <r>
    <s v="GHR-72274-715"/>
    <x v="118"/>
    <x v="3"/>
    <s v="May"/>
    <x v="1"/>
    <s v="86881-41559-OR"/>
    <s v="L-D-1"/>
    <n v="1"/>
    <x v="124"/>
    <s v="osyseland3p@independent.co.uk"/>
    <x v="100"/>
    <x v="0"/>
    <x v="3"/>
    <x v="2"/>
    <n v="1"/>
    <n v="12.95"/>
    <x v="2"/>
    <x v="0"/>
  </r>
  <r>
    <s v="ZGK-97262-313"/>
    <x v="119"/>
    <x v="4"/>
    <s v="July"/>
    <x v="2"/>
    <s v="02536-18494-AQ"/>
    <s v="E-M-2.5"/>
    <n v="3"/>
    <x v="125"/>
    <n v="0"/>
    <x v="41"/>
    <x v="0"/>
    <x v="1"/>
    <x v="0"/>
    <n v="2.5"/>
    <n v="31.624999999999996"/>
    <x v="88"/>
    <x v="1"/>
  </r>
  <r>
    <s v="ZFS-30776-804"/>
    <x v="120"/>
    <x v="2"/>
    <s v="February"/>
    <x v="1"/>
    <s v="58638-01029-CB"/>
    <s v="A-L-0.5"/>
    <n v="5"/>
    <x v="126"/>
    <s v="bmcamish2e@tripadvisor.com"/>
    <x v="101"/>
    <x v="0"/>
    <x v="2"/>
    <x v="1"/>
    <n v="0.5"/>
    <n v="7.77"/>
    <x v="5"/>
    <x v="0"/>
  </r>
  <r>
    <s v="QUU-91729-492"/>
    <x v="121"/>
    <x v="0"/>
    <s v="July"/>
    <x v="1"/>
    <s v="90312-11148-LA"/>
    <s v="A-D-0.2"/>
    <n v="4"/>
    <x v="127"/>
    <s v="lkeenleyside3s@topsy.com"/>
    <x v="10"/>
    <x v="0"/>
    <x v="2"/>
    <x v="2"/>
    <n v="0.2"/>
    <n v="2.9849999999999999"/>
    <x v="22"/>
    <x v="0"/>
  </r>
  <r>
    <s v="PVI-72795-960"/>
    <x v="122"/>
    <x v="0"/>
    <s v="March"/>
    <x v="2"/>
    <s v="68239-74809-TF"/>
    <s v="E-L-2.5"/>
    <n v="3"/>
    <x v="128"/>
    <n v="0"/>
    <x v="102"/>
    <x v="1"/>
    <x v="1"/>
    <x v="1"/>
    <n v="2.5"/>
    <n v="34.154999999999994"/>
    <x v="89"/>
    <x v="2"/>
  </r>
  <r>
    <s v="PPP-78935-365"/>
    <x v="123"/>
    <x v="0"/>
    <s v="February"/>
    <x v="1"/>
    <s v="91074-60023-IP"/>
    <s v="E-D-1"/>
    <n v="4"/>
    <x v="129"/>
    <n v="0"/>
    <x v="103"/>
    <x v="0"/>
    <x v="1"/>
    <x v="2"/>
    <n v="1"/>
    <n v="12.15"/>
    <x v="90"/>
    <x v="0"/>
  </r>
  <r>
    <s v="JUO-34131-517"/>
    <x v="124"/>
    <x v="1"/>
    <s v="February"/>
    <x v="0"/>
    <s v="07972-83748-JI"/>
    <s v="L-D-1"/>
    <n v="6"/>
    <x v="130"/>
    <n v="0"/>
    <x v="78"/>
    <x v="0"/>
    <x v="3"/>
    <x v="2"/>
    <n v="1"/>
    <n v="12.95"/>
    <x v="17"/>
    <x v="1"/>
  </r>
  <r>
    <s v="ZJE-89333-489"/>
    <x v="125"/>
    <x v="2"/>
    <s v="May"/>
    <x v="2"/>
    <s v="08694-57330-XR"/>
    <s v="L-D-2.5"/>
    <n v="1"/>
    <x v="131"/>
    <s v="vkundt3w@bigcartel.com"/>
    <x v="104"/>
    <x v="1"/>
    <x v="3"/>
    <x v="2"/>
    <n v="2.5"/>
    <n v="29.784999999999997"/>
    <x v="91"/>
    <x v="0"/>
  </r>
  <r>
    <s v="LOO-35324-159"/>
    <x v="126"/>
    <x v="5"/>
    <s v="May"/>
    <x v="3"/>
    <s v="68412-11126-YJ"/>
    <s v="A-L-0.2"/>
    <n v="4"/>
    <x v="132"/>
    <s v="bbett3x@google.de"/>
    <x v="41"/>
    <x v="0"/>
    <x v="2"/>
    <x v="1"/>
    <n v="0.2"/>
    <n v="3.8849999999999998"/>
    <x v="42"/>
    <x v="0"/>
  </r>
  <r>
    <s v="JBQ-93412-846"/>
    <x v="127"/>
    <x v="1"/>
    <s v="April"/>
    <x v="2"/>
    <s v="69037-66822-DW"/>
    <s v="E-L-2.5"/>
    <n v="4"/>
    <x v="133"/>
    <n v="0"/>
    <x v="105"/>
    <x v="1"/>
    <x v="1"/>
    <x v="1"/>
    <n v="2.5"/>
    <n v="34.154999999999994"/>
    <x v="56"/>
    <x v="2"/>
  </r>
  <r>
    <s v="EHX-66333-637"/>
    <x v="128"/>
    <x v="1"/>
    <s v="September"/>
    <x v="3"/>
    <s v="01297-94364-XH"/>
    <s v="L-M-0.5"/>
    <n v="2"/>
    <x v="134"/>
    <s v="dstaite3z@scientificamerican.com"/>
    <x v="13"/>
    <x v="0"/>
    <x v="3"/>
    <x v="0"/>
    <n v="0.5"/>
    <n v="8.73"/>
    <x v="92"/>
    <x v="0"/>
  </r>
  <r>
    <s v="WXG-25759-236"/>
    <x v="103"/>
    <x v="1"/>
    <s v="March"/>
    <x v="1"/>
    <s v="39919-06540-ZI"/>
    <s v="E-L-2.5"/>
    <n v="2"/>
    <x v="135"/>
    <s v="wkeyse40@apple.com"/>
    <x v="106"/>
    <x v="0"/>
    <x v="1"/>
    <x v="1"/>
    <n v="2.5"/>
    <n v="34.154999999999994"/>
    <x v="93"/>
    <x v="1"/>
  </r>
  <r>
    <s v="QNA-31113-984"/>
    <x v="129"/>
    <x v="6"/>
    <s v="April"/>
    <x v="0"/>
    <s v="60512-78550-WS"/>
    <s v="L-M-0.2"/>
    <n v="4"/>
    <x v="136"/>
    <s v="oclausenthue41@marriott.com"/>
    <x v="87"/>
    <x v="0"/>
    <x v="3"/>
    <x v="0"/>
    <n v="0.2"/>
    <n v="4.3650000000000002"/>
    <x v="92"/>
    <x v="0"/>
  </r>
  <r>
    <s v="ZWI-52029-159"/>
    <x v="130"/>
    <x v="6"/>
    <s v="July"/>
    <x v="3"/>
    <s v="40172-12000-AU"/>
    <s v="L-M-1"/>
    <n v="3"/>
    <x v="137"/>
    <s v="lfrancisco42@fema.gov"/>
    <x v="107"/>
    <x v="0"/>
    <x v="3"/>
    <x v="0"/>
    <n v="1"/>
    <n v="14.55"/>
    <x v="34"/>
    <x v="0"/>
  </r>
  <r>
    <s v="ZWI-52029-159"/>
    <x v="130"/>
    <x v="6"/>
    <s v="July"/>
    <x v="3"/>
    <s v="40172-12000-AU"/>
    <s v="E-M-1"/>
    <n v="2"/>
    <x v="137"/>
    <s v="lfrancisco42@fema.gov"/>
    <x v="107"/>
    <x v="0"/>
    <x v="1"/>
    <x v="0"/>
    <n v="1"/>
    <n v="13.75"/>
    <x v="3"/>
    <x v="0"/>
  </r>
  <r>
    <s v="DFS-49954-707"/>
    <x v="131"/>
    <x v="5"/>
    <s v="December"/>
    <x v="1"/>
    <s v="39019-13649-CL"/>
    <s v="E-D-0.2"/>
    <n v="5"/>
    <x v="138"/>
    <s v="gskingle44@clickbank.net"/>
    <x v="108"/>
    <x v="0"/>
    <x v="1"/>
    <x v="2"/>
    <n v="0.2"/>
    <n v="3.645"/>
    <x v="94"/>
    <x v="0"/>
  </r>
  <r>
    <s v="VYP-89830-878"/>
    <x v="132"/>
    <x v="6"/>
    <s v="October"/>
    <x v="3"/>
    <s v="12715-05198-QU"/>
    <s v="A-M-2.5"/>
    <n v="2"/>
    <x v="139"/>
    <n v="0"/>
    <x v="109"/>
    <x v="0"/>
    <x v="2"/>
    <x v="0"/>
    <n v="2.5"/>
    <n v="25.874999999999996"/>
    <x v="95"/>
    <x v="1"/>
  </r>
  <r>
    <s v="AMT-40418-362"/>
    <x v="133"/>
    <x v="4"/>
    <s v="August"/>
    <x v="3"/>
    <s v="04513-76520-QO"/>
    <s v="L-D-1"/>
    <n v="1"/>
    <x v="140"/>
    <s v="jbalsillie46@princeton.edu"/>
    <x v="110"/>
    <x v="0"/>
    <x v="3"/>
    <x v="2"/>
    <n v="1"/>
    <n v="12.95"/>
    <x v="2"/>
    <x v="0"/>
  </r>
  <r>
    <s v="NFQ-23241-793"/>
    <x v="134"/>
    <x v="6"/>
    <s v="October"/>
    <x v="3"/>
    <s v="88446-59251-SQ"/>
    <s v="A-M-1"/>
    <n v="3"/>
    <x v="141"/>
    <n v="0"/>
    <x v="111"/>
    <x v="0"/>
    <x v="2"/>
    <x v="0"/>
    <n v="1"/>
    <n v="11.25"/>
    <x v="65"/>
    <x v="0"/>
  </r>
  <r>
    <s v="JQK-64922-985"/>
    <x v="113"/>
    <x v="1"/>
    <s v="November"/>
    <x v="1"/>
    <s v="23779-10274-KN"/>
    <s v="R-M-2.5"/>
    <n v="3"/>
    <x v="142"/>
    <s v="bleffek48@ning.com"/>
    <x v="103"/>
    <x v="0"/>
    <x v="0"/>
    <x v="0"/>
    <n v="2.5"/>
    <n v="22.884999999999998"/>
    <x v="96"/>
    <x v="1"/>
  </r>
  <r>
    <s v="YET-17732-678"/>
    <x v="135"/>
    <x v="6"/>
    <s v="June"/>
    <x v="1"/>
    <s v="57235-92842-DK"/>
    <s v="R-D-0.2"/>
    <n v="1"/>
    <x v="143"/>
    <n v="0"/>
    <x v="42"/>
    <x v="0"/>
    <x v="0"/>
    <x v="2"/>
    <n v="0.2"/>
    <n v="2.6849999999999996"/>
    <x v="97"/>
    <x v="0"/>
  </r>
  <r>
    <s v="NKW-24945-846"/>
    <x v="35"/>
    <x v="3"/>
    <s v="October"/>
    <x v="1"/>
    <s v="75977-30364-AY"/>
    <s v="A-D-2.5"/>
    <n v="5"/>
    <x v="144"/>
    <s v="jpray4a@youtube.com"/>
    <x v="11"/>
    <x v="0"/>
    <x v="2"/>
    <x v="2"/>
    <n v="2.5"/>
    <n v="22.884999999999998"/>
    <x v="15"/>
    <x v="2"/>
  </r>
  <r>
    <s v="VKA-82720-513"/>
    <x v="136"/>
    <x v="3"/>
    <s v="June"/>
    <x v="0"/>
    <s v="12299-30914-NG"/>
    <s v="A-M-2.5"/>
    <n v="6"/>
    <x v="145"/>
    <s v="gholborn4b@ow.ly"/>
    <x v="112"/>
    <x v="0"/>
    <x v="2"/>
    <x v="0"/>
    <n v="2.5"/>
    <n v="25.874999999999996"/>
    <x v="71"/>
    <x v="2"/>
  </r>
  <r>
    <s v="THA-60599-417"/>
    <x v="137"/>
    <x v="4"/>
    <s v="October"/>
    <x v="0"/>
    <s v="59971-35626-YJ"/>
    <s v="A-M-2.5"/>
    <n v="3"/>
    <x v="146"/>
    <s v="fkeinrat4c@dailymail.co.uk"/>
    <x v="113"/>
    <x v="0"/>
    <x v="2"/>
    <x v="0"/>
    <n v="2.5"/>
    <n v="25.874999999999996"/>
    <x v="57"/>
    <x v="1"/>
  </r>
  <r>
    <s v="MEK-39769-035"/>
    <x v="138"/>
    <x v="6"/>
    <s v="June"/>
    <x v="1"/>
    <s v="15380-76513-PS"/>
    <s v="R-D-2.5"/>
    <n v="3"/>
    <x v="147"/>
    <s v="pyea4d@aol.com"/>
    <x v="114"/>
    <x v="1"/>
    <x v="0"/>
    <x v="2"/>
    <n v="2.5"/>
    <n v="20.584999999999997"/>
    <x v="98"/>
    <x v="1"/>
  </r>
  <r>
    <s v="JAF-18294-750"/>
    <x v="139"/>
    <x v="2"/>
    <s v="September"/>
    <x v="0"/>
    <s v="73564-98204-EY"/>
    <s v="R-D-2.5"/>
    <n v="6"/>
    <x v="148"/>
    <n v="0"/>
    <x v="115"/>
    <x v="0"/>
    <x v="0"/>
    <x v="2"/>
    <n v="2.5"/>
    <n v="20.584999999999997"/>
    <x v="99"/>
    <x v="2"/>
  </r>
  <r>
    <s v="TME-59627-221"/>
    <x v="140"/>
    <x v="2"/>
    <s v="April"/>
    <x v="1"/>
    <s v="72282-40594-RX"/>
    <s v="L-L-2.5"/>
    <n v="6"/>
    <x v="149"/>
    <n v="0"/>
    <x v="12"/>
    <x v="0"/>
    <x v="3"/>
    <x v="1"/>
    <n v="2.5"/>
    <n v="36.454999999999998"/>
    <x v="100"/>
    <x v="2"/>
  </r>
  <r>
    <s v="UDG-65353-824"/>
    <x v="141"/>
    <x v="5"/>
    <s v="January"/>
    <x v="3"/>
    <s v="17514-94165-RJ"/>
    <s v="E-M-0.5"/>
    <n v="4"/>
    <x v="150"/>
    <s v="kswede4g@addthis.com"/>
    <x v="101"/>
    <x v="0"/>
    <x v="1"/>
    <x v="0"/>
    <n v="0.5"/>
    <n v="8.25"/>
    <x v="101"/>
    <x v="0"/>
  </r>
  <r>
    <s v="ENQ-42923-176"/>
    <x v="142"/>
    <x v="3"/>
    <s v="January"/>
    <x v="1"/>
    <s v="56248-75861-JX"/>
    <s v="A-L-0.5"/>
    <n v="3"/>
    <x v="151"/>
    <s v="lrubrow4h@microsoft.com"/>
    <x v="41"/>
    <x v="0"/>
    <x v="2"/>
    <x v="1"/>
    <n v="0.5"/>
    <n v="7.77"/>
    <x v="102"/>
    <x v="0"/>
  </r>
  <r>
    <s v="CBT-55781-720"/>
    <x v="143"/>
    <x v="3"/>
    <s v="November"/>
    <x v="1"/>
    <s v="97855-54761-IS"/>
    <s v="E-D-0.5"/>
    <n v="3"/>
    <x v="152"/>
    <s v="dtift4i@netvibes.com"/>
    <x v="116"/>
    <x v="0"/>
    <x v="1"/>
    <x v="2"/>
    <n v="0.5"/>
    <n v="7.29"/>
    <x v="6"/>
    <x v="0"/>
  </r>
  <r>
    <s v="NEU-86533-016"/>
    <x v="144"/>
    <x v="3"/>
    <s v="June"/>
    <x v="0"/>
    <s v="96544-91644-IT"/>
    <s v="R-D-0.2"/>
    <n v="6"/>
    <x v="153"/>
    <s v="gschonfeld4j@oracle.com"/>
    <x v="117"/>
    <x v="0"/>
    <x v="0"/>
    <x v="2"/>
    <n v="0.2"/>
    <n v="2.6849999999999996"/>
    <x v="103"/>
    <x v="0"/>
  </r>
  <r>
    <s v="BYU-58154-603"/>
    <x v="145"/>
    <x v="0"/>
    <s v="December"/>
    <x v="3"/>
    <s v="51971-70393-QM"/>
    <s v="E-D-0.5"/>
    <n v="4"/>
    <x v="154"/>
    <s v="cfeye4k@google.co.jp"/>
    <x v="118"/>
    <x v="1"/>
    <x v="1"/>
    <x v="2"/>
    <n v="0.5"/>
    <n v="7.29"/>
    <x v="104"/>
    <x v="0"/>
  </r>
  <r>
    <s v="EHJ-05910-257"/>
    <x v="146"/>
    <x v="6"/>
    <s v="February"/>
    <x v="1"/>
    <s v="06812-11924-IK"/>
    <s v="R-D-1"/>
    <n v="6"/>
    <x v="155"/>
    <n v="0"/>
    <x v="119"/>
    <x v="0"/>
    <x v="0"/>
    <x v="2"/>
    <n v="1"/>
    <n v="8.9499999999999993"/>
    <x v="59"/>
    <x v="1"/>
  </r>
  <r>
    <s v="EIL-44855-309"/>
    <x v="147"/>
    <x v="3"/>
    <s v="March"/>
    <x v="1"/>
    <s v="59741-90220-OW"/>
    <s v="R-D-0.5"/>
    <n v="5"/>
    <x v="156"/>
    <n v="0"/>
    <x v="120"/>
    <x v="0"/>
    <x v="0"/>
    <x v="2"/>
    <n v="0.5"/>
    <n v="5.3699999999999992"/>
    <x v="51"/>
    <x v="0"/>
  </r>
  <r>
    <s v="HCA-87224-420"/>
    <x v="148"/>
    <x v="0"/>
    <s v="August"/>
    <x v="2"/>
    <s v="62682-27930-PD"/>
    <s v="E-M-0.5"/>
    <n v="5"/>
    <x v="157"/>
    <s v="tfero4n@comsenz.com"/>
    <x v="119"/>
    <x v="0"/>
    <x v="1"/>
    <x v="0"/>
    <n v="0.5"/>
    <n v="8.25"/>
    <x v="1"/>
    <x v="0"/>
  </r>
  <r>
    <s v="ABO-29054-365"/>
    <x v="149"/>
    <x v="4"/>
    <s v="January"/>
    <x v="0"/>
    <s v="00256-19905-YG"/>
    <s v="A-M-0.5"/>
    <n v="6"/>
    <x v="158"/>
    <n v="0"/>
    <x v="118"/>
    <x v="1"/>
    <x v="2"/>
    <x v="0"/>
    <n v="0.5"/>
    <n v="6.75"/>
    <x v="61"/>
    <x v="0"/>
  </r>
  <r>
    <s v="TKN-58485-031"/>
    <x v="150"/>
    <x v="1"/>
    <s v="March"/>
    <x v="2"/>
    <s v="38890-22576-UI"/>
    <s v="R-D-1"/>
    <n v="2"/>
    <x v="159"/>
    <s v="fdauney4p@sphinn.com"/>
    <x v="121"/>
    <x v="1"/>
    <x v="0"/>
    <x v="2"/>
    <n v="1"/>
    <n v="8.9499999999999993"/>
    <x v="105"/>
    <x v="0"/>
  </r>
  <r>
    <s v="RCK-04069-371"/>
    <x v="151"/>
    <x v="0"/>
    <s v="October"/>
    <x v="1"/>
    <s v="94573-61802-PH"/>
    <s v="E-L-2.5"/>
    <n v="2"/>
    <x v="160"/>
    <s v="searley4q@youku.com"/>
    <x v="122"/>
    <x v="2"/>
    <x v="1"/>
    <x v="1"/>
    <n v="2.5"/>
    <n v="34.154999999999994"/>
    <x v="93"/>
    <x v="1"/>
  </r>
  <r>
    <s v="IRJ-67095-738"/>
    <x v="13"/>
    <x v="1"/>
    <s v="March"/>
    <x v="0"/>
    <s v="86447-02699-UT"/>
    <s v="E-M-2.5"/>
    <n v="2"/>
    <x v="161"/>
    <s v="mchamberlayne4r@bigcartel.com"/>
    <x v="47"/>
    <x v="0"/>
    <x v="1"/>
    <x v="0"/>
    <n v="2.5"/>
    <n v="31.624999999999996"/>
    <x v="40"/>
    <x v="1"/>
  </r>
  <r>
    <s v="VEA-31961-977"/>
    <x v="79"/>
    <x v="1"/>
    <s v="December"/>
    <x v="1"/>
    <s v="51432-27169-KN"/>
    <s v="E-D-0.5"/>
    <n v="3"/>
    <x v="162"/>
    <s v="bflaherty4s@moonfruit.com"/>
    <x v="123"/>
    <x v="1"/>
    <x v="1"/>
    <x v="2"/>
    <n v="0.5"/>
    <n v="7.29"/>
    <x v="6"/>
    <x v="0"/>
  </r>
  <r>
    <s v="BAF-42286-205"/>
    <x v="152"/>
    <x v="1"/>
    <s v="June"/>
    <x v="2"/>
    <s v="43074-00987-PB"/>
    <s v="R-M-2.5"/>
    <n v="4"/>
    <x v="163"/>
    <s v="ocolbeck4t@sina.com.cn"/>
    <x v="124"/>
    <x v="0"/>
    <x v="0"/>
    <x v="0"/>
    <n v="2.5"/>
    <n v="22.884999999999998"/>
    <x v="21"/>
    <x v="1"/>
  </r>
  <r>
    <s v="WOR-52762-511"/>
    <x v="153"/>
    <x v="4"/>
    <s v="December"/>
    <x v="0"/>
    <s v="04739-85772-QT"/>
    <s v="E-L-2.5"/>
    <n v="6"/>
    <x v="164"/>
    <n v="0"/>
    <x v="125"/>
    <x v="0"/>
    <x v="1"/>
    <x v="1"/>
    <n v="2.5"/>
    <n v="34.154999999999994"/>
    <x v="106"/>
    <x v="2"/>
  </r>
  <r>
    <s v="ZWK-03995-815"/>
    <x v="154"/>
    <x v="4"/>
    <s v="April"/>
    <x v="1"/>
    <s v="28279-78469-YW"/>
    <s v="E-M-2.5"/>
    <n v="2"/>
    <x v="165"/>
    <s v="ehobbing4v@nsw.gov.au"/>
    <x v="126"/>
    <x v="0"/>
    <x v="1"/>
    <x v="0"/>
    <n v="2.5"/>
    <n v="31.624999999999996"/>
    <x v="40"/>
    <x v="1"/>
  </r>
  <r>
    <s v="CKF-43291-846"/>
    <x v="155"/>
    <x v="5"/>
    <s v="March"/>
    <x v="3"/>
    <s v="91829-99544-DS"/>
    <s v="E-L-2.5"/>
    <n v="1"/>
    <x v="166"/>
    <s v="othynne4w@auda.org.au"/>
    <x v="127"/>
    <x v="0"/>
    <x v="1"/>
    <x v="1"/>
    <n v="2.5"/>
    <n v="34.154999999999994"/>
    <x v="107"/>
    <x v="0"/>
  </r>
  <r>
    <s v="RMW-74160-339"/>
    <x v="156"/>
    <x v="2"/>
    <s v="October"/>
    <x v="3"/>
    <s v="38978-59582-JP"/>
    <s v="R-L-2.5"/>
    <n v="4"/>
    <x v="167"/>
    <s v="eheining4x@flickr.com"/>
    <x v="128"/>
    <x v="0"/>
    <x v="0"/>
    <x v="1"/>
    <n v="2.5"/>
    <n v="27.484999999999996"/>
    <x v="108"/>
    <x v="2"/>
  </r>
  <r>
    <s v="FMT-94584-786"/>
    <x v="22"/>
    <x v="5"/>
    <s v="October"/>
    <x v="0"/>
    <s v="86504-96610-BH"/>
    <s v="A-L-1"/>
    <n v="2"/>
    <x v="168"/>
    <s v="kmelloi4y@imdb.com"/>
    <x v="36"/>
    <x v="0"/>
    <x v="2"/>
    <x v="1"/>
    <n v="1"/>
    <n v="12.95"/>
    <x v="109"/>
    <x v="0"/>
  </r>
  <r>
    <s v="NWT-78222-575"/>
    <x v="157"/>
    <x v="5"/>
    <s v="December"/>
    <x v="0"/>
    <s v="75986-98864-EZ"/>
    <s v="A-D-0.2"/>
    <n v="1"/>
    <x v="169"/>
    <n v="0"/>
    <x v="129"/>
    <x v="1"/>
    <x v="2"/>
    <x v="2"/>
    <n v="0.2"/>
    <n v="2.9849999999999999"/>
    <x v="55"/>
    <x v="0"/>
  </r>
  <r>
    <s v="EOI-02511-919"/>
    <x v="158"/>
    <x v="2"/>
    <s v="March"/>
    <x v="3"/>
    <s v="66776-88682-RG"/>
    <s v="E-L-0.2"/>
    <n v="5"/>
    <x v="170"/>
    <s v="amussen50@51.la"/>
    <x v="130"/>
    <x v="0"/>
    <x v="1"/>
    <x v="1"/>
    <n v="0.2"/>
    <n v="4.4550000000000001"/>
    <x v="110"/>
    <x v="0"/>
  </r>
  <r>
    <s v="EOI-02511-919"/>
    <x v="158"/>
    <x v="2"/>
    <s v="March"/>
    <x v="3"/>
    <s v="66776-88682-RG"/>
    <s v="A-D-0.5"/>
    <n v="5"/>
    <x v="170"/>
    <s v="amussen50@51.la"/>
    <x v="130"/>
    <x v="0"/>
    <x v="2"/>
    <x v="2"/>
    <n v="0.5"/>
    <n v="5.97"/>
    <x v="44"/>
    <x v="0"/>
  </r>
  <r>
    <s v="UCT-03935-589"/>
    <x v="78"/>
    <x v="3"/>
    <s v="March"/>
    <x v="1"/>
    <s v="85851-78384-DM"/>
    <s v="R-D-0.5"/>
    <n v="6"/>
    <x v="171"/>
    <s v="amundford52@nbcnews.com"/>
    <x v="131"/>
    <x v="0"/>
    <x v="0"/>
    <x v="2"/>
    <n v="0.5"/>
    <n v="5.3699999999999992"/>
    <x v="111"/>
    <x v="0"/>
  </r>
  <r>
    <s v="SBI-60013-494"/>
    <x v="159"/>
    <x v="2"/>
    <s v="November"/>
    <x v="1"/>
    <s v="55232-81621-BX"/>
    <s v="E-M-0.2"/>
    <n v="2"/>
    <x v="172"/>
    <s v="twalas53@google.ca"/>
    <x v="132"/>
    <x v="0"/>
    <x v="1"/>
    <x v="0"/>
    <n v="0.2"/>
    <n v="4.125"/>
    <x v="112"/>
    <x v="0"/>
  </r>
  <r>
    <s v="QRA-73277-814"/>
    <x v="160"/>
    <x v="5"/>
    <s v="July"/>
    <x v="1"/>
    <s v="80310-92912-JA"/>
    <s v="A-L-0.5"/>
    <n v="4"/>
    <x v="173"/>
    <s v="iblazewicz54@thetimes.co.uk"/>
    <x v="30"/>
    <x v="0"/>
    <x v="2"/>
    <x v="1"/>
    <n v="0.5"/>
    <n v="7.77"/>
    <x v="113"/>
    <x v="0"/>
  </r>
  <r>
    <s v="EQE-31648-909"/>
    <x v="161"/>
    <x v="2"/>
    <s v="January"/>
    <x v="0"/>
    <s v="19821-05175-WZ"/>
    <s v="E-D-0.5"/>
    <n v="5"/>
    <x v="174"/>
    <s v="arizzetti55@naver.com"/>
    <x v="133"/>
    <x v="0"/>
    <x v="1"/>
    <x v="2"/>
    <n v="0.5"/>
    <n v="7.29"/>
    <x v="114"/>
    <x v="0"/>
  </r>
  <r>
    <s v="QOO-24615-950"/>
    <x v="162"/>
    <x v="1"/>
    <s v="August"/>
    <x v="0"/>
    <s v="01338-83217-GV"/>
    <s v="R-M-2.5"/>
    <n v="3"/>
    <x v="175"/>
    <s v="mmeriet56@noaa.gov"/>
    <x v="25"/>
    <x v="0"/>
    <x v="0"/>
    <x v="0"/>
    <n v="2.5"/>
    <n v="22.884999999999998"/>
    <x v="96"/>
    <x v="1"/>
  </r>
  <r>
    <s v="WDV-73864-037"/>
    <x v="70"/>
    <x v="6"/>
    <s v="March"/>
    <x v="2"/>
    <s v="66044-25298-TA"/>
    <s v="L-M-0.5"/>
    <n v="5"/>
    <x v="176"/>
    <s v="lpratt57@netvibes.com"/>
    <x v="92"/>
    <x v="0"/>
    <x v="3"/>
    <x v="0"/>
    <n v="0.5"/>
    <n v="8.73"/>
    <x v="34"/>
    <x v="0"/>
  </r>
  <r>
    <s v="PKR-88575-066"/>
    <x v="163"/>
    <x v="5"/>
    <s v="May"/>
    <x v="2"/>
    <s v="28728-47861-TZ"/>
    <s v="E-L-0.2"/>
    <n v="1"/>
    <x v="177"/>
    <s v="akitchingham58@com.com"/>
    <x v="101"/>
    <x v="0"/>
    <x v="1"/>
    <x v="1"/>
    <n v="0.2"/>
    <n v="4.4550000000000001"/>
    <x v="115"/>
    <x v="0"/>
  </r>
  <r>
    <s v="BWR-85735-955"/>
    <x v="153"/>
    <x v="4"/>
    <s v="December"/>
    <x v="0"/>
    <s v="32638-38620-AX"/>
    <s v="L-M-1"/>
    <n v="3"/>
    <x v="178"/>
    <s v="bbartholin59@xinhuanet.com"/>
    <x v="134"/>
    <x v="0"/>
    <x v="3"/>
    <x v="0"/>
    <n v="1"/>
    <n v="14.55"/>
    <x v="34"/>
    <x v="0"/>
  </r>
  <r>
    <s v="YFX-64795-136"/>
    <x v="164"/>
    <x v="1"/>
    <s v="January"/>
    <x v="3"/>
    <s v="83163-65741-IH"/>
    <s v="L-M-2.5"/>
    <n v="1"/>
    <x v="179"/>
    <s v="mprinn5a@usa.gov"/>
    <x v="135"/>
    <x v="0"/>
    <x v="3"/>
    <x v="0"/>
    <n v="2.5"/>
    <n v="33.464999999999996"/>
    <x v="116"/>
    <x v="0"/>
  </r>
  <r>
    <s v="DDO-71442-967"/>
    <x v="165"/>
    <x v="2"/>
    <s v="April"/>
    <x v="0"/>
    <s v="89422-58281-FD"/>
    <s v="L-D-0.2"/>
    <n v="5"/>
    <x v="180"/>
    <s v="abaudino5b@netvibes.com"/>
    <x v="41"/>
    <x v="0"/>
    <x v="3"/>
    <x v="2"/>
    <n v="0.2"/>
    <n v="3.8849999999999998"/>
    <x v="117"/>
    <x v="0"/>
  </r>
  <r>
    <s v="ILQ-11027-588"/>
    <x v="166"/>
    <x v="6"/>
    <s v="March"/>
    <x v="3"/>
    <s v="76293-30918-DQ"/>
    <s v="E-D-1"/>
    <n v="6"/>
    <x v="181"/>
    <s v="ppetrushanko5c@blinklist.com"/>
    <x v="136"/>
    <x v="1"/>
    <x v="1"/>
    <x v="2"/>
    <n v="1"/>
    <n v="12.15"/>
    <x v="118"/>
    <x v="1"/>
  </r>
  <r>
    <s v="KRZ-13868-122"/>
    <x v="167"/>
    <x v="0"/>
    <s v="March"/>
    <x v="2"/>
    <s v="86779-84838-EJ"/>
    <s v="E-L-1"/>
    <n v="3"/>
    <x v="182"/>
    <n v="0"/>
    <x v="137"/>
    <x v="0"/>
    <x v="1"/>
    <x v="1"/>
    <n v="1"/>
    <n v="14.85"/>
    <x v="69"/>
    <x v="0"/>
  </r>
  <r>
    <s v="VRM-93594-914"/>
    <x v="168"/>
    <x v="1"/>
    <s v="July"/>
    <x v="1"/>
    <s v="66806-41795-MX"/>
    <s v="E-D-0.5"/>
    <n v="5"/>
    <x v="183"/>
    <s v="elaird5e@bing.com"/>
    <x v="138"/>
    <x v="0"/>
    <x v="1"/>
    <x v="2"/>
    <n v="0.5"/>
    <n v="7.29"/>
    <x v="114"/>
    <x v="0"/>
  </r>
  <r>
    <s v="HXL-22497-359"/>
    <x v="169"/>
    <x v="5"/>
    <s v="August"/>
    <x v="0"/>
    <s v="64875-71224-UI"/>
    <s v="A-L-1"/>
    <n v="3"/>
    <x v="184"/>
    <s v="mhowsden5f@infoseek.co.jp"/>
    <x v="139"/>
    <x v="0"/>
    <x v="2"/>
    <x v="1"/>
    <n v="1"/>
    <n v="12.95"/>
    <x v="5"/>
    <x v="0"/>
  </r>
  <r>
    <s v="NOP-21394-646"/>
    <x v="170"/>
    <x v="6"/>
    <s v="May"/>
    <x v="1"/>
    <s v="16982-35708-BZ"/>
    <s v="E-L-0.5"/>
    <n v="6"/>
    <x v="185"/>
    <s v="ncuttler5g@parallels.com"/>
    <x v="41"/>
    <x v="0"/>
    <x v="1"/>
    <x v="1"/>
    <n v="0.5"/>
    <n v="8.91"/>
    <x v="119"/>
    <x v="1"/>
  </r>
  <r>
    <s v="NOP-21394-646"/>
    <x v="170"/>
    <x v="6"/>
    <s v="May"/>
    <x v="1"/>
    <s v="16982-35708-BZ"/>
    <s v="L-D-2.5"/>
    <n v="2"/>
    <x v="185"/>
    <s v="ncuttler5g@parallels.com"/>
    <x v="41"/>
    <x v="0"/>
    <x v="3"/>
    <x v="2"/>
    <n v="2.5"/>
    <n v="29.784999999999997"/>
    <x v="120"/>
    <x v="1"/>
  </r>
  <r>
    <s v="NOP-21394-646"/>
    <x v="170"/>
    <x v="6"/>
    <s v="May"/>
    <x v="1"/>
    <s v="16982-35708-BZ"/>
    <s v="L-D-2.5"/>
    <n v="3"/>
    <x v="185"/>
    <s v="ncuttler5g@parallels.com"/>
    <x v="41"/>
    <x v="0"/>
    <x v="3"/>
    <x v="2"/>
    <n v="2.5"/>
    <n v="29.784999999999997"/>
    <x v="49"/>
    <x v="1"/>
  </r>
  <r>
    <s v="NOP-21394-646"/>
    <x v="170"/>
    <x v="6"/>
    <s v="May"/>
    <x v="1"/>
    <s v="16982-35708-BZ"/>
    <s v="L-L-0.5"/>
    <n v="4"/>
    <x v="185"/>
    <s v="ncuttler5g@parallels.com"/>
    <x v="41"/>
    <x v="0"/>
    <x v="3"/>
    <x v="1"/>
    <n v="0.5"/>
    <n v="9.51"/>
    <x v="82"/>
    <x v="0"/>
  </r>
  <r>
    <s v="NOP-21394-646"/>
    <x v="170"/>
    <x v="6"/>
    <s v="May"/>
    <x v="1"/>
    <s v="16982-35708-BZ"/>
    <s v="E-M-1"/>
    <n v="3"/>
    <x v="185"/>
    <s v="ncuttler5g@parallels.com"/>
    <x v="41"/>
    <x v="0"/>
    <x v="1"/>
    <x v="0"/>
    <n v="1"/>
    <n v="13.75"/>
    <x v="1"/>
    <x v="0"/>
  </r>
  <r>
    <s v="FTV-77095-168"/>
    <x v="171"/>
    <x v="0"/>
    <s v="April"/>
    <x v="1"/>
    <s v="66708-26678-QK"/>
    <s v="L-L-0.5"/>
    <n v="6"/>
    <x v="186"/>
    <n v="0"/>
    <x v="34"/>
    <x v="0"/>
    <x v="3"/>
    <x v="1"/>
    <n v="0.5"/>
    <n v="9.51"/>
    <x v="30"/>
    <x v="1"/>
  </r>
  <r>
    <s v="BOR-02906-411"/>
    <x v="172"/>
    <x v="6"/>
    <s v="October"/>
    <x v="1"/>
    <s v="08743-09057-OO"/>
    <s v="L-D-2.5"/>
    <n v="6"/>
    <x v="187"/>
    <s v="tfelip5m@typepad.com"/>
    <x v="140"/>
    <x v="0"/>
    <x v="3"/>
    <x v="2"/>
    <n v="2.5"/>
    <n v="29.784999999999997"/>
    <x v="39"/>
    <x v="2"/>
  </r>
  <r>
    <s v="WMP-68847-770"/>
    <x v="173"/>
    <x v="1"/>
    <s v="February"/>
    <x v="2"/>
    <s v="37490-01572-JW"/>
    <s v="L-L-0.2"/>
    <n v="1"/>
    <x v="188"/>
    <s v="vle5n@disqus.com"/>
    <x v="141"/>
    <x v="0"/>
    <x v="3"/>
    <x v="1"/>
    <n v="0.2"/>
    <n v="4.7549999999999999"/>
    <x v="7"/>
    <x v="0"/>
  </r>
  <r>
    <s v="TMO-22785-872"/>
    <x v="174"/>
    <x v="1"/>
    <s v="July"/>
    <x v="3"/>
    <s v="01811-60350-CU"/>
    <s v="E-M-1"/>
    <n v="6"/>
    <x v="189"/>
    <n v="0"/>
    <x v="142"/>
    <x v="0"/>
    <x v="1"/>
    <x v="0"/>
    <n v="1"/>
    <n v="13.75"/>
    <x v="121"/>
    <x v="1"/>
  </r>
  <r>
    <s v="TJG-73587-353"/>
    <x v="175"/>
    <x v="4"/>
    <s v="February"/>
    <x v="3"/>
    <s v="24766-58139-GT"/>
    <s v="R-D-0.2"/>
    <n v="3"/>
    <x v="190"/>
    <n v="0"/>
    <x v="41"/>
    <x v="0"/>
    <x v="0"/>
    <x v="2"/>
    <n v="0.2"/>
    <n v="2.6849999999999996"/>
    <x v="36"/>
    <x v="0"/>
  </r>
  <r>
    <s v="OOU-61343-455"/>
    <x v="176"/>
    <x v="2"/>
    <s v="January"/>
    <x v="1"/>
    <s v="90123-70970-NY"/>
    <s v="A-M-1"/>
    <n v="2"/>
    <x v="191"/>
    <s v="npoolman5q@howstuffworks.com"/>
    <x v="63"/>
    <x v="0"/>
    <x v="2"/>
    <x v="0"/>
    <n v="1"/>
    <n v="11.25"/>
    <x v="122"/>
    <x v="0"/>
  </r>
  <r>
    <s v="RMA-08327-369"/>
    <x v="142"/>
    <x v="3"/>
    <s v="January"/>
    <x v="1"/>
    <s v="93809-05424-MG"/>
    <s v="A-M-0.5"/>
    <n v="6"/>
    <x v="192"/>
    <s v="oduny5r@constantcontact.com"/>
    <x v="143"/>
    <x v="0"/>
    <x v="2"/>
    <x v="0"/>
    <n v="0.5"/>
    <n v="6.75"/>
    <x v="61"/>
    <x v="0"/>
  </r>
  <r>
    <s v="SFB-97929-779"/>
    <x v="177"/>
    <x v="2"/>
    <s v="April"/>
    <x v="2"/>
    <s v="85425-33494-HQ"/>
    <s v="E-D-0.5"/>
    <n v="4"/>
    <x v="193"/>
    <s v="chalfhide5s@google.ru"/>
    <x v="144"/>
    <x v="1"/>
    <x v="1"/>
    <x v="2"/>
    <n v="0.5"/>
    <n v="7.29"/>
    <x v="104"/>
    <x v="0"/>
  </r>
  <r>
    <s v="AUP-10128-606"/>
    <x v="178"/>
    <x v="0"/>
    <s v="October"/>
    <x v="3"/>
    <s v="54387-64897-XC"/>
    <s v="A-M-0.5"/>
    <n v="1"/>
    <x v="194"/>
    <s v="fmalecky5t@list-manage.com"/>
    <x v="145"/>
    <x v="2"/>
    <x v="2"/>
    <x v="0"/>
    <n v="0.5"/>
    <n v="6.75"/>
    <x v="52"/>
    <x v="0"/>
  </r>
  <r>
    <s v="YTW-40242-005"/>
    <x v="179"/>
    <x v="3"/>
    <s v="October"/>
    <x v="0"/>
    <s v="01035-70465-UO"/>
    <s v="L-D-1"/>
    <n v="4"/>
    <x v="195"/>
    <s v="aattwater5u@wikia.com"/>
    <x v="131"/>
    <x v="0"/>
    <x v="3"/>
    <x v="2"/>
    <n v="1"/>
    <n v="12.95"/>
    <x v="67"/>
    <x v="1"/>
  </r>
  <r>
    <s v="PRP-53390-819"/>
    <x v="180"/>
    <x v="6"/>
    <s v="March"/>
    <x v="1"/>
    <s v="84260-39432-ML"/>
    <s v="E-L-0.5"/>
    <n v="6"/>
    <x v="196"/>
    <s v="mwhellans5v@mapquest.com"/>
    <x v="15"/>
    <x v="0"/>
    <x v="1"/>
    <x v="1"/>
    <n v="0.5"/>
    <n v="8.91"/>
    <x v="119"/>
    <x v="1"/>
  </r>
  <r>
    <s v="GSJ-01065-125"/>
    <x v="181"/>
    <x v="5"/>
    <s v="March"/>
    <x v="3"/>
    <s v="69779-40609-RS"/>
    <s v="E-D-0.2"/>
    <n v="4"/>
    <x v="197"/>
    <s v="dcamilletti5w@businesswire.com"/>
    <x v="110"/>
    <x v="0"/>
    <x v="1"/>
    <x v="2"/>
    <n v="0.2"/>
    <n v="3.645"/>
    <x v="20"/>
    <x v="0"/>
  </r>
  <r>
    <s v="YQU-65147-580"/>
    <x v="182"/>
    <x v="4"/>
    <s v="March"/>
    <x v="2"/>
    <s v="80247-70000-HT"/>
    <s v="R-D-2.5"/>
    <n v="1"/>
    <x v="198"/>
    <s v="egalgey5x@wufoo.com"/>
    <x v="15"/>
    <x v="0"/>
    <x v="0"/>
    <x v="2"/>
    <n v="2.5"/>
    <n v="20.584999999999997"/>
    <x v="123"/>
    <x v="0"/>
  </r>
  <r>
    <s v="QPM-95832-683"/>
    <x v="183"/>
    <x v="1"/>
    <s v="November"/>
    <x v="0"/>
    <s v="35058-04550-VC"/>
    <s v="L-L-1"/>
    <n v="2"/>
    <x v="199"/>
    <s v="mhame5y@newsvine.com"/>
    <x v="146"/>
    <x v="1"/>
    <x v="3"/>
    <x v="1"/>
    <n v="1"/>
    <n v="15.85"/>
    <x v="124"/>
    <x v="0"/>
  </r>
  <r>
    <s v="BNQ-88920-567"/>
    <x v="184"/>
    <x v="3"/>
    <s v="December"/>
    <x v="0"/>
    <s v="27226-53717-SY"/>
    <s v="L-D-0.2"/>
    <n v="6"/>
    <x v="200"/>
    <s v="igurnee5z@usnews.com"/>
    <x v="147"/>
    <x v="0"/>
    <x v="3"/>
    <x v="2"/>
    <n v="0.2"/>
    <n v="3.8849999999999998"/>
    <x v="102"/>
    <x v="0"/>
  </r>
  <r>
    <s v="PUX-47906-110"/>
    <x v="185"/>
    <x v="2"/>
    <s v="October"/>
    <x v="1"/>
    <s v="02002-98725-CH"/>
    <s v="L-M-1"/>
    <n v="4"/>
    <x v="201"/>
    <s v="asnowding60@comsenz.com"/>
    <x v="45"/>
    <x v="0"/>
    <x v="3"/>
    <x v="0"/>
    <n v="1"/>
    <n v="14.55"/>
    <x v="125"/>
    <x v="1"/>
  </r>
  <r>
    <s v="COL-72079-610"/>
    <x v="186"/>
    <x v="1"/>
    <s v="December"/>
    <x v="3"/>
    <s v="38487-01549-MV"/>
    <s v="E-L-0.5"/>
    <n v="4"/>
    <x v="202"/>
    <s v="gpoinsett61@berkeley.edu"/>
    <x v="148"/>
    <x v="0"/>
    <x v="1"/>
    <x v="1"/>
    <n v="0.5"/>
    <n v="8.91"/>
    <x v="70"/>
    <x v="0"/>
  </r>
  <r>
    <s v="LBC-45686-819"/>
    <x v="187"/>
    <x v="4"/>
    <s v="May"/>
    <x v="1"/>
    <s v="98573-41811-EQ"/>
    <s v="A-M-1"/>
    <n v="5"/>
    <x v="203"/>
    <s v="rfurman62@t.co"/>
    <x v="149"/>
    <x v="1"/>
    <x v="2"/>
    <x v="0"/>
    <n v="1"/>
    <n v="11.25"/>
    <x v="126"/>
    <x v="1"/>
  </r>
  <r>
    <s v="BLQ-03709-265"/>
    <x v="148"/>
    <x v="0"/>
    <s v="August"/>
    <x v="2"/>
    <s v="72463-75685-MV"/>
    <s v="R-L-0.2"/>
    <n v="3"/>
    <x v="204"/>
    <s v="ccrosier63@xrea.com"/>
    <x v="150"/>
    <x v="0"/>
    <x v="0"/>
    <x v="1"/>
    <n v="0.2"/>
    <n v="3.5849999999999995"/>
    <x v="127"/>
    <x v="0"/>
  </r>
  <r>
    <s v="BLQ-03709-265"/>
    <x v="148"/>
    <x v="0"/>
    <s v="August"/>
    <x v="2"/>
    <s v="72463-75685-MV"/>
    <s v="R-M-0.2"/>
    <n v="5"/>
    <x v="204"/>
    <s v="ccrosier63@xrea.com"/>
    <x v="150"/>
    <x v="0"/>
    <x v="0"/>
    <x v="0"/>
    <n v="0.2"/>
    <n v="2.9849999999999999"/>
    <x v="128"/>
    <x v="0"/>
  </r>
  <r>
    <s v="VFZ-91673-181"/>
    <x v="188"/>
    <x v="4"/>
    <s v="November"/>
    <x v="1"/>
    <s v="10225-91535-AI"/>
    <s v="A-L-1"/>
    <n v="6"/>
    <x v="205"/>
    <s v="lrushmer65@europa.eu"/>
    <x v="151"/>
    <x v="0"/>
    <x v="2"/>
    <x v="1"/>
    <n v="1"/>
    <n v="12.95"/>
    <x v="17"/>
    <x v="1"/>
  </r>
  <r>
    <s v="WKD-81956-870"/>
    <x v="189"/>
    <x v="1"/>
    <s v="September"/>
    <x v="3"/>
    <s v="48090-06534-HI"/>
    <s v="L-D-0.5"/>
    <n v="3"/>
    <x v="206"/>
    <s v="wedinborough66@github.io"/>
    <x v="152"/>
    <x v="0"/>
    <x v="3"/>
    <x v="2"/>
    <n v="0.5"/>
    <n v="7.77"/>
    <x v="102"/>
    <x v="0"/>
  </r>
  <r>
    <s v="TNI-91067-006"/>
    <x v="190"/>
    <x v="3"/>
    <s v="October"/>
    <x v="3"/>
    <s v="80444-58185-FX"/>
    <s v="E-L-1"/>
    <n v="4"/>
    <x v="207"/>
    <n v="0"/>
    <x v="41"/>
    <x v="0"/>
    <x v="1"/>
    <x v="1"/>
    <n v="1"/>
    <n v="14.85"/>
    <x v="48"/>
    <x v="1"/>
  </r>
  <r>
    <s v="IZA-61469-812"/>
    <x v="191"/>
    <x v="3"/>
    <s v="January"/>
    <x v="3"/>
    <s v="13561-92774-WP"/>
    <s v="L-D-2.5"/>
    <n v="4"/>
    <x v="208"/>
    <s v="kbromehead68@un.org"/>
    <x v="15"/>
    <x v="0"/>
    <x v="3"/>
    <x v="2"/>
    <n v="2.5"/>
    <n v="29.784999999999997"/>
    <x v="129"/>
    <x v="2"/>
  </r>
  <r>
    <s v="PSS-22466-862"/>
    <x v="192"/>
    <x v="2"/>
    <s v="May"/>
    <x v="1"/>
    <s v="11550-78378-GE"/>
    <s v="R-L-0.2"/>
    <n v="4"/>
    <x v="209"/>
    <s v="ewesterman69@si.edu"/>
    <x v="62"/>
    <x v="1"/>
    <x v="0"/>
    <x v="1"/>
    <n v="0.2"/>
    <n v="3.5849999999999995"/>
    <x v="79"/>
    <x v="0"/>
  </r>
  <r>
    <s v="REH-56504-397"/>
    <x v="193"/>
    <x v="1"/>
    <s v="February"/>
    <x v="3"/>
    <s v="90961-35603-RP"/>
    <s v="A-M-2.5"/>
    <n v="5"/>
    <x v="210"/>
    <s v="ahutchens6a@amazonaws.com"/>
    <x v="153"/>
    <x v="0"/>
    <x v="2"/>
    <x v="0"/>
    <n v="2.5"/>
    <n v="25.874999999999996"/>
    <x v="130"/>
    <x v="2"/>
  </r>
  <r>
    <s v="ALA-62598-016"/>
    <x v="194"/>
    <x v="1"/>
    <s v="February"/>
    <x v="3"/>
    <s v="57145-03803-ZL"/>
    <s v="R-D-0.2"/>
    <n v="6"/>
    <x v="211"/>
    <s v="nwyvill6b@naver.com"/>
    <x v="154"/>
    <x v="2"/>
    <x v="0"/>
    <x v="2"/>
    <n v="0.2"/>
    <n v="2.6849999999999996"/>
    <x v="103"/>
    <x v="0"/>
  </r>
  <r>
    <s v="EYE-70374-835"/>
    <x v="195"/>
    <x v="5"/>
    <s v="June"/>
    <x v="1"/>
    <s v="89115-11966-VF"/>
    <s v="R-L-0.2"/>
    <n v="5"/>
    <x v="212"/>
    <s v="bmathon6c@barnesandnoble.com"/>
    <x v="155"/>
    <x v="0"/>
    <x v="0"/>
    <x v="1"/>
    <n v="0.2"/>
    <n v="3.5849999999999995"/>
    <x v="131"/>
    <x v="0"/>
  </r>
  <r>
    <s v="CCZ-19589-212"/>
    <x v="196"/>
    <x v="4"/>
    <s v="March"/>
    <x v="1"/>
    <s v="05754-41702-FG"/>
    <s v="L-M-0.2"/>
    <n v="2"/>
    <x v="213"/>
    <s v="kstreight6d@about.com"/>
    <x v="156"/>
    <x v="0"/>
    <x v="3"/>
    <x v="0"/>
    <n v="0.2"/>
    <n v="4.3650000000000002"/>
    <x v="31"/>
    <x v="0"/>
  </r>
  <r>
    <s v="BPT-83989-157"/>
    <x v="197"/>
    <x v="1"/>
    <s v="October"/>
    <x v="1"/>
    <s v="84269-49816-ML"/>
    <s v="A-M-2.5"/>
    <n v="2"/>
    <x v="214"/>
    <s v="pcutchie6e@globo.com"/>
    <x v="116"/>
    <x v="0"/>
    <x v="2"/>
    <x v="0"/>
    <n v="2.5"/>
    <n v="25.874999999999996"/>
    <x v="95"/>
    <x v="1"/>
  </r>
  <r>
    <s v="YFH-87456-208"/>
    <x v="198"/>
    <x v="1"/>
    <s v="June"/>
    <x v="0"/>
    <s v="23600-98432-ME"/>
    <s v="L-M-0.2"/>
    <n v="2"/>
    <x v="215"/>
    <n v="0"/>
    <x v="55"/>
    <x v="0"/>
    <x v="3"/>
    <x v="0"/>
    <n v="0.2"/>
    <n v="4.3650000000000002"/>
    <x v="31"/>
    <x v="0"/>
  </r>
  <r>
    <s v="JLN-14700-924"/>
    <x v="199"/>
    <x v="6"/>
    <s v="June"/>
    <x v="3"/>
    <s v="79058-02767-CP"/>
    <s v="L-L-0.2"/>
    <n v="5"/>
    <x v="216"/>
    <s v="cgheraldi6g@opera.com"/>
    <x v="44"/>
    <x v="2"/>
    <x v="3"/>
    <x v="1"/>
    <n v="0.2"/>
    <n v="4.7549999999999999"/>
    <x v="29"/>
    <x v="0"/>
  </r>
  <r>
    <s v="JVW-22582-137"/>
    <x v="200"/>
    <x v="5"/>
    <s v="March"/>
    <x v="1"/>
    <s v="89208-74646-UK"/>
    <s v="E-M-0.2"/>
    <n v="5"/>
    <x v="217"/>
    <s v="bkenwell6h@over-blog.com"/>
    <x v="103"/>
    <x v="0"/>
    <x v="1"/>
    <x v="0"/>
    <n v="0.2"/>
    <n v="4.125"/>
    <x v="132"/>
    <x v="0"/>
  </r>
  <r>
    <s v="LAA-41879-001"/>
    <x v="201"/>
    <x v="0"/>
    <s v="February"/>
    <x v="2"/>
    <s v="11408-81032-UR"/>
    <s v="L-L-2.5"/>
    <n v="1"/>
    <x v="218"/>
    <s v="tsutty6i@google.es"/>
    <x v="15"/>
    <x v="0"/>
    <x v="3"/>
    <x v="1"/>
    <n v="2.5"/>
    <n v="36.454999999999998"/>
    <x v="133"/>
    <x v="0"/>
  </r>
  <r>
    <s v="BRV-64870-915"/>
    <x v="202"/>
    <x v="5"/>
    <s v="April"/>
    <x v="0"/>
    <s v="32070-55528-UG"/>
    <s v="L-L-2.5"/>
    <n v="5"/>
    <x v="219"/>
    <n v="0"/>
    <x v="157"/>
    <x v="1"/>
    <x v="3"/>
    <x v="1"/>
    <n v="2.5"/>
    <n v="36.454999999999998"/>
    <x v="134"/>
    <x v="2"/>
  </r>
  <r>
    <s v="RGJ-12544-083"/>
    <x v="203"/>
    <x v="1"/>
    <s v="February"/>
    <x v="3"/>
    <s v="48873-84433-PN"/>
    <s v="L-D-2.5"/>
    <n v="3"/>
    <x v="220"/>
    <s v="charce6k@cafepress.com"/>
    <x v="158"/>
    <x v="1"/>
    <x v="3"/>
    <x v="2"/>
    <n v="2.5"/>
    <n v="29.784999999999997"/>
    <x v="49"/>
    <x v="1"/>
  </r>
  <r>
    <s v="JJX-83339-346"/>
    <x v="204"/>
    <x v="6"/>
    <s v="January"/>
    <x v="2"/>
    <s v="32928-18158-OW"/>
    <s v="R-L-0.2"/>
    <n v="1"/>
    <x v="221"/>
    <n v="0"/>
    <x v="159"/>
    <x v="0"/>
    <x v="0"/>
    <x v="1"/>
    <n v="0.2"/>
    <n v="3.5849999999999995"/>
    <x v="60"/>
    <x v="0"/>
  </r>
  <r>
    <s v="BIU-21970-705"/>
    <x v="205"/>
    <x v="3"/>
    <s v="December"/>
    <x v="3"/>
    <s v="89711-56688-GG"/>
    <s v="R-M-2.5"/>
    <n v="2"/>
    <x v="222"/>
    <s v="fdrysdale6m@symantec.com"/>
    <x v="67"/>
    <x v="0"/>
    <x v="0"/>
    <x v="0"/>
    <n v="2.5"/>
    <n v="22.884999999999998"/>
    <x v="135"/>
    <x v="0"/>
  </r>
  <r>
    <s v="ELJ-87741-745"/>
    <x v="206"/>
    <x v="0"/>
    <s v="February"/>
    <x v="3"/>
    <s v="48389-71976-JB"/>
    <s v="E-L-1"/>
    <n v="4"/>
    <x v="223"/>
    <s v="dmagowan6n@fc2.com"/>
    <x v="160"/>
    <x v="0"/>
    <x v="1"/>
    <x v="1"/>
    <n v="1"/>
    <n v="14.85"/>
    <x v="48"/>
    <x v="1"/>
  </r>
  <r>
    <s v="SGI-48226-857"/>
    <x v="207"/>
    <x v="0"/>
    <s v="June"/>
    <x v="3"/>
    <s v="84033-80762-EQ"/>
    <s v="A-M-2.5"/>
    <n v="6"/>
    <x v="224"/>
    <n v="0"/>
    <x v="161"/>
    <x v="0"/>
    <x v="2"/>
    <x v="0"/>
    <n v="2.5"/>
    <n v="25.874999999999996"/>
    <x v="71"/>
    <x v="2"/>
  </r>
  <r>
    <s v="AHV-66988-037"/>
    <x v="208"/>
    <x v="5"/>
    <s v="September"/>
    <x v="3"/>
    <s v="12743-00952-KO"/>
    <s v="R-M-2.5"/>
    <n v="2"/>
    <x v="225"/>
    <n v="0"/>
    <x v="162"/>
    <x v="0"/>
    <x v="0"/>
    <x v="0"/>
    <n v="2.5"/>
    <n v="22.884999999999998"/>
    <x v="135"/>
    <x v="0"/>
  </r>
  <r>
    <s v="ISK-42066-094"/>
    <x v="209"/>
    <x v="4"/>
    <s v="March"/>
    <x v="3"/>
    <s v="41505-42181-EF"/>
    <s v="E-D-1"/>
    <n v="3"/>
    <x v="226"/>
    <s v="srushbrooke6q@youku.com"/>
    <x v="155"/>
    <x v="0"/>
    <x v="1"/>
    <x v="2"/>
    <n v="1"/>
    <n v="12.15"/>
    <x v="114"/>
    <x v="0"/>
  </r>
  <r>
    <s v="FTC-35822-530"/>
    <x v="210"/>
    <x v="4"/>
    <s v="October"/>
    <x v="3"/>
    <s v="14307-87663-KB"/>
    <s v="E-D-0.5"/>
    <n v="4"/>
    <x v="227"/>
    <s v="tdrynan6r@deviantart.com"/>
    <x v="47"/>
    <x v="0"/>
    <x v="1"/>
    <x v="2"/>
    <n v="0.5"/>
    <n v="7.29"/>
    <x v="104"/>
    <x v="0"/>
  </r>
  <r>
    <s v="VSS-56247-688"/>
    <x v="211"/>
    <x v="4"/>
    <s v="May"/>
    <x v="2"/>
    <s v="08360-19442-GB"/>
    <s v="L-M-2.5"/>
    <n v="4"/>
    <x v="228"/>
    <s v="eyurkov6s@hud.gov"/>
    <x v="103"/>
    <x v="0"/>
    <x v="3"/>
    <x v="0"/>
    <n v="2.5"/>
    <n v="33.464999999999996"/>
    <x v="136"/>
    <x v="2"/>
  </r>
  <r>
    <s v="HVW-25584-144"/>
    <x v="212"/>
    <x v="0"/>
    <s v="April"/>
    <x v="3"/>
    <s v="93405-51204-UW"/>
    <s v="L-L-0.2"/>
    <n v="5"/>
    <x v="229"/>
    <s v="lmallan6t@state.gov"/>
    <x v="163"/>
    <x v="0"/>
    <x v="3"/>
    <x v="1"/>
    <n v="0.2"/>
    <n v="4.7549999999999999"/>
    <x v="29"/>
    <x v="0"/>
  </r>
  <r>
    <s v="MUY-15309-209"/>
    <x v="213"/>
    <x v="6"/>
    <s v="December"/>
    <x v="1"/>
    <s v="97152-03355-IW"/>
    <s v="L-D-1"/>
    <n v="3"/>
    <x v="230"/>
    <s v="gbentjens6u@netlog.com"/>
    <x v="164"/>
    <x v="2"/>
    <x v="3"/>
    <x v="2"/>
    <n v="1"/>
    <n v="12.95"/>
    <x v="5"/>
    <x v="0"/>
  </r>
  <r>
    <s v="VAJ-44572-469"/>
    <x v="63"/>
    <x v="5"/>
    <s v="October"/>
    <x v="3"/>
    <s v="79216-73157-TE"/>
    <s v="R-L-0.2"/>
    <n v="6"/>
    <x v="231"/>
    <n v="0"/>
    <x v="165"/>
    <x v="1"/>
    <x v="0"/>
    <x v="1"/>
    <n v="0.2"/>
    <n v="3.5849999999999995"/>
    <x v="137"/>
    <x v="0"/>
  </r>
  <r>
    <s v="YJU-84377-606"/>
    <x v="214"/>
    <x v="5"/>
    <s v="July"/>
    <x v="3"/>
    <s v="20259-47723-AC"/>
    <s v="A-D-1"/>
    <n v="1"/>
    <x v="232"/>
    <s v="lentwistle6w@omniture.com"/>
    <x v="30"/>
    <x v="0"/>
    <x v="2"/>
    <x v="2"/>
    <n v="1"/>
    <n v="9.9499999999999993"/>
    <x v="138"/>
    <x v="0"/>
  </r>
  <r>
    <s v="VNC-93921-469"/>
    <x v="215"/>
    <x v="2"/>
    <s v="January"/>
    <x v="3"/>
    <s v="04666-71569-RI"/>
    <s v="L-L-1"/>
    <n v="1"/>
    <x v="233"/>
    <s v="zkiffe74@cyberchimps.com"/>
    <x v="166"/>
    <x v="0"/>
    <x v="3"/>
    <x v="1"/>
    <n v="1"/>
    <n v="15.85"/>
    <x v="80"/>
    <x v="0"/>
  </r>
  <r>
    <s v="OGB-91614-810"/>
    <x v="216"/>
    <x v="5"/>
    <s v="February"/>
    <x v="3"/>
    <s v="08909-77713-CG"/>
    <s v="R-M-0.2"/>
    <n v="1"/>
    <x v="234"/>
    <s v="macott6y@pagesperso-orange.fr"/>
    <x v="63"/>
    <x v="0"/>
    <x v="0"/>
    <x v="0"/>
    <n v="0.2"/>
    <n v="2.9849999999999999"/>
    <x v="55"/>
    <x v="0"/>
  </r>
  <r>
    <s v="BQI-61647-496"/>
    <x v="217"/>
    <x v="6"/>
    <s v="June"/>
    <x v="1"/>
    <s v="84340-73931-VV"/>
    <s v="E-M-1"/>
    <n v="5"/>
    <x v="235"/>
    <s v="cheaviside6z@rediff.com"/>
    <x v="167"/>
    <x v="0"/>
    <x v="1"/>
    <x v="0"/>
    <n v="1"/>
    <n v="13.75"/>
    <x v="85"/>
    <x v="1"/>
  </r>
  <r>
    <s v="IOM-51636-823"/>
    <x v="218"/>
    <x v="4"/>
    <s v="August"/>
    <x v="2"/>
    <s v="04609-95151-XH"/>
    <s v="A-D-1"/>
    <n v="3"/>
    <x v="236"/>
    <n v="0"/>
    <x v="168"/>
    <x v="0"/>
    <x v="2"/>
    <x v="2"/>
    <n v="1"/>
    <n v="9.9499999999999993"/>
    <x v="44"/>
    <x v="0"/>
  </r>
  <r>
    <s v="GGD-38107-641"/>
    <x v="219"/>
    <x v="5"/>
    <s v="November"/>
    <x v="1"/>
    <s v="99562-88650-YF"/>
    <s v="L-M-1"/>
    <n v="4"/>
    <x v="237"/>
    <s v="lkernan71@wsj.com"/>
    <x v="169"/>
    <x v="0"/>
    <x v="3"/>
    <x v="0"/>
    <n v="1"/>
    <n v="14.55"/>
    <x v="125"/>
    <x v="1"/>
  </r>
  <r>
    <s v="LTO-95975-728"/>
    <x v="220"/>
    <x v="1"/>
    <s v="October"/>
    <x v="1"/>
    <s v="46560-73885-PJ"/>
    <s v="R-L-0.5"/>
    <n v="4"/>
    <x v="238"/>
    <s v="rmclae72@dailymotion.com"/>
    <x v="170"/>
    <x v="2"/>
    <x v="0"/>
    <x v="1"/>
    <n v="0.5"/>
    <n v="7.169999999999999"/>
    <x v="139"/>
    <x v="0"/>
  </r>
  <r>
    <s v="IGM-84664-265"/>
    <x v="114"/>
    <x v="5"/>
    <s v="August"/>
    <x v="1"/>
    <s v="80179-44620-WN"/>
    <s v="R-L-0.5"/>
    <n v="3"/>
    <x v="239"/>
    <s v="cblowfelde73@ustream.tv"/>
    <x v="31"/>
    <x v="0"/>
    <x v="0"/>
    <x v="1"/>
    <n v="0.5"/>
    <n v="7.169999999999999"/>
    <x v="137"/>
    <x v="0"/>
  </r>
  <r>
    <s v="SKO-45740-621"/>
    <x v="221"/>
    <x v="0"/>
    <s v="January"/>
    <x v="3"/>
    <s v="04666-71569-RI"/>
    <s v="L-M-0.5"/>
    <n v="2"/>
    <x v="233"/>
    <s v="zkiffe74@cyberchimps.com"/>
    <x v="166"/>
    <x v="0"/>
    <x v="3"/>
    <x v="0"/>
    <n v="0.5"/>
    <n v="8.73"/>
    <x v="92"/>
    <x v="0"/>
  </r>
  <r>
    <s v="FOJ-02234-063"/>
    <x v="222"/>
    <x v="3"/>
    <s v="April"/>
    <x v="2"/>
    <s v="59081-87231-VP"/>
    <s v="E-D-2.5"/>
    <n v="1"/>
    <x v="240"/>
    <s v="docalleran75@ucla.edu"/>
    <x v="171"/>
    <x v="0"/>
    <x v="1"/>
    <x v="2"/>
    <n v="2.5"/>
    <n v="27.945"/>
    <x v="140"/>
    <x v="0"/>
  </r>
  <r>
    <s v="MSJ-11909-468"/>
    <x v="188"/>
    <x v="4"/>
    <s v="November"/>
    <x v="1"/>
    <s v="07878-45872-CC"/>
    <s v="E-D-2.5"/>
    <n v="5"/>
    <x v="241"/>
    <s v="ccromwell76@desdev.cn"/>
    <x v="127"/>
    <x v="0"/>
    <x v="1"/>
    <x v="2"/>
    <n v="2.5"/>
    <n v="27.945"/>
    <x v="141"/>
    <x v="2"/>
  </r>
  <r>
    <s v="DKB-78053-329"/>
    <x v="223"/>
    <x v="5"/>
    <s v="June"/>
    <x v="1"/>
    <s v="12444-05174-OO"/>
    <s v="R-M-0.2"/>
    <n v="2"/>
    <x v="242"/>
    <s v="ihay77@lulu.com"/>
    <x v="172"/>
    <x v="2"/>
    <x v="0"/>
    <x v="0"/>
    <n v="0.2"/>
    <n v="2.9849999999999999"/>
    <x v="9"/>
    <x v="0"/>
  </r>
  <r>
    <s v="DFZ-45083-941"/>
    <x v="224"/>
    <x v="4"/>
    <s v="November"/>
    <x v="3"/>
    <s v="34665-62561-AU"/>
    <s v="R-L-2.5"/>
    <n v="1"/>
    <x v="243"/>
    <s v="ttaffarello78@sciencedaily.com"/>
    <x v="10"/>
    <x v="0"/>
    <x v="0"/>
    <x v="1"/>
    <n v="2.5"/>
    <n v="27.484999999999996"/>
    <x v="142"/>
    <x v="0"/>
  </r>
  <r>
    <s v="OTA-40969-710"/>
    <x v="83"/>
    <x v="0"/>
    <s v="March"/>
    <x v="0"/>
    <s v="77877-11993-QH"/>
    <s v="R-L-1"/>
    <n v="5"/>
    <x v="244"/>
    <s v="mcanty79@jigsy.com"/>
    <x v="173"/>
    <x v="0"/>
    <x v="0"/>
    <x v="1"/>
    <n v="1"/>
    <n v="11.95"/>
    <x v="143"/>
    <x v="1"/>
  </r>
  <r>
    <s v="GRH-45571-667"/>
    <x v="104"/>
    <x v="2"/>
    <s v="August"/>
    <x v="0"/>
    <s v="32291-18308-YZ"/>
    <s v="E-M-1"/>
    <n v="3"/>
    <x v="245"/>
    <s v="jkopke7a@auda.org.au"/>
    <x v="174"/>
    <x v="0"/>
    <x v="1"/>
    <x v="0"/>
    <n v="1"/>
    <n v="13.75"/>
    <x v="1"/>
    <x v="0"/>
  </r>
  <r>
    <s v="NXV-05302-067"/>
    <x v="225"/>
    <x v="3"/>
    <s v="April"/>
    <x v="0"/>
    <s v="25754-33191-ZI"/>
    <s v="L-M-2.5"/>
    <n v="4"/>
    <x v="246"/>
    <n v="0"/>
    <x v="8"/>
    <x v="0"/>
    <x v="3"/>
    <x v="0"/>
    <n v="2.5"/>
    <n v="33.464999999999996"/>
    <x v="136"/>
    <x v="2"/>
  </r>
  <r>
    <s v="VZH-86274-142"/>
    <x v="226"/>
    <x v="3"/>
    <s v="May"/>
    <x v="2"/>
    <s v="53120-45532-KL"/>
    <s v="R-L-1"/>
    <n v="5"/>
    <x v="247"/>
    <n v="0"/>
    <x v="175"/>
    <x v="1"/>
    <x v="0"/>
    <x v="1"/>
    <n v="1"/>
    <n v="11.95"/>
    <x v="143"/>
    <x v="1"/>
  </r>
  <r>
    <s v="KIX-93248-135"/>
    <x v="227"/>
    <x v="5"/>
    <s v="February"/>
    <x v="3"/>
    <s v="36605-83052-WB"/>
    <s v="A-D-0.5"/>
    <n v="1"/>
    <x v="248"/>
    <s v="vhellmore7d@bbc.co.uk"/>
    <x v="28"/>
    <x v="0"/>
    <x v="2"/>
    <x v="2"/>
    <n v="0.5"/>
    <n v="5.97"/>
    <x v="9"/>
    <x v="0"/>
  </r>
  <r>
    <s v="AXR-10962-010"/>
    <x v="180"/>
    <x v="6"/>
    <s v="March"/>
    <x v="1"/>
    <s v="53683-35977-KI"/>
    <s v="E-D-1"/>
    <n v="2"/>
    <x v="249"/>
    <s v="mseawright7e@nbcnews.com"/>
    <x v="176"/>
    <x v="2"/>
    <x v="1"/>
    <x v="2"/>
    <n v="1"/>
    <n v="12.15"/>
    <x v="76"/>
    <x v="0"/>
  </r>
  <r>
    <s v="IHS-71573-008"/>
    <x v="228"/>
    <x v="4"/>
    <s v="May"/>
    <x v="1"/>
    <s v="07972-83134-NM"/>
    <s v="E-D-0.2"/>
    <n v="6"/>
    <x v="250"/>
    <s v="snortheast7f@mashable.com"/>
    <x v="125"/>
    <x v="0"/>
    <x v="1"/>
    <x v="2"/>
    <n v="0.2"/>
    <n v="3.645"/>
    <x v="6"/>
    <x v="0"/>
  </r>
  <r>
    <s v="QTR-19001-114"/>
    <x v="229"/>
    <x v="0"/>
    <s v="November"/>
    <x v="0"/>
    <s v="01035-70465-UO"/>
    <s v="A-D-1"/>
    <n v="2"/>
    <x v="195"/>
    <s v="aattwater5u@wikia.com"/>
    <x v="131"/>
    <x v="0"/>
    <x v="2"/>
    <x v="2"/>
    <n v="1"/>
    <n v="9.9499999999999993"/>
    <x v="0"/>
    <x v="0"/>
  </r>
  <r>
    <s v="WBK-62297-910"/>
    <x v="230"/>
    <x v="3"/>
    <s v="May"/>
    <x v="1"/>
    <s v="25514-23938-IQ"/>
    <s v="A-D-0.2"/>
    <n v="2"/>
    <x v="251"/>
    <s v="mfearon7h@reverbnation.com"/>
    <x v="177"/>
    <x v="0"/>
    <x v="2"/>
    <x v="2"/>
    <n v="0.2"/>
    <n v="2.9849999999999999"/>
    <x v="9"/>
    <x v="0"/>
  </r>
  <r>
    <s v="OGY-19377-175"/>
    <x v="231"/>
    <x v="5"/>
    <s v="July"/>
    <x v="0"/>
    <s v="49084-44492-OJ"/>
    <s v="E-D-0.5"/>
    <n v="1"/>
    <x v="252"/>
    <n v="0"/>
    <x v="178"/>
    <x v="1"/>
    <x v="1"/>
    <x v="2"/>
    <n v="0.5"/>
    <n v="7.29"/>
    <x v="35"/>
    <x v="0"/>
  </r>
  <r>
    <s v="ESR-66651-814"/>
    <x v="80"/>
    <x v="1"/>
    <s v="May"/>
    <x v="3"/>
    <s v="76624-72205-CK"/>
    <s v="A-D-0.2"/>
    <n v="4"/>
    <x v="253"/>
    <s v="jsisneros7j@a8.net"/>
    <x v="179"/>
    <x v="0"/>
    <x v="2"/>
    <x v="2"/>
    <n v="0.2"/>
    <n v="2.9849999999999999"/>
    <x v="22"/>
    <x v="0"/>
  </r>
  <r>
    <s v="CPX-46916-770"/>
    <x v="232"/>
    <x v="2"/>
    <s v="August"/>
    <x v="1"/>
    <s v="12729-50170-JE"/>
    <s v="R-L-1"/>
    <n v="6"/>
    <x v="254"/>
    <s v="zcarlson7k@bigcartel.com"/>
    <x v="180"/>
    <x v="1"/>
    <x v="0"/>
    <x v="1"/>
    <n v="1"/>
    <n v="11.95"/>
    <x v="144"/>
    <x v="1"/>
  </r>
  <r>
    <s v="MDC-03318-645"/>
    <x v="233"/>
    <x v="4"/>
    <s v="April"/>
    <x v="2"/>
    <s v="43974-44760-QI"/>
    <s v="A-L-0.2"/>
    <n v="2"/>
    <x v="255"/>
    <s v="wmaddox7l@timesonline.co.uk"/>
    <x v="15"/>
    <x v="0"/>
    <x v="2"/>
    <x v="1"/>
    <n v="0.2"/>
    <n v="3.8849999999999998"/>
    <x v="41"/>
    <x v="0"/>
  </r>
  <r>
    <s v="SFF-86059-407"/>
    <x v="234"/>
    <x v="1"/>
    <s v="June"/>
    <x v="3"/>
    <s v="30585-48726-BK"/>
    <s v="A-M-2.5"/>
    <n v="1"/>
    <x v="256"/>
    <s v="dhedlestone7m@craigslist.org"/>
    <x v="94"/>
    <x v="0"/>
    <x v="2"/>
    <x v="0"/>
    <n v="2.5"/>
    <n v="25.874999999999996"/>
    <x v="145"/>
    <x v="0"/>
  </r>
  <r>
    <s v="SCL-94540-788"/>
    <x v="235"/>
    <x v="3"/>
    <s v="June"/>
    <x v="2"/>
    <s v="16123-07017-TY"/>
    <s v="E-L-2.5"/>
    <n v="6"/>
    <x v="257"/>
    <s v="tcrowthe7n@europa.eu"/>
    <x v="45"/>
    <x v="0"/>
    <x v="1"/>
    <x v="1"/>
    <n v="2.5"/>
    <n v="34.154999999999994"/>
    <x v="106"/>
    <x v="2"/>
  </r>
  <r>
    <s v="HVU-21634-076"/>
    <x v="236"/>
    <x v="1"/>
    <s v="June"/>
    <x v="3"/>
    <s v="27723-45097-MH"/>
    <s v="R-L-2.5"/>
    <n v="4"/>
    <x v="258"/>
    <s v="dbury7o@tinyurl.com"/>
    <x v="181"/>
    <x v="1"/>
    <x v="0"/>
    <x v="1"/>
    <n v="2.5"/>
    <n v="27.484999999999996"/>
    <x v="108"/>
    <x v="2"/>
  </r>
  <r>
    <s v="XUS-73326-418"/>
    <x v="237"/>
    <x v="2"/>
    <s v="December"/>
    <x v="3"/>
    <s v="37078-56703-AF"/>
    <s v="E-L-1"/>
    <n v="6"/>
    <x v="259"/>
    <s v="gbroadbear7p@omniture.com"/>
    <x v="182"/>
    <x v="0"/>
    <x v="1"/>
    <x v="1"/>
    <n v="1"/>
    <n v="14.85"/>
    <x v="146"/>
    <x v="1"/>
  </r>
  <r>
    <s v="XWD-18933-006"/>
    <x v="238"/>
    <x v="4"/>
    <s v="August"/>
    <x v="0"/>
    <s v="79420-11075-MY"/>
    <s v="A-L-0.2"/>
    <n v="2"/>
    <x v="260"/>
    <s v="epalfrey7q@devhub.com"/>
    <x v="51"/>
    <x v="0"/>
    <x v="2"/>
    <x v="1"/>
    <n v="0.2"/>
    <n v="3.8849999999999998"/>
    <x v="41"/>
    <x v="0"/>
  </r>
  <r>
    <s v="HPD-65272-772"/>
    <x v="52"/>
    <x v="3"/>
    <s v="February"/>
    <x v="0"/>
    <s v="57504-13456-UO"/>
    <s v="L-M-2.5"/>
    <n v="1"/>
    <x v="261"/>
    <s v="pmetrick7r@rakuten.co.jp"/>
    <x v="10"/>
    <x v="0"/>
    <x v="3"/>
    <x v="0"/>
    <n v="2.5"/>
    <n v="33.464999999999996"/>
    <x v="116"/>
    <x v="0"/>
  </r>
  <r>
    <s v="JEG-93140-224"/>
    <x v="146"/>
    <x v="6"/>
    <s v="February"/>
    <x v="1"/>
    <s v="53751-57560-CN"/>
    <s v="E-M-0.5"/>
    <n v="5"/>
    <x v="262"/>
    <n v="0"/>
    <x v="12"/>
    <x v="0"/>
    <x v="1"/>
    <x v="0"/>
    <n v="0.5"/>
    <n v="8.25"/>
    <x v="1"/>
    <x v="0"/>
  </r>
  <r>
    <s v="NNH-62058-950"/>
    <x v="239"/>
    <x v="0"/>
    <s v="January"/>
    <x v="1"/>
    <s v="96112-42558-EA"/>
    <s v="E-L-1"/>
    <n v="4"/>
    <x v="263"/>
    <s v="kkarby7t@sbwire.com"/>
    <x v="183"/>
    <x v="0"/>
    <x v="1"/>
    <x v="1"/>
    <n v="1"/>
    <n v="14.85"/>
    <x v="48"/>
    <x v="1"/>
  </r>
  <r>
    <s v="LTD-71429-845"/>
    <x v="240"/>
    <x v="6"/>
    <s v="February"/>
    <x v="0"/>
    <s v="03157-23165-UB"/>
    <s v="A-L-0.5"/>
    <n v="1"/>
    <x v="264"/>
    <s v="fcrumpe7u@ftc.gov"/>
    <x v="184"/>
    <x v="2"/>
    <x v="2"/>
    <x v="1"/>
    <n v="0.5"/>
    <n v="7.77"/>
    <x v="41"/>
    <x v="0"/>
  </r>
  <r>
    <s v="MPV-26985-215"/>
    <x v="241"/>
    <x v="6"/>
    <s v="June"/>
    <x v="0"/>
    <s v="51466-52850-AG"/>
    <s v="R-D-0.5"/>
    <n v="1"/>
    <x v="265"/>
    <s v="achatto7v@sakura.ne.jp"/>
    <x v="172"/>
    <x v="2"/>
    <x v="0"/>
    <x v="2"/>
    <n v="0.5"/>
    <n v="5.3699999999999992"/>
    <x v="147"/>
    <x v="0"/>
  </r>
  <r>
    <s v="IYO-10245-081"/>
    <x v="242"/>
    <x v="4"/>
    <s v="May"/>
    <x v="3"/>
    <s v="57145-31023-FK"/>
    <s v="E-M-2.5"/>
    <n v="3"/>
    <x v="266"/>
    <n v="0"/>
    <x v="185"/>
    <x v="0"/>
    <x v="1"/>
    <x v="0"/>
    <n v="2.5"/>
    <n v="31.624999999999996"/>
    <x v="88"/>
    <x v="1"/>
  </r>
  <r>
    <s v="BYZ-39669-954"/>
    <x v="243"/>
    <x v="4"/>
    <s v="July"/>
    <x v="3"/>
    <s v="66408-53777-VE"/>
    <s v="L-L-2.5"/>
    <n v="1"/>
    <x v="267"/>
    <n v="0"/>
    <x v="73"/>
    <x v="0"/>
    <x v="3"/>
    <x v="1"/>
    <n v="2.5"/>
    <n v="36.454999999999998"/>
    <x v="133"/>
    <x v="0"/>
  </r>
  <r>
    <s v="EFB-72860-209"/>
    <x v="244"/>
    <x v="0"/>
    <s v="October"/>
    <x v="0"/>
    <s v="53035-99701-WG"/>
    <s v="A-M-0.2"/>
    <n v="4"/>
    <x v="268"/>
    <s v="bmergue7y@umn.edu"/>
    <x v="186"/>
    <x v="0"/>
    <x v="2"/>
    <x v="0"/>
    <n v="0.2"/>
    <n v="3.375"/>
    <x v="72"/>
    <x v="0"/>
  </r>
  <r>
    <s v="GMM-72397-378"/>
    <x v="245"/>
    <x v="3"/>
    <s v="May"/>
    <x v="2"/>
    <s v="45899-92796-EI"/>
    <s v="R-L-0.2"/>
    <n v="4"/>
    <x v="269"/>
    <s v="kpatise7z@jigsy.com"/>
    <x v="35"/>
    <x v="0"/>
    <x v="0"/>
    <x v="1"/>
    <n v="0.2"/>
    <n v="3.5849999999999995"/>
    <x v="79"/>
    <x v="0"/>
  </r>
  <r>
    <s v="LYP-52345-883"/>
    <x v="246"/>
    <x v="1"/>
    <s v="March"/>
    <x v="1"/>
    <s v="17649-28133-PY"/>
    <s v="E-M-0.5"/>
    <n v="1"/>
    <x v="270"/>
    <n v="0"/>
    <x v="187"/>
    <x v="1"/>
    <x v="1"/>
    <x v="0"/>
    <n v="0.5"/>
    <n v="8.25"/>
    <x v="112"/>
    <x v="0"/>
  </r>
  <r>
    <s v="DFK-35846-692"/>
    <x v="247"/>
    <x v="6"/>
    <s v="November"/>
    <x v="0"/>
    <s v="49612-33852-CN"/>
    <s v="R-D-0.2"/>
    <n v="5"/>
    <x v="271"/>
    <n v="0"/>
    <x v="188"/>
    <x v="0"/>
    <x v="0"/>
    <x v="2"/>
    <n v="0.2"/>
    <n v="2.6849999999999996"/>
    <x v="148"/>
    <x v="0"/>
  </r>
  <r>
    <s v="XAH-93337-609"/>
    <x v="248"/>
    <x v="0"/>
    <s v="October"/>
    <x v="1"/>
    <s v="66976-43829-YG"/>
    <s v="A-D-1"/>
    <n v="5"/>
    <x v="272"/>
    <s v="dduke82@vkontakte.ru"/>
    <x v="6"/>
    <x v="0"/>
    <x v="2"/>
    <x v="2"/>
    <n v="1"/>
    <n v="9.9499999999999993"/>
    <x v="12"/>
    <x v="0"/>
  </r>
  <r>
    <s v="QKA-72582-644"/>
    <x v="249"/>
    <x v="1"/>
    <s v="December"/>
    <x v="3"/>
    <s v="64852-04619-XZ"/>
    <s v="E-M-0.5"/>
    <n v="2"/>
    <x v="273"/>
    <n v="0"/>
    <x v="96"/>
    <x v="1"/>
    <x v="1"/>
    <x v="0"/>
    <n v="0.5"/>
    <n v="8.25"/>
    <x v="38"/>
    <x v="0"/>
  </r>
  <r>
    <s v="ZDK-84567-102"/>
    <x v="250"/>
    <x v="3"/>
    <s v="November"/>
    <x v="1"/>
    <s v="58690-31815-VY"/>
    <s v="A-D-0.5"/>
    <n v="3"/>
    <x v="274"/>
    <s v="ihussey84@mapy.cz"/>
    <x v="38"/>
    <x v="0"/>
    <x v="2"/>
    <x v="2"/>
    <n v="0.5"/>
    <n v="5.97"/>
    <x v="8"/>
    <x v="0"/>
  </r>
  <r>
    <s v="WAV-38301-984"/>
    <x v="251"/>
    <x v="4"/>
    <s v="March"/>
    <x v="1"/>
    <s v="62863-81239-DT"/>
    <s v="A-D-0.5"/>
    <n v="5"/>
    <x v="275"/>
    <s v="cpinkerton85@upenn.edu"/>
    <x v="117"/>
    <x v="0"/>
    <x v="2"/>
    <x v="2"/>
    <n v="0.5"/>
    <n v="5.97"/>
    <x v="44"/>
    <x v="0"/>
  </r>
  <r>
    <s v="KZR-33023-209"/>
    <x v="177"/>
    <x v="2"/>
    <s v="April"/>
    <x v="2"/>
    <s v="21177-40725-CF"/>
    <s v="E-L-1"/>
    <n v="3"/>
    <x v="276"/>
    <n v="0"/>
    <x v="189"/>
    <x v="0"/>
    <x v="1"/>
    <x v="1"/>
    <n v="1"/>
    <n v="14.85"/>
    <x v="69"/>
    <x v="0"/>
  </r>
  <r>
    <s v="ULM-49433-003"/>
    <x v="252"/>
    <x v="2"/>
    <s v="August"/>
    <x v="3"/>
    <s v="99421-80253-UI"/>
    <s v="E-M-1"/>
    <n v="2"/>
    <x v="277"/>
    <n v="0"/>
    <x v="140"/>
    <x v="0"/>
    <x v="1"/>
    <x v="0"/>
    <n v="1"/>
    <n v="13.75"/>
    <x v="3"/>
    <x v="0"/>
  </r>
  <r>
    <s v="SIB-83254-136"/>
    <x v="253"/>
    <x v="6"/>
    <s v="May"/>
    <x v="0"/>
    <s v="45315-50206-DK"/>
    <s v="R-M-0.5"/>
    <n v="6"/>
    <x v="278"/>
    <s v="dvizor88@furl.net"/>
    <x v="53"/>
    <x v="0"/>
    <x v="0"/>
    <x v="0"/>
    <n v="0.5"/>
    <n v="5.97"/>
    <x v="27"/>
    <x v="0"/>
  </r>
  <r>
    <s v="NOK-50349-551"/>
    <x v="254"/>
    <x v="1"/>
    <s v="March"/>
    <x v="1"/>
    <s v="09595-95726-OV"/>
    <s v="R-D-0.5"/>
    <n v="3"/>
    <x v="279"/>
    <s v="esedgebeer89@oaic.gov.au"/>
    <x v="190"/>
    <x v="0"/>
    <x v="0"/>
    <x v="2"/>
    <n v="0.5"/>
    <n v="5.3699999999999992"/>
    <x v="103"/>
    <x v="0"/>
  </r>
  <r>
    <s v="YIS-96268-844"/>
    <x v="227"/>
    <x v="5"/>
    <s v="February"/>
    <x v="3"/>
    <s v="60221-67036-TD"/>
    <s v="E-L-0.2"/>
    <n v="6"/>
    <x v="280"/>
    <s v="klestrange8a@lulu.com"/>
    <x v="161"/>
    <x v="0"/>
    <x v="1"/>
    <x v="1"/>
    <n v="0.2"/>
    <n v="4.4550000000000001"/>
    <x v="149"/>
    <x v="0"/>
  </r>
  <r>
    <s v="CXI-04933-855"/>
    <x v="110"/>
    <x v="4"/>
    <s v="April"/>
    <x v="0"/>
    <s v="62923-29397-KX"/>
    <s v="E-L-2.5"/>
    <n v="6"/>
    <x v="281"/>
    <s v="ltanti8b@techcrunch.com"/>
    <x v="191"/>
    <x v="0"/>
    <x v="1"/>
    <x v="1"/>
    <n v="2.5"/>
    <n v="34.154999999999994"/>
    <x v="106"/>
    <x v="2"/>
  </r>
  <r>
    <s v="IZU-90429-382"/>
    <x v="182"/>
    <x v="4"/>
    <s v="March"/>
    <x v="2"/>
    <s v="33011-52383-BA"/>
    <s v="A-L-1"/>
    <n v="3"/>
    <x v="282"/>
    <s v="ade8c@1und1.de"/>
    <x v="103"/>
    <x v="0"/>
    <x v="2"/>
    <x v="1"/>
    <n v="1"/>
    <n v="12.95"/>
    <x v="5"/>
    <x v="0"/>
  </r>
  <r>
    <s v="WIT-40912-783"/>
    <x v="255"/>
    <x v="3"/>
    <s v="September"/>
    <x v="3"/>
    <s v="86768-91598-FA"/>
    <s v="L-D-0.2"/>
    <n v="4"/>
    <x v="283"/>
    <s v="tjedrachowicz8d@acquirethisname.com"/>
    <x v="79"/>
    <x v="0"/>
    <x v="3"/>
    <x v="2"/>
    <n v="0.2"/>
    <n v="3.8849999999999998"/>
    <x v="42"/>
    <x v="0"/>
  </r>
  <r>
    <s v="PSD-57291-590"/>
    <x v="256"/>
    <x v="0"/>
    <s v="October"/>
    <x v="0"/>
    <s v="37191-12203-MX"/>
    <s v="A-M-0.5"/>
    <n v="1"/>
    <x v="284"/>
    <s v="pstonner8e@moonfruit.com"/>
    <x v="192"/>
    <x v="0"/>
    <x v="2"/>
    <x v="0"/>
    <n v="0.5"/>
    <n v="6.75"/>
    <x v="52"/>
    <x v="0"/>
  </r>
  <r>
    <s v="GOI-41472-677"/>
    <x v="3"/>
    <x v="1"/>
    <s v="August"/>
    <x v="1"/>
    <s v="16545-76328-JY"/>
    <s v="E-D-2.5"/>
    <n v="4"/>
    <x v="285"/>
    <s v="dtingly8f@goo.ne.jp"/>
    <x v="193"/>
    <x v="0"/>
    <x v="1"/>
    <x v="2"/>
    <n v="2.5"/>
    <n v="27.945"/>
    <x v="150"/>
    <x v="2"/>
  </r>
  <r>
    <s v="KTX-17944-494"/>
    <x v="257"/>
    <x v="6"/>
    <s v="December"/>
    <x v="0"/>
    <s v="74330-29286-RO"/>
    <s v="A-L-0.2"/>
    <n v="1"/>
    <x v="286"/>
    <s v="crushe8n@about.me"/>
    <x v="63"/>
    <x v="0"/>
    <x v="2"/>
    <x v="1"/>
    <n v="0.2"/>
    <n v="3.8849999999999998"/>
    <x v="84"/>
    <x v="0"/>
  </r>
  <r>
    <s v="RDM-99811-230"/>
    <x v="258"/>
    <x v="1"/>
    <s v="November"/>
    <x v="0"/>
    <s v="22349-47389-GY"/>
    <s v="L-M-0.2"/>
    <n v="5"/>
    <x v="287"/>
    <s v="bchecci8h@usa.gov"/>
    <x v="194"/>
    <x v="2"/>
    <x v="3"/>
    <x v="0"/>
    <n v="0.2"/>
    <n v="4.3650000000000002"/>
    <x v="26"/>
    <x v="0"/>
  </r>
  <r>
    <s v="JTU-55897-581"/>
    <x v="259"/>
    <x v="4"/>
    <s v="February"/>
    <x v="3"/>
    <s v="70290-38099-GB"/>
    <s v="R-M-0.2"/>
    <n v="5"/>
    <x v="288"/>
    <s v="jbagot8i@mac.com"/>
    <x v="195"/>
    <x v="0"/>
    <x v="0"/>
    <x v="0"/>
    <n v="0.2"/>
    <n v="2.9849999999999999"/>
    <x v="128"/>
    <x v="0"/>
  </r>
  <r>
    <s v="CRK-07584-240"/>
    <x v="260"/>
    <x v="6"/>
    <s v="January"/>
    <x v="1"/>
    <s v="18741-72071-PP"/>
    <s v="A-M-1"/>
    <n v="3"/>
    <x v="289"/>
    <s v="ebeeble8j@soundcloud.com"/>
    <x v="159"/>
    <x v="0"/>
    <x v="2"/>
    <x v="0"/>
    <n v="1"/>
    <n v="11.25"/>
    <x v="65"/>
    <x v="0"/>
  </r>
  <r>
    <s v="MKE-75518-399"/>
    <x v="261"/>
    <x v="2"/>
    <s v="June"/>
    <x v="2"/>
    <s v="62588-82624-II"/>
    <s v="A-M-1"/>
    <n v="3"/>
    <x v="290"/>
    <s v="cfluin8k@flickr.com"/>
    <x v="172"/>
    <x v="2"/>
    <x v="2"/>
    <x v="0"/>
    <n v="1"/>
    <n v="11.25"/>
    <x v="65"/>
    <x v="0"/>
  </r>
  <r>
    <s v="AEL-51169-725"/>
    <x v="262"/>
    <x v="3"/>
    <s v="February"/>
    <x v="3"/>
    <s v="37430-29579-HD"/>
    <s v="L-M-0.2"/>
    <n v="6"/>
    <x v="291"/>
    <s v="ebletsor8l@vinaora.com"/>
    <x v="196"/>
    <x v="0"/>
    <x v="3"/>
    <x v="0"/>
    <n v="0.2"/>
    <n v="4.3650000000000002"/>
    <x v="50"/>
    <x v="0"/>
  </r>
  <r>
    <s v="ZGM-83108-823"/>
    <x v="263"/>
    <x v="5"/>
    <s v="January"/>
    <x v="2"/>
    <s v="84132-22322-QT"/>
    <s v="E-L-1"/>
    <n v="1"/>
    <x v="292"/>
    <s v="pbrydell8m@bloglovin.com"/>
    <x v="65"/>
    <x v="1"/>
    <x v="1"/>
    <x v="1"/>
    <n v="1"/>
    <n v="14.85"/>
    <x v="151"/>
    <x v="0"/>
  </r>
  <r>
    <s v="JBP-78754-392"/>
    <x v="212"/>
    <x v="0"/>
    <s v="April"/>
    <x v="3"/>
    <s v="74330-29286-RO"/>
    <s v="E-M-2.5"/>
    <n v="6"/>
    <x v="286"/>
    <s v="crushe8n@about.me"/>
    <x v="63"/>
    <x v="0"/>
    <x v="1"/>
    <x v="0"/>
    <n v="2.5"/>
    <n v="31.624999999999996"/>
    <x v="152"/>
    <x v="2"/>
  </r>
  <r>
    <s v="RNH-54912-747"/>
    <x v="187"/>
    <x v="4"/>
    <s v="May"/>
    <x v="1"/>
    <s v="37445-17791-NQ"/>
    <s v="R-M-0.5"/>
    <n v="1"/>
    <x v="293"/>
    <s v="nleethem8o@mac.com"/>
    <x v="117"/>
    <x v="0"/>
    <x v="0"/>
    <x v="0"/>
    <n v="0.5"/>
    <n v="5.97"/>
    <x v="9"/>
    <x v="0"/>
  </r>
  <r>
    <s v="JDS-33440-914"/>
    <x v="248"/>
    <x v="0"/>
    <s v="October"/>
    <x v="1"/>
    <s v="58511-10548-ZU"/>
    <s v="R-M-1"/>
    <n v="3"/>
    <x v="294"/>
    <s v="anesfield8p@people.com.cn"/>
    <x v="197"/>
    <x v="2"/>
    <x v="0"/>
    <x v="0"/>
    <n v="1"/>
    <n v="9.9499999999999993"/>
    <x v="44"/>
    <x v="0"/>
  </r>
  <r>
    <s v="SYX-48878-182"/>
    <x v="264"/>
    <x v="6"/>
    <s v="August"/>
    <x v="1"/>
    <s v="47725-34771-FJ"/>
    <s v="R-D-1"/>
    <n v="5"/>
    <x v="295"/>
    <n v="0"/>
    <x v="198"/>
    <x v="0"/>
    <x v="0"/>
    <x v="2"/>
    <n v="1"/>
    <n v="8.9499999999999993"/>
    <x v="153"/>
    <x v="0"/>
  </r>
  <r>
    <s v="ZGD-94763-868"/>
    <x v="265"/>
    <x v="2"/>
    <s v="December"/>
    <x v="0"/>
    <s v="53086-67334-KT"/>
    <s v="E-L-2.5"/>
    <n v="1"/>
    <x v="296"/>
    <s v="mbrockway8r@ibm.com"/>
    <x v="111"/>
    <x v="0"/>
    <x v="1"/>
    <x v="1"/>
    <n v="2.5"/>
    <n v="34.154999999999994"/>
    <x v="107"/>
    <x v="0"/>
  </r>
  <r>
    <s v="CZY-70361-485"/>
    <x v="266"/>
    <x v="5"/>
    <s v="June"/>
    <x v="0"/>
    <s v="83308-82257-UN"/>
    <s v="E-L-2.5"/>
    <n v="6"/>
    <x v="297"/>
    <s v="nlush8s@dedecms.com"/>
    <x v="104"/>
    <x v="1"/>
    <x v="1"/>
    <x v="1"/>
    <n v="2.5"/>
    <n v="34.154999999999994"/>
    <x v="106"/>
    <x v="2"/>
  </r>
  <r>
    <s v="RJR-12175-899"/>
    <x v="267"/>
    <x v="4"/>
    <s v="March"/>
    <x v="0"/>
    <s v="37274-08534-FM"/>
    <s v="E-D-0.5"/>
    <n v="3"/>
    <x v="298"/>
    <s v="smcmillian8t@csmonitor.com"/>
    <x v="199"/>
    <x v="0"/>
    <x v="1"/>
    <x v="2"/>
    <n v="0.5"/>
    <n v="7.29"/>
    <x v="6"/>
    <x v="0"/>
  </r>
  <r>
    <s v="ELB-07929-407"/>
    <x v="204"/>
    <x v="6"/>
    <s v="January"/>
    <x v="2"/>
    <s v="54004-04664-AA"/>
    <s v="A-M-2.5"/>
    <n v="2"/>
    <x v="299"/>
    <s v="tbennison8u@google.cn"/>
    <x v="200"/>
    <x v="0"/>
    <x v="2"/>
    <x v="0"/>
    <n v="2.5"/>
    <n v="25.874999999999996"/>
    <x v="95"/>
    <x v="1"/>
  </r>
  <r>
    <s v="UJQ-54441-340"/>
    <x v="268"/>
    <x v="5"/>
    <s v="July"/>
    <x v="0"/>
    <s v="26822-19510-SD"/>
    <s v="E-M-0.2"/>
    <n v="2"/>
    <x v="300"/>
    <s v="gtweed8v@yolasite.com"/>
    <x v="74"/>
    <x v="0"/>
    <x v="1"/>
    <x v="0"/>
    <n v="0.2"/>
    <n v="4.125"/>
    <x v="112"/>
    <x v="0"/>
  </r>
  <r>
    <s v="UJQ-54441-340"/>
    <x v="268"/>
    <x v="5"/>
    <s v="July"/>
    <x v="0"/>
    <s v="26822-19510-SD"/>
    <s v="A-L-0.2"/>
    <n v="5"/>
    <x v="300"/>
    <s v="gtweed8v@yolasite.com"/>
    <x v="74"/>
    <x v="0"/>
    <x v="2"/>
    <x v="1"/>
    <n v="0.2"/>
    <n v="3.8849999999999998"/>
    <x v="117"/>
    <x v="0"/>
  </r>
  <r>
    <s v="OWY-43108-475"/>
    <x v="269"/>
    <x v="4"/>
    <s v="December"/>
    <x v="3"/>
    <s v="06432-73165-ML"/>
    <s v="A-M-0.2"/>
    <n v="6"/>
    <x v="301"/>
    <s v="ggoggin8x@wix.com"/>
    <x v="201"/>
    <x v="1"/>
    <x v="2"/>
    <x v="0"/>
    <n v="0.2"/>
    <n v="3.375"/>
    <x v="16"/>
    <x v="0"/>
  </r>
  <r>
    <s v="GNO-91911-159"/>
    <x v="145"/>
    <x v="0"/>
    <s v="December"/>
    <x v="3"/>
    <s v="96503-31833-CW"/>
    <s v="L-D-0.5"/>
    <n v="3"/>
    <x v="302"/>
    <s v="sjeyness8y@biglobe.ne.jp"/>
    <x v="202"/>
    <x v="1"/>
    <x v="3"/>
    <x v="2"/>
    <n v="0.5"/>
    <n v="7.77"/>
    <x v="102"/>
    <x v="0"/>
  </r>
  <r>
    <s v="CNY-06284-066"/>
    <x v="270"/>
    <x v="4"/>
    <s v="June"/>
    <x v="1"/>
    <s v="63985-64148-MG"/>
    <s v="E-D-0.2"/>
    <n v="5"/>
    <x v="303"/>
    <s v="dbonhome8z@shinystat.com"/>
    <x v="203"/>
    <x v="0"/>
    <x v="1"/>
    <x v="2"/>
    <n v="0.2"/>
    <n v="3.645"/>
    <x v="94"/>
    <x v="0"/>
  </r>
  <r>
    <s v="OQS-46321-904"/>
    <x v="271"/>
    <x v="4"/>
    <s v="July"/>
    <x v="0"/>
    <s v="19597-91185-CM"/>
    <s v="E-M-1"/>
    <n v="1"/>
    <x v="304"/>
    <n v="0"/>
    <x v="153"/>
    <x v="0"/>
    <x v="1"/>
    <x v="0"/>
    <n v="1"/>
    <n v="13.75"/>
    <x v="154"/>
    <x v="0"/>
  </r>
  <r>
    <s v="IBW-87442-480"/>
    <x v="272"/>
    <x v="0"/>
    <s v="July"/>
    <x v="2"/>
    <s v="79814-23626-JR"/>
    <s v="A-L-2.5"/>
    <n v="1"/>
    <x v="305"/>
    <s v="tle91@epa.gov"/>
    <x v="204"/>
    <x v="0"/>
    <x v="2"/>
    <x v="1"/>
    <n v="2.5"/>
    <n v="29.784999999999997"/>
    <x v="91"/>
    <x v="0"/>
  </r>
  <r>
    <s v="DGZ-82537-477"/>
    <x v="252"/>
    <x v="2"/>
    <s v="August"/>
    <x v="3"/>
    <s v="43439-94003-DW"/>
    <s v="R-D-1"/>
    <n v="5"/>
    <x v="306"/>
    <n v="0"/>
    <x v="38"/>
    <x v="0"/>
    <x v="0"/>
    <x v="2"/>
    <n v="1"/>
    <n v="8.9499999999999993"/>
    <x v="153"/>
    <x v="0"/>
  </r>
  <r>
    <s v="LPS-39089-432"/>
    <x v="273"/>
    <x v="1"/>
    <s v="April"/>
    <x v="0"/>
    <s v="97655-45555-LI"/>
    <s v="R-D-1"/>
    <n v="5"/>
    <x v="307"/>
    <s v="balldridge93@yandex.ru"/>
    <x v="130"/>
    <x v="0"/>
    <x v="0"/>
    <x v="2"/>
    <n v="1"/>
    <n v="8.9499999999999993"/>
    <x v="153"/>
    <x v="0"/>
  </r>
  <r>
    <s v="MQU-86100-929"/>
    <x v="274"/>
    <x v="5"/>
    <s v="June"/>
    <x v="0"/>
    <s v="64418-01720-VW"/>
    <s v="L-L-0.5"/>
    <n v="4"/>
    <x v="308"/>
    <n v="0"/>
    <x v="87"/>
    <x v="0"/>
    <x v="3"/>
    <x v="1"/>
    <n v="0.5"/>
    <n v="9.51"/>
    <x v="82"/>
    <x v="0"/>
  </r>
  <r>
    <s v="XUR-14132-391"/>
    <x v="275"/>
    <x v="3"/>
    <s v="August"/>
    <x v="2"/>
    <s v="96836-09258-RI"/>
    <s v="R-D-0.5"/>
    <n v="4"/>
    <x v="309"/>
    <s v="lgoodger95@guardian.co.uk"/>
    <x v="155"/>
    <x v="0"/>
    <x v="0"/>
    <x v="2"/>
    <n v="0.5"/>
    <n v="5.3699999999999992"/>
    <x v="155"/>
    <x v="0"/>
  </r>
  <r>
    <s v="OVI-27064-381"/>
    <x v="276"/>
    <x v="1"/>
    <s v="November"/>
    <x v="0"/>
    <s v="37274-08534-FM"/>
    <s v="R-D-0.5"/>
    <n v="3"/>
    <x v="298"/>
    <s v="smcmillian8t@csmonitor.com"/>
    <x v="199"/>
    <x v="0"/>
    <x v="0"/>
    <x v="2"/>
    <n v="0.5"/>
    <n v="5.3699999999999992"/>
    <x v="103"/>
    <x v="0"/>
  </r>
  <r>
    <s v="SHP-17012-870"/>
    <x v="277"/>
    <x v="6"/>
    <s v="June"/>
    <x v="3"/>
    <s v="69529-07533-CV"/>
    <s v="R-M-2.5"/>
    <n v="1"/>
    <x v="310"/>
    <s v="cdrewett97@wikipedia.org"/>
    <x v="205"/>
    <x v="0"/>
    <x v="0"/>
    <x v="0"/>
    <n v="2.5"/>
    <n v="22.884999999999998"/>
    <x v="156"/>
    <x v="0"/>
  </r>
  <r>
    <s v="FDY-03414-903"/>
    <x v="278"/>
    <x v="3"/>
    <s v="August"/>
    <x v="0"/>
    <s v="94840-49457-UD"/>
    <s v="A-D-0.5"/>
    <n v="3"/>
    <x v="311"/>
    <s v="qparsons98@blogtalkradio.com"/>
    <x v="6"/>
    <x v="0"/>
    <x v="2"/>
    <x v="2"/>
    <n v="0.5"/>
    <n v="5.97"/>
    <x v="8"/>
    <x v="0"/>
  </r>
  <r>
    <s v="WXT-85291-143"/>
    <x v="279"/>
    <x v="1"/>
    <s v="September"/>
    <x v="0"/>
    <s v="81414-81273-DK"/>
    <s v="R-M-0.5"/>
    <n v="4"/>
    <x v="312"/>
    <s v="vceely99@auda.org.au"/>
    <x v="192"/>
    <x v="0"/>
    <x v="0"/>
    <x v="0"/>
    <n v="0.5"/>
    <n v="5.97"/>
    <x v="86"/>
    <x v="0"/>
  </r>
  <r>
    <s v="QNP-18893-547"/>
    <x v="280"/>
    <x v="2"/>
    <s v="October"/>
    <x v="0"/>
    <s v="76930-61689-CH"/>
    <s v="R-L-1"/>
    <n v="5"/>
    <x v="313"/>
    <n v="0"/>
    <x v="147"/>
    <x v="0"/>
    <x v="0"/>
    <x v="1"/>
    <n v="1"/>
    <n v="11.95"/>
    <x v="143"/>
    <x v="1"/>
  </r>
  <r>
    <s v="DOH-92927-530"/>
    <x v="281"/>
    <x v="3"/>
    <s v="February"/>
    <x v="3"/>
    <s v="12839-56537-TQ"/>
    <s v="L-L-0.2"/>
    <n v="6"/>
    <x v="314"/>
    <s v="cvasiliev9b@discuz.net"/>
    <x v="132"/>
    <x v="0"/>
    <x v="3"/>
    <x v="1"/>
    <n v="0.2"/>
    <n v="4.7549999999999999"/>
    <x v="32"/>
    <x v="0"/>
  </r>
  <r>
    <s v="HGJ-82768-173"/>
    <x v="282"/>
    <x v="0"/>
    <s v="August"/>
    <x v="1"/>
    <s v="62741-01322-HU"/>
    <s v="A-M-1"/>
    <n v="4"/>
    <x v="315"/>
    <s v="tomoylan9c@liveinternet.ru"/>
    <x v="206"/>
    <x v="2"/>
    <x v="2"/>
    <x v="0"/>
    <n v="1"/>
    <n v="11.25"/>
    <x v="157"/>
    <x v="0"/>
  </r>
  <r>
    <s v="YPT-95383-088"/>
    <x v="283"/>
    <x v="6"/>
    <s v="October"/>
    <x v="1"/>
    <s v="43439-94003-DW"/>
    <s v="E-D-2.5"/>
    <n v="2"/>
    <x v="306"/>
    <n v="0"/>
    <x v="38"/>
    <x v="0"/>
    <x v="1"/>
    <x v="2"/>
    <n v="2.5"/>
    <n v="27.945"/>
    <x v="158"/>
    <x v="1"/>
  </r>
  <r>
    <s v="OYH-16533-767"/>
    <x v="284"/>
    <x v="4"/>
    <s v="June"/>
    <x v="3"/>
    <s v="44932-34838-RM"/>
    <s v="E-L-1"/>
    <n v="4"/>
    <x v="316"/>
    <s v="wfetherston9e@constantcontact.com"/>
    <x v="15"/>
    <x v="0"/>
    <x v="1"/>
    <x v="1"/>
    <n v="1"/>
    <n v="14.85"/>
    <x v="48"/>
    <x v="1"/>
  </r>
  <r>
    <s v="DWW-28642-549"/>
    <x v="285"/>
    <x v="3"/>
    <s v="March"/>
    <x v="1"/>
    <s v="91181-19412-RQ"/>
    <s v="E-D-0.2"/>
    <n v="2"/>
    <x v="317"/>
    <s v="erasmus9f@techcrunch.com"/>
    <x v="35"/>
    <x v="0"/>
    <x v="1"/>
    <x v="2"/>
    <n v="0.2"/>
    <n v="3.645"/>
    <x v="35"/>
    <x v="0"/>
  </r>
  <r>
    <s v="CGO-79583-871"/>
    <x v="286"/>
    <x v="3"/>
    <s v="March"/>
    <x v="0"/>
    <s v="37182-54930-XC"/>
    <s v="E-D-0.5"/>
    <n v="1"/>
    <x v="318"/>
    <s v="wgiorgioni9g@wikipedia.org"/>
    <x v="204"/>
    <x v="0"/>
    <x v="1"/>
    <x v="2"/>
    <n v="0.5"/>
    <n v="7.29"/>
    <x v="35"/>
    <x v="0"/>
  </r>
  <r>
    <s v="TFY-52090-386"/>
    <x v="287"/>
    <x v="6"/>
    <s v="October"/>
    <x v="0"/>
    <s v="08613-17327-XT"/>
    <s v="E-L-0.5"/>
    <n v="2"/>
    <x v="319"/>
    <s v="lscargle9h@myspace.com"/>
    <x v="207"/>
    <x v="0"/>
    <x v="1"/>
    <x v="1"/>
    <n v="0.5"/>
    <n v="8.91"/>
    <x v="58"/>
    <x v="0"/>
  </r>
  <r>
    <s v="TFY-52090-386"/>
    <x v="287"/>
    <x v="6"/>
    <s v="October"/>
    <x v="0"/>
    <s v="08613-17327-XT"/>
    <s v="L-D-0.5"/>
    <n v="5"/>
    <x v="319"/>
    <s v="lscargle9h@myspace.com"/>
    <x v="207"/>
    <x v="0"/>
    <x v="3"/>
    <x v="2"/>
    <n v="0.5"/>
    <n v="7.77"/>
    <x v="5"/>
    <x v="0"/>
  </r>
  <r>
    <s v="NYY-73968-094"/>
    <x v="288"/>
    <x v="0"/>
    <s v="August"/>
    <x v="0"/>
    <s v="70451-38048-AH"/>
    <s v="R-D-0.5"/>
    <n v="6"/>
    <x v="320"/>
    <s v="nclimance9j@europa.eu"/>
    <x v="208"/>
    <x v="0"/>
    <x v="0"/>
    <x v="2"/>
    <n v="0.5"/>
    <n v="5.3699999999999992"/>
    <x v="111"/>
    <x v="0"/>
  </r>
  <r>
    <s v="QEY-71761-460"/>
    <x v="250"/>
    <x v="3"/>
    <s v="November"/>
    <x v="1"/>
    <s v="35442-75769-PL"/>
    <s v="R-M-1"/>
    <n v="2"/>
    <x v="321"/>
    <n v="0"/>
    <x v="209"/>
    <x v="1"/>
    <x v="0"/>
    <x v="0"/>
    <n v="1"/>
    <n v="9.9499999999999993"/>
    <x v="0"/>
    <x v="0"/>
  </r>
  <r>
    <s v="GKQ-82603-910"/>
    <x v="289"/>
    <x v="6"/>
    <s v="January"/>
    <x v="3"/>
    <s v="83737-56117-JE"/>
    <s v="R-L-1"/>
    <n v="5"/>
    <x v="322"/>
    <s v="asnazle9l@oracle.com"/>
    <x v="124"/>
    <x v="0"/>
    <x v="0"/>
    <x v="1"/>
    <n v="1"/>
    <n v="11.95"/>
    <x v="143"/>
    <x v="1"/>
  </r>
  <r>
    <s v="IOB-32673-745"/>
    <x v="290"/>
    <x v="2"/>
    <s v="May"/>
    <x v="1"/>
    <s v="07095-81281-NJ"/>
    <s v="A-L-0.5"/>
    <n v="3"/>
    <x v="323"/>
    <s v="rworg9m@arstechnica.com"/>
    <x v="68"/>
    <x v="0"/>
    <x v="2"/>
    <x v="1"/>
    <n v="0.5"/>
    <n v="7.77"/>
    <x v="102"/>
    <x v="0"/>
  </r>
  <r>
    <s v="YAU-98893-150"/>
    <x v="291"/>
    <x v="4"/>
    <s v="January"/>
    <x v="2"/>
    <s v="77043-48851-HG"/>
    <s v="L-M-1"/>
    <n v="3"/>
    <x v="324"/>
    <s v="ldanes9n@umn.edu"/>
    <x v="210"/>
    <x v="0"/>
    <x v="3"/>
    <x v="0"/>
    <n v="1"/>
    <n v="14.55"/>
    <x v="34"/>
    <x v="0"/>
  </r>
  <r>
    <s v="XNM-14163-951"/>
    <x v="292"/>
    <x v="1"/>
    <s v="December"/>
    <x v="0"/>
    <s v="78224-60622-KH"/>
    <s v="E-L-2.5"/>
    <n v="6"/>
    <x v="325"/>
    <s v="skeynd9o@narod.ru"/>
    <x v="211"/>
    <x v="0"/>
    <x v="1"/>
    <x v="1"/>
    <n v="2.5"/>
    <n v="34.154999999999994"/>
    <x v="106"/>
    <x v="2"/>
  </r>
  <r>
    <s v="JPB-45297-000"/>
    <x v="293"/>
    <x v="2"/>
    <s v="July"/>
    <x v="2"/>
    <s v="83105-86631-IU"/>
    <s v="R-L-0.2"/>
    <n v="4"/>
    <x v="326"/>
    <s v="ddaveridge9p@arstechnica.com"/>
    <x v="6"/>
    <x v="0"/>
    <x v="0"/>
    <x v="1"/>
    <n v="0.2"/>
    <n v="3.5849999999999995"/>
    <x v="79"/>
    <x v="0"/>
  </r>
  <r>
    <s v="MOU-74341-266"/>
    <x v="294"/>
    <x v="5"/>
    <s v="May"/>
    <x v="0"/>
    <s v="99358-65399-TC"/>
    <s v="A-D-0.5"/>
    <n v="4"/>
    <x v="327"/>
    <s v="jawdry9q@utexas.edu"/>
    <x v="212"/>
    <x v="0"/>
    <x v="2"/>
    <x v="2"/>
    <n v="0.5"/>
    <n v="5.97"/>
    <x v="86"/>
    <x v="0"/>
  </r>
  <r>
    <s v="DHJ-87461-571"/>
    <x v="295"/>
    <x v="6"/>
    <s v="August"/>
    <x v="3"/>
    <s v="94525-76037-JP"/>
    <s v="A-M-1"/>
    <n v="2"/>
    <x v="328"/>
    <s v="eryles9r@fastcompany.com"/>
    <x v="213"/>
    <x v="0"/>
    <x v="2"/>
    <x v="0"/>
    <n v="1"/>
    <n v="11.25"/>
    <x v="122"/>
    <x v="0"/>
  </r>
  <r>
    <s v="DKM-97676-850"/>
    <x v="296"/>
    <x v="5"/>
    <s v="June"/>
    <x v="3"/>
    <s v="43439-94003-DW"/>
    <s v="E-D-0.5"/>
    <n v="5"/>
    <x v="306"/>
    <n v="0"/>
    <x v="38"/>
    <x v="0"/>
    <x v="1"/>
    <x v="2"/>
    <n v="0.5"/>
    <n v="7.29"/>
    <x v="114"/>
    <x v="0"/>
  </r>
  <r>
    <s v="UEB-09112-118"/>
    <x v="297"/>
    <x v="0"/>
    <s v="January"/>
    <x v="3"/>
    <s v="82718-93677-XO"/>
    <s v="A-M-0.5"/>
    <n v="4"/>
    <x v="329"/>
    <n v="0"/>
    <x v="124"/>
    <x v="0"/>
    <x v="2"/>
    <x v="0"/>
    <n v="0.5"/>
    <n v="6.75"/>
    <x v="25"/>
    <x v="0"/>
  </r>
  <r>
    <s v="ORZ-67699-748"/>
    <x v="298"/>
    <x v="4"/>
    <s v="February"/>
    <x v="3"/>
    <s v="44708-78241-DF"/>
    <s v="A-M-2.5"/>
    <n v="6"/>
    <x v="330"/>
    <s v="jcaldicott9u@usda.gov"/>
    <x v="214"/>
    <x v="0"/>
    <x v="2"/>
    <x v="0"/>
    <n v="2.5"/>
    <n v="25.874999999999996"/>
    <x v="71"/>
    <x v="2"/>
  </r>
  <r>
    <s v="JXP-28398-485"/>
    <x v="299"/>
    <x v="2"/>
    <s v="June"/>
    <x v="1"/>
    <s v="23039-93032-FN"/>
    <s v="A-D-2.5"/>
    <n v="5"/>
    <x v="331"/>
    <s v="mvedmore9v@a8.net"/>
    <x v="116"/>
    <x v="0"/>
    <x v="2"/>
    <x v="2"/>
    <n v="2.5"/>
    <n v="22.884999999999998"/>
    <x v="15"/>
    <x v="2"/>
  </r>
  <r>
    <s v="WWH-92259-198"/>
    <x v="300"/>
    <x v="2"/>
    <s v="March"/>
    <x v="2"/>
    <s v="35256-12529-FT"/>
    <s v="L-D-1"/>
    <n v="4"/>
    <x v="332"/>
    <s v="wromao9w@chronoengine.com"/>
    <x v="155"/>
    <x v="0"/>
    <x v="3"/>
    <x v="2"/>
    <n v="1"/>
    <n v="12.95"/>
    <x v="67"/>
    <x v="1"/>
  </r>
  <r>
    <s v="FLR-82914-153"/>
    <x v="301"/>
    <x v="0"/>
    <s v="September"/>
    <x v="1"/>
    <s v="86100-33488-WP"/>
    <s v="A-M-2.5"/>
    <n v="6"/>
    <x v="333"/>
    <n v="0"/>
    <x v="215"/>
    <x v="0"/>
    <x v="2"/>
    <x v="0"/>
    <n v="2.5"/>
    <n v="25.874999999999996"/>
    <x v="71"/>
    <x v="2"/>
  </r>
  <r>
    <s v="AMB-93600-000"/>
    <x v="302"/>
    <x v="5"/>
    <s v="May"/>
    <x v="0"/>
    <s v="64435-53100-WM"/>
    <s v="A-L-2.5"/>
    <n v="1"/>
    <x v="334"/>
    <s v="tcotmore9y@amazonaws.com"/>
    <x v="216"/>
    <x v="0"/>
    <x v="2"/>
    <x v="1"/>
    <n v="2.5"/>
    <n v="29.784999999999997"/>
    <x v="91"/>
    <x v="0"/>
  </r>
  <r>
    <s v="FEP-36895-658"/>
    <x v="303"/>
    <x v="3"/>
    <s v="April"/>
    <x v="0"/>
    <s v="44699-43836-UH"/>
    <s v="R-L-0.2"/>
    <n v="6"/>
    <x v="335"/>
    <s v="yskipsey9z@spotify.com"/>
    <x v="217"/>
    <x v="2"/>
    <x v="0"/>
    <x v="1"/>
    <n v="0.2"/>
    <n v="3.5849999999999995"/>
    <x v="137"/>
    <x v="0"/>
  </r>
  <r>
    <s v="RXW-91413-276"/>
    <x v="304"/>
    <x v="4"/>
    <s v="August"/>
    <x v="3"/>
    <s v="29588-35679-RG"/>
    <s v="R-D-2.5"/>
    <n v="2"/>
    <x v="336"/>
    <s v="ncorpsa0@gmpg.org"/>
    <x v="182"/>
    <x v="0"/>
    <x v="0"/>
    <x v="2"/>
    <n v="2.5"/>
    <n v="20.584999999999997"/>
    <x v="13"/>
    <x v="0"/>
  </r>
  <r>
    <s v="RXW-91413-276"/>
    <x v="304"/>
    <x v="4"/>
    <s v="August"/>
    <x v="3"/>
    <s v="29588-35679-RG"/>
    <s v="R-M-0.5"/>
    <n v="1"/>
    <x v="336"/>
    <s v="ncorpsa0@gmpg.org"/>
    <x v="182"/>
    <x v="0"/>
    <x v="0"/>
    <x v="0"/>
    <n v="0.5"/>
    <n v="5.97"/>
    <x v="9"/>
    <x v="0"/>
  </r>
  <r>
    <s v="SDB-77492-188"/>
    <x v="305"/>
    <x v="0"/>
    <s v="May"/>
    <x v="2"/>
    <s v="64815-54078-HH"/>
    <s v="E-L-1"/>
    <n v="5"/>
    <x v="337"/>
    <s v="fbabbera2@stanford.edu"/>
    <x v="167"/>
    <x v="0"/>
    <x v="1"/>
    <x v="1"/>
    <n v="1"/>
    <n v="14.85"/>
    <x v="159"/>
    <x v="1"/>
  </r>
  <r>
    <s v="RZN-65182-395"/>
    <x v="196"/>
    <x v="4"/>
    <s v="March"/>
    <x v="1"/>
    <s v="59572-41990-XY"/>
    <s v="L-M-1"/>
    <n v="6"/>
    <x v="338"/>
    <s v="kloxtona3@opensource.org"/>
    <x v="218"/>
    <x v="0"/>
    <x v="3"/>
    <x v="0"/>
    <n v="1"/>
    <n v="14.55"/>
    <x v="75"/>
    <x v="1"/>
  </r>
  <r>
    <s v="HDQ-86094-507"/>
    <x v="110"/>
    <x v="4"/>
    <s v="April"/>
    <x v="0"/>
    <s v="32481-61533-ZJ"/>
    <s v="E-D-1"/>
    <n v="6"/>
    <x v="339"/>
    <s v="ptoffula4@posterous.com"/>
    <x v="74"/>
    <x v="0"/>
    <x v="1"/>
    <x v="2"/>
    <n v="1"/>
    <n v="12.15"/>
    <x v="118"/>
    <x v="1"/>
  </r>
  <r>
    <s v="YXO-79631-417"/>
    <x v="24"/>
    <x v="4"/>
    <s v="September"/>
    <x v="1"/>
    <s v="31587-92570-HL"/>
    <s v="L-D-0.5"/>
    <n v="1"/>
    <x v="340"/>
    <s v="cgwinnetta5@behance.net"/>
    <x v="219"/>
    <x v="0"/>
    <x v="3"/>
    <x v="2"/>
    <n v="0.5"/>
    <n v="7.77"/>
    <x v="41"/>
    <x v="0"/>
  </r>
  <r>
    <s v="SNF-57032-096"/>
    <x v="306"/>
    <x v="0"/>
    <s v="February"/>
    <x v="3"/>
    <s v="93832-04799-ID"/>
    <s v="E-D-0.5"/>
    <n v="6"/>
    <x v="341"/>
    <n v="0"/>
    <x v="95"/>
    <x v="0"/>
    <x v="1"/>
    <x v="2"/>
    <n v="0.5"/>
    <n v="7.29"/>
    <x v="160"/>
    <x v="0"/>
  </r>
  <r>
    <s v="DGL-29648-995"/>
    <x v="307"/>
    <x v="2"/>
    <s v="July"/>
    <x v="1"/>
    <s v="59367-30821-ZQ"/>
    <s v="L-M-0.2"/>
    <n v="2"/>
    <x v="342"/>
    <n v="0"/>
    <x v="141"/>
    <x v="0"/>
    <x v="3"/>
    <x v="0"/>
    <n v="0.2"/>
    <n v="4.3650000000000002"/>
    <x v="31"/>
    <x v="0"/>
  </r>
  <r>
    <s v="GPU-65651-504"/>
    <x v="308"/>
    <x v="1"/>
    <s v="May"/>
    <x v="2"/>
    <s v="83947-45528-ET"/>
    <s v="E-M-2.5"/>
    <n v="2"/>
    <x v="343"/>
    <s v="lflaoniera8@wordpress.org"/>
    <x v="142"/>
    <x v="0"/>
    <x v="1"/>
    <x v="0"/>
    <n v="2.5"/>
    <n v="31.624999999999996"/>
    <x v="40"/>
    <x v="1"/>
  </r>
  <r>
    <s v="OJU-34452-896"/>
    <x v="309"/>
    <x v="3"/>
    <s v="February"/>
    <x v="0"/>
    <s v="60799-92593-CX"/>
    <s v="E-L-0.5"/>
    <n v="1"/>
    <x v="344"/>
    <n v="0"/>
    <x v="198"/>
    <x v="0"/>
    <x v="1"/>
    <x v="1"/>
    <n v="0.5"/>
    <n v="8.91"/>
    <x v="161"/>
    <x v="0"/>
  </r>
  <r>
    <s v="GZS-50547-887"/>
    <x v="310"/>
    <x v="5"/>
    <s v="February"/>
    <x v="0"/>
    <s v="61600-55136-UM"/>
    <s v="E-D-1"/>
    <n v="2"/>
    <x v="345"/>
    <s v="ccatchesideaa@macromedia.com"/>
    <x v="147"/>
    <x v="0"/>
    <x v="1"/>
    <x v="2"/>
    <n v="1"/>
    <n v="12.15"/>
    <x v="76"/>
    <x v="0"/>
  </r>
  <r>
    <s v="ESR-54041-053"/>
    <x v="311"/>
    <x v="5"/>
    <s v="May"/>
    <x v="2"/>
    <s v="59771-90302-OF"/>
    <s v="A-L-0.5"/>
    <n v="6"/>
    <x v="346"/>
    <s v="cgibbonsonab@accuweather.com"/>
    <x v="208"/>
    <x v="0"/>
    <x v="2"/>
    <x v="1"/>
    <n v="0.5"/>
    <n v="7.77"/>
    <x v="162"/>
    <x v="0"/>
  </r>
  <r>
    <s v="OGD-10781-526"/>
    <x v="132"/>
    <x v="6"/>
    <s v="October"/>
    <x v="3"/>
    <s v="16880-78077-FB"/>
    <s v="R-L-0.5"/>
    <n v="6"/>
    <x v="347"/>
    <s v="tfarraac@behance.net"/>
    <x v="220"/>
    <x v="0"/>
    <x v="0"/>
    <x v="1"/>
    <n v="0.5"/>
    <n v="7.169999999999999"/>
    <x v="163"/>
    <x v="0"/>
  </r>
  <r>
    <s v="FVH-29271-315"/>
    <x v="312"/>
    <x v="0"/>
    <s v="June"/>
    <x v="2"/>
    <s v="74415-50873-FC"/>
    <s v="A-D-0.5"/>
    <n v="3"/>
    <x v="348"/>
    <n v="0"/>
    <x v="221"/>
    <x v="1"/>
    <x v="2"/>
    <x v="2"/>
    <n v="0.5"/>
    <n v="5.97"/>
    <x v="8"/>
    <x v="0"/>
  </r>
  <r>
    <s v="BNZ-20544-633"/>
    <x v="313"/>
    <x v="1"/>
    <s v="October"/>
    <x v="3"/>
    <s v="31798-95707-NR"/>
    <s v="L-L-0.5"/>
    <n v="4"/>
    <x v="349"/>
    <s v="gbamfieldae@yellowpages.com"/>
    <x v="222"/>
    <x v="0"/>
    <x v="3"/>
    <x v="1"/>
    <n v="0.5"/>
    <n v="9.51"/>
    <x v="82"/>
    <x v="0"/>
  </r>
  <r>
    <s v="FUX-85791-078"/>
    <x v="156"/>
    <x v="2"/>
    <s v="October"/>
    <x v="3"/>
    <s v="59122-08794-WT"/>
    <s v="A-M-0.2"/>
    <n v="2"/>
    <x v="350"/>
    <s v="whollingdaleaf@about.me"/>
    <x v="4"/>
    <x v="0"/>
    <x v="2"/>
    <x v="0"/>
    <n v="0.2"/>
    <n v="3.375"/>
    <x v="52"/>
    <x v="0"/>
  </r>
  <r>
    <s v="YXP-20078-116"/>
    <x v="314"/>
    <x v="1"/>
    <s v="September"/>
    <x v="3"/>
    <s v="37238-52421-JJ"/>
    <s v="R-M-0.5"/>
    <n v="1"/>
    <x v="351"/>
    <s v="jdeag@xrea.com"/>
    <x v="16"/>
    <x v="0"/>
    <x v="0"/>
    <x v="0"/>
    <n v="0.5"/>
    <n v="5.97"/>
    <x v="9"/>
    <x v="0"/>
  </r>
  <r>
    <s v="VQV-59984-866"/>
    <x v="315"/>
    <x v="2"/>
    <s v="March"/>
    <x v="0"/>
    <s v="48854-01899-FN"/>
    <s v="R-D-0.2"/>
    <n v="3"/>
    <x v="352"/>
    <s v="vskulletah@tinyurl.com"/>
    <x v="146"/>
    <x v="1"/>
    <x v="0"/>
    <x v="2"/>
    <n v="0.2"/>
    <n v="2.6849999999999996"/>
    <x v="36"/>
    <x v="0"/>
  </r>
  <r>
    <s v="JEH-37276-048"/>
    <x v="316"/>
    <x v="1"/>
    <s v="June"/>
    <x v="1"/>
    <s v="80896-38819-DW"/>
    <s v="A-L-0.5"/>
    <n v="3"/>
    <x v="353"/>
    <s v="jrudeforthai@wunderground.com"/>
    <x v="223"/>
    <x v="1"/>
    <x v="2"/>
    <x v="1"/>
    <n v="0.5"/>
    <n v="7.77"/>
    <x v="102"/>
    <x v="0"/>
  </r>
  <r>
    <s v="VYD-28555-589"/>
    <x v="317"/>
    <x v="5"/>
    <s v="August"/>
    <x v="0"/>
    <s v="29814-01459-RC"/>
    <s v="R-L-0.5"/>
    <n v="6"/>
    <x v="354"/>
    <s v="atomaszewskiaj@answers.com"/>
    <x v="224"/>
    <x v="2"/>
    <x v="0"/>
    <x v="1"/>
    <n v="0.5"/>
    <n v="7.169999999999999"/>
    <x v="163"/>
    <x v="0"/>
  </r>
  <r>
    <s v="WUG-76466-650"/>
    <x v="318"/>
    <x v="3"/>
    <s v="February"/>
    <x v="1"/>
    <s v="43439-94003-DW"/>
    <s v="L-D-0.5"/>
    <n v="3"/>
    <x v="306"/>
    <n v="0"/>
    <x v="38"/>
    <x v="0"/>
    <x v="3"/>
    <x v="2"/>
    <n v="0.5"/>
    <n v="7.77"/>
    <x v="102"/>
    <x v="0"/>
  </r>
  <r>
    <s v="RJV-08261-583"/>
    <x v="182"/>
    <x v="4"/>
    <s v="March"/>
    <x v="2"/>
    <s v="48497-29281-FE"/>
    <s v="A-D-0.2"/>
    <n v="5"/>
    <x v="355"/>
    <s v="pbessal@qq.com"/>
    <x v="6"/>
    <x v="0"/>
    <x v="2"/>
    <x v="2"/>
    <n v="0.2"/>
    <n v="2.9849999999999999"/>
    <x v="128"/>
    <x v="0"/>
  </r>
  <r>
    <s v="PMR-56062-609"/>
    <x v="319"/>
    <x v="2"/>
    <s v="January"/>
    <x v="3"/>
    <s v="43605-12616-YH"/>
    <s v="E-D-0.5"/>
    <n v="3"/>
    <x v="356"/>
    <s v="ewindressam@marketwatch.com"/>
    <x v="192"/>
    <x v="0"/>
    <x v="1"/>
    <x v="2"/>
    <n v="0.5"/>
    <n v="7.29"/>
    <x v="6"/>
    <x v="0"/>
  </r>
  <r>
    <s v="XLD-12920-505"/>
    <x v="320"/>
    <x v="1"/>
    <s v="May"/>
    <x v="0"/>
    <s v="21907-75962-VB"/>
    <s v="E-L-0.5"/>
    <n v="6"/>
    <x v="357"/>
    <n v="0"/>
    <x v="225"/>
    <x v="0"/>
    <x v="1"/>
    <x v="1"/>
    <n v="0.5"/>
    <n v="8.91"/>
    <x v="119"/>
    <x v="1"/>
  </r>
  <r>
    <s v="UBW-50312-037"/>
    <x v="321"/>
    <x v="6"/>
    <s v="February"/>
    <x v="3"/>
    <s v="69503-12127-YD"/>
    <s v="A-L-2.5"/>
    <n v="4"/>
    <x v="358"/>
    <n v="0"/>
    <x v="68"/>
    <x v="0"/>
    <x v="2"/>
    <x v="1"/>
    <n v="2.5"/>
    <n v="29.784999999999997"/>
    <x v="129"/>
    <x v="2"/>
  </r>
  <r>
    <s v="QAW-05889-019"/>
    <x v="322"/>
    <x v="1"/>
    <s v="December"/>
    <x v="1"/>
    <s v="68810-07329-EU"/>
    <s v="L-M-0.5"/>
    <n v="5"/>
    <x v="359"/>
    <s v="vbaumadierap@google.cn"/>
    <x v="77"/>
    <x v="0"/>
    <x v="3"/>
    <x v="0"/>
    <n v="0.5"/>
    <n v="8.73"/>
    <x v="34"/>
    <x v="0"/>
  </r>
  <r>
    <s v="EPT-12715-397"/>
    <x v="128"/>
    <x v="1"/>
    <s v="September"/>
    <x v="3"/>
    <s v="08478-75251-OG"/>
    <s v="A-D-0.2"/>
    <n v="6"/>
    <x v="360"/>
    <n v="0"/>
    <x v="64"/>
    <x v="0"/>
    <x v="2"/>
    <x v="2"/>
    <n v="0.2"/>
    <n v="2.9849999999999999"/>
    <x v="8"/>
    <x v="0"/>
  </r>
  <r>
    <s v="DHT-93810-053"/>
    <x v="323"/>
    <x v="0"/>
    <s v="September"/>
    <x v="1"/>
    <s v="17005-82030-EA"/>
    <s v="E-L-1"/>
    <n v="5"/>
    <x v="361"/>
    <s v="sweldsar@wired.com"/>
    <x v="226"/>
    <x v="0"/>
    <x v="1"/>
    <x v="1"/>
    <n v="1"/>
    <n v="14.85"/>
    <x v="159"/>
    <x v="1"/>
  </r>
  <r>
    <s v="DMY-96037-963"/>
    <x v="324"/>
    <x v="3"/>
    <s v="October"/>
    <x v="3"/>
    <s v="42179-95059-DO"/>
    <s v="L-D-0.2"/>
    <n v="3"/>
    <x v="362"/>
    <s v="msarvaras@artisteer.com"/>
    <x v="227"/>
    <x v="0"/>
    <x v="3"/>
    <x v="2"/>
    <n v="0.2"/>
    <n v="3.8849999999999998"/>
    <x v="14"/>
    <x v="0"/>
  </r>
  <r>
    <s v="MBM-55936-917"/>
    <x v="325"/>
    <x v="5"/>
    <s v="March"/>
    <x v="0"/>
    <s v="55989-39849-WO"/>
    <s v="L-D-0.5"/>
    <n v="3"/>
    <x v="363"/>
    <s v="ahavickat@nsw.gov.au"/>
    <x v="228"/>
    <x v="0"/>
    <x v="3"/>
    <x v="2"/>
    <n v="0.5"/>
    <n v="7.77"/>
    <x v="102"/>
    <x v="0"/>
  </r>
  <r>
    <s v="TPA-93614-840"/>
    <x v="326"/>
    <x v="0"/>
    <s v="February"/>
    <x v="1"/>
    <s v="28932-49296-TM"/>
    <s v="E-D-0.5"/>
    <n v="2"/>
    <x v="364"/>
    <s v="sdivinyau@ask.com"/>
    <x v="50"/>
    <x v="0"/>
    <x v="1"/>
    <x v="2"/>
    <n v="0.5"/>
    <n v="7.29"/>
    <x v="20"/>
    <x v="0"/>
  </r>
  <r>
    <s v="WDM-77521-710"/>
    <x v="327"/>
    <x v="0"/>
    <s v="October"/>
    <x v="3"/>
    <s v="86144-10144-CB"/>
    <s v="A-M-0.5"/>
    <n v="2"/>
    <x v="365"/>
    <s v="inorquoyav@businessweek.com"/>
    <x v="30"/>
    <x v="0"/>
    <x v="2"/>
    <x v="0"/>
    <n v="0.5"/>
    <n v="6.75"/>
    <x v="72"/>
    <x v="0"/>
  </r>
  <r>
    <s v="EIP-19142-462"/>
    <x v="328"/>
    <x v="3"/>
    <s v="September"/>
    <x v="1"/>
    <s v="60973-72562-DQ"/>
    <s v="E-L-1"/>
    <n v="6"/>
    <x v="366"/>
    <s v="aiddisonaw@usa.gov"/>
    <x v="100"/>
    <x v="0"/>
    <x v="1"/>
    <x v="1"/>
    <n v="1"/>
    <n v="14.85"/>
    <x v="146"/>
    <x v="1"/>
  </r>
  <r>
    <s v="EIP-19142-462"/>
    <x v="328"/>
    <x v="3"/>
    <s v="September"/>
    <x v="1"/>
    <s v="60973-72562-DQ"/>
    <s v="A-L-0.2"/>
    <n v="1"/>
    <x v="366"/>
    <s v="aiddisonaw@usa.gov"/>
    <x v="100"/>
    <x v="0"/>
    <x v="2"/>
    <x v="1"/>
    <n v="0.2"/>
    <n v="3.8849999999999998"/>
    <x v="84"/>
    <x v="0"/>
  </r>
  <r>
    <s v="ZZL-76364-387"/>
    <x v="128"/>
    <x v="1"/>
    <s v="September"/>
    <x v="3"/>
    <s v="11263-86515-VU"/>
    <s v="R-L-2.5"/>
    <n v="4"/>
    <x v="367"/>
    <s v="rlongfielday@bluehost.com"/>
    <x v="30"/>
    <x v="0"/>
    <x v="0"/>
    <x v="1"/>
    <n v="2.5"/>
    <n v="27.484999999999996"/>
    <x v="108"/>
    <x v="2"/>
  </r>
  <r>
    <s v="GMF-18638-786"/>
    <x v="329"/>
    <x v="6"/>
    <s v="September"/>
    <x v="1"/>
    <s v="60004-62976-NI"/>
    <s v="L-D-0.5"/>
    <n v="6"/>
    <x v="368"/>
    <s v="gkislingburyaz@samsung.com"/>
    <x v="41"/>
    <x v="0"/>
    <x v="3"/>
    <x v="2"/>
    <n v="0.5"/>
    <n v="7.77"/>
    <x v="162"/>
    <x v="0"/>
  </r>
  <r>
    <s v="TDJ-20844-787"/>
    <x v="330"/>
    <x v="0"/>
    <s v="November"/>
    <x v="3"/>
    <s v="77876-28498-HI"/>
    <s v="A-L-0.5"/>
    <n v="5"/>
    <x v="369"/>
    <s v="xgibbonsb0@artisteer.com"/>
    <x v="39"/>
    <x v="0"/>
    <x v="2"/>
    <x v="1"/>
    <n v="0.5"/>
    <n v="7.77"/>
    <x v="5"/>
    <x v="0"/>
  </r>
  <r>
    <s v="BWK-39400-446"/>
    <x v="331"/>
    <x v="0"/>
    <s v="September"/>
    <x v="0"/>
    <s v="61302-06948-EH"/>
    <s v="L-D-0.5"/>
    <n v="4"/>
    <x v="370"/>
    <s v="fparresb1@imageshack.us"/>
    <x v="36"/>
    <x v="0"/>
    <x v="3"/>
    <x v="2"/>
    <n v="0.5"/>
    <n v="7.77"/>
    <x v="113"/>
    <x v="0"/>
  </r>
  <r>
    <s v="LCB-02099-995"/>
    <x v="332"/>
    <x v="1"/>
    <s v="July"/>
    <x v="0"/>
    <s v="06757-96251-UH"/>
    <s v="A-D-0.2"/>
    <n v="6"/>
    <x v="371"/>
    <s v="gsibrayb2@wsj.com"/>
    <x v="18"/>
    <x v="0"/>
    <x v="2"/>
    <x v="2"/>
    <n v="0.2"/>
    <n v="2.9849999999999999"/>
    <x v="8"/>
    <x v="0"/>
  </r>
  <r>
    <s v="UBA-43678-174"/>
    <x v="333"/>
    <x v="2"/>
    <s v="March"/>
    <x v="0"/>
    <s v="44530-75983-OD"/>
    <s v="E-D-2.5"/>
    <n v="6"/>
    <x v="372"/>
    <s v="ihotchkinb3@mit.edu"/>
    <x v="229"/>
    <x v="2"/>
    <x v="1"/>
    <x v="2"/>
    <n v="2.5"/>
    <n v="27.945"/>
    <x v="164"/>
    <x v="2"/>
  </r>
  <r>
    <s v="UDH-24280-432"/>
    <x v="334"/>
    <x v="6"/>
    <s v="May"/>
    <x v="1"/>
    <s v="44865-58249-RY"/>
    <s v="L-L-1"/>
    <n v="4"/>
    <x v="373"/>
    <s v="nbroadberrieb4@gnu.org"/>
    <x v="41"/>
    <x v="0"/>
    <x v="3"/>
    <x v="1"/>
    <n v="1"/>
    <n v="15.85"/>
    <x v="165"/>
    <x v="1"/>
  </r>
  <r>
    <s v="IDQ-20193-502"/>
    <x v="335"/>
    <x v="3"/>
    <s v="May"/>
    <x v="0"/>
    <s v="36021-61205-DF"/>
    <s v="L-M-0.2"/>
    <n v="2"/>
    <x v="374"/>
    <s v="rpithcockb5@yellowbook.com"/>
    <x v="203"/>
    <x v="0"/>
    <x v="3"/>
    <x v="0"/>
    <n v="0.2"/>
    <n v="4.3650000000000002"/>
    <x v="31"/>
    <x v="0"/>
  </r>
  <r>
    <s v="DJG-14442-608"/>
    <x v="336"/>
    <x v="1"/>
    <s v="February"/>
    <x v="0"/>
    <s v="75716-12782-SS"/>
    <s v="R-D-1"/>
    <n v="3"/>
    <x v="375"/>
    <s v="gcroysdaleb6@nih.gov"/>
    <x v="27"/>
    <x v="0"/>
    <x v="0"/>
    <x v="2"/>
    <n v="1"/>
    <n v="8.9499999999999993"/>
    <x v="166"/>
    <x v="0"/>
  </r>
  <r>
    <s v="DWB-61381-370"/>
    <x v="337"/>
    <x v="2"/>
    <s v="April"/>
    <x v="1"/>
    <s v="11812-00461-KH"/>
    <s v="L-L-0.2"/>
    <n v="2"/>
    <x v="376"/>
    <s v="bgozzettb7@github.com"/>
    <x v="68"/>
    <x v="0"/>
    <x v="3"/>
    <x v="1"/>
    <n v="0.2"/>
    <n v="4.7549999999999999"/>
    <x v="54"/>
    <x v="0"/>
  </r>
  <r>
    <s v="FRD-17347-990"/>
    <x v="80"/>
    <x v="1"/>
    <s v="May"/>
    <x v="3"/>
    <s v="46681-78850-ZW"/>
    <s v="A-D-1"/>
    <n v="4"/>
    <x v="377"/>
    <s v="tcraggsb8@house.gov"/>
    <x v="230"/>
    <x v="1"/>
    <x v="2"/>
    <x v="2"/>
    <n v="1"/>
    <n v="9.9499999999999993"/>
    <x v="10"/>
    <x v="0"/>
  </r>
  <r>
    <s v="YPP-27450-525"/>
    <x v="338"/>
    <x v="1"/>
    <s v="December"/>
    <x v="3"/>
    <s v="01932-87052-KO"/>
    <s v="E-M-0.5"/>
    <n v="3"/>
    <x v="378"/>
    <s v="lcullrfordb9@xing.com"/>
    <x v="231"/>
    <x v="0"/>
    <x v="1"/>
    <x v="0"/>
    <n v="0.5"/>
    <n v="8.25"/>
    <x v="167"/>
    <x v="0"/>
  </r>
  <r>
    <s v="EFC-39577-424"/>
    <x v="339"/>
    <x v="6"/>
    <s v="August"/>
    <x v="1"/>
    <s v="16046-34805-ZF"/>
    <s v="E-M-1"/>
    <n v="5"/>
    <x v="379"/>
    <s v="arizonba@xing.com"/>
    <x v="28"/>
    <x v="0"/>
    <x v="1"/>
    <x v="0"/>
    <n v="1"/>
    <n v="13.75"/>
    <x v="85"/>
    <x v="1"/>
  </r>
  <r>
    <s v="LAW-80062-016"/>
    <x v="340"/>
    <x v="0"/>
    <s v="February"/>
    <x v="2"/>
    <s v="34546-70516-LR"/>
    <s v="E-M-0.5"/>
    <n v="6"/>
    <x v="380"/>
    <n v="0"/>
    <x v="232"/>
    <x v="1"/>
    <x v="1"/>
    <x v="0"/>
    <n v="0.5"/>
    <n v="8.25"/>
    <x v="168"/>
    <x v="0"/>
  </r>
  <r>
    <s v="WKL-27981-758"/>
    <x v="177"/>
    <x v="2"/>
    <s v="April"/>
    <x v="2"/>
    <s v="73699-93557-FZ"/>
    <s v="A-M-2.5"/>
    <n v="2"/>
    <x v="381"/>
    <s v="fmiellbc@spiegel.de"/>
    <x v="233"/>
    <x v="0"/>
    <x v="2"/>
    <x v="0"/>
    <n v="2.5"/>
    <n v="25.874999999999996"/>
    <x v="95"/>
    <x v="1"/>
  </r>
  <r>
    <s v="VRT-39834-265"/>
    <x v="341"/>
    <x v="0"/>
    <s v="January"/>
    <x v="1"/>
    <s v="86686-37462-CK"/>
    <s v="L-L-1"/>
    <n v="3"/>
    <x v="382"/>
    <n v="0"/>
    <x v="234"/>
    <x v="1"/>
    <x v="3"/>
    <x v="1"/>
    <n v="1"/>
    <n v="15.85"/>
    <x v="46"/>
    <x v="0"/>
  </r>
  <r>
    <s v="QTC-71005-730"/>
    <x v="342"/>
    <x v="0"/>
    <s v="September"/>
    <x v="1"/>
    <s v="14298-02150-KH"/>
    <s v="A-L-0.2"/>
    <n v="4"/>
    <x v="383"/>
    <n v="0"/>
    <x v="204"/>
    <x v="0"/>
    <x v="2"/>
    <x v="1"/>
    <n v="0.2"/>
    <n v="3.8849999999999998"/>
    <x v="42"/>
    <x v="0"/>
  </r>
  <r>
    <s v="TNX-09857-717"/>
    <x v="343"/>
    <x v="0"/>
    <s v="November"/>
    <x v="1"/>
    <s v="48675-07824-HJ"/>
    <s v="L-M-1"/>
    <n v="6"/>
    <x v="384"/>
    <n v="0"/>
    <x v="235"/>
    <x v="0"/>
    <x v="3"/>
    <x v="0"/>
    <n v="1"/>
    <n v="14.55"/>
    <x v="75"/>
    <x v="1"/>
  </r>
  <r>
    <s v="JZV-43874-185"/>
    <x v="344"/>
    <x v="3"/>
    <s v="August"/>
    <x v="1"/>
    <s v="18551-80943-YQ"/>
    <s v="A-M-1"/>
    <n v="5"/>
    <x v="385"/>
    <n v="0"/>
    <x v="236"/>
    <x v="0"/>
    <x v="2"/>
    <x v="0"/>
    <n v="1"/>
    <n v="11.25"/>
    <x v="126"/>
    <x v="1"/>
  </r>
  <r>
    <s v="ICF-17486-106"/>
    <x v="47"/>
    <x v="3"/>
    <s v="January"/>
    <x v="3"/>
    <s v="19196-09748-DB"/>
    <s v="L-L-2.5"/>
    <n v="1"/>
    <x v="386"/>
    <s v="wspringallbh@jugem.jp"/>
    <x v="237"/>
    <x v="0"/>
    <x v="3"/>
    <x v="1"/>
    <n v="2.5"/>
    <n v="36.454999999999998"/>
    <x v="133"/>
    <x v="0"/>
  </r>
  <r>
    <s v="BMK-49520-383"/>
    <x v="345"/>
    <x v="5"/>
    <s v="December"/>
    <x v="0"/>
    <s v="72233-08665-IP"/>
    <s v="R-L-0.2"/>
    <n v="3"/>
    <x v="387"/>
    <n v="0"/>
    <x v="211"/>
    <x v="0"/>
    <x v="0"/>
    <x v="1"/>
    <n v="0.2"/>
    <n v="3.5849999999999995"/>
    <x v="127"/>
    <x v="0"/>
  </r>
  <r>
    <s v="HTS-15020-632"/>
    <x v="169"/>
    <x v="5"/>
    <s v="August"/>
    <x v="0"/>
    <s v="53817-13148-RK"/>
    <s v="R-M-0.2"/>
    <n v="3"/>
    <x v="388"/>
    <s v="ghawkyensbj@census.gov"/>
    <x v="235"/>
    <x v="0"/>
    <x v="0"/>
    <x v="0"/>
    <n v="0.2"/>
    <n v="2.9849999999999999"/>
    <x v="169"/>
    <x v="0"/>
  </r>
  <r>
    <s v="YLE-18247-749"/>
    <x v="346"/>
    <x v="1"/>
    <s v="March"/>
    <x v="3"/>
    <s v="92227-49331-QR"/>
    <s v="A-L-0.5"/>
    <n v="3"/>
    <x v="389"/>
    <n v="0"/>
    <x v="4"/>
    <x v="0"/>
    <x v="2"/>
    <x v="1"/>
    <n v="0.5"/>
    <n v="7.77"/>
    <x v="102"/>
    <x v="0"/>
  </r>
  <r>
    <s v="KJJ-12573-591"/>
    <x v="347"/>
    <x v="4"/>
    <s v="September"/>
    <x v="1"/>
    <s v="12997-41076-FQ"/>
    <s v="A-L-2.5"/>
    <n v="1"/>
    <x v="390"/>
    <n v="0"/>
    <x v="167"/>
    <x v="0"/>
    <x v="2"/>
    <x v="1"/>
    <n v="2.5"/>
    <n v="29.784999999999997"/>
    <x v="91"/>
    <x v="0"/>
  </r>
  <r>
    <s v="RGU-43561-950"/>
    <x v="348"/>
    <x v="4"/>
    <s v="November"/>
    <x v="3"/>
    <s v="44220-00348-MB"/>
    <s v="A-L-2.5"/>
    <n v="5"/>
    <x v="391"/>
    <s v="bmcgilvrabm@so-net.ne.jp"/>
    <x v="155"/>
    <x v="0"/>
    <x v="2"/>
    <x v="1"/>
    <n v="2.5"/>
    <n v="29.784999999999997"/>
    <x v="74"/>
    <x v="2"/>
  </r>
  <r>
    <s v="JSN-73975-443"/>
    <x v="349"/>
    <x v="3"/>
    <s v="June"/>
    <x v="2"/>
    <s v="93047-98331-DD"/>
    <s v="L-M-0.5"/>
    <n v="1"/>
    <x v="392"/>
    <s v="adanzeybn@github.com"/>
    <x v="195"/>
    <x v="0"/>
    <x v="3"/>
    <x v="0"/>
    <n v="0.5"/>
    <n v="8.73"/>
    <x v="31"/>
    <x v="0"/>
  </r>
  <r>
    <s v="WNR-71736-993"/>
    <x v="350"/>
    <x v="1"/>
    <s v="February"/>
    <x v="3"/>
    <s v="16880-78077-FB"/>
    <s v="L-D-0.5"/>
    <n v="4"/>
    <x v="347"/>
    <s v="tfarraac@behance.net"/>
    <x v="220"/>
    <x v="0"/>
    <x v="3"/>
    <x v="2"/>
    <n v="0.5"/>
    <n v="7.77"/>
    <x v="113"/>
    <x v="0"/>
  </r>
  <r>
    <s v="WNR-71736-993"/>
    <x v="350"/>
    <x v="1"/>
    <s v="February"/>
    <x v="3"/>
    <s v="16880-78077-FB"/>
    <s v="A-D-2.5"/>
    <n v="6"/>
    <x v="347"/>
    <s v="tfarraac@behance.net"/>
    <x v="220"/>
    <x v="0"/>
    <x v="2"/>
    <x v="2"/>
    <n v="2.5"/>
    <n v="22.884999999999998"/>
    <x v="170"/>
    <x v="2"/>
  </r>
  <r>
    <s v="HNI-91338-546"/>
    <x v="54"/>
    <x v="2"/>
    <s v="February"/>
    <x v="3"/>
    <s v="67285-75317-XI"/>
    <s v="A-D-0.5"/>
    <n v="5"/>
    <x v="393"/>
    <n v="0"/>
    <x v="238"/>
    <x v="0"/>
    <x v="2"/>
    <x v="2"/>
    <n v="0.5"/>
    <n v="5.97"/>
    <x v="44"/>
    <x v="0"/>
  </r>
  <r>
    <s v="CYH-53243-218"/>
    <x v="237"/>
    <x v="2"/>
    <s v="December"/>
    <x v="3"/>
    <s v="88167-57964-PH"/>
    <s v="R-M-0.5"/>
    <n v="3"/>
    <x v="394"/>
    <n v="0"/>
    <x v="27"/>
    <x v="0"/>
    <x v="0"/>
    <x v="0"/>
    <n v="0.5"/>
    <n v="5.97"/>
    <x v="8"/>
    <x v="0"/>
  </r>
  <r>
    <s v="SVD-75407-177"/>
    <x v="351"/>
    <x v="3"/>
    <s v="August"/>
    <x v="1"/>
    <s v="16106-36039-QS"/>
    <s v="E-L-0.5"/>
    <n v="3"/>
    <x v="395"/>
    <s v="ydombrellbs@dedecms.com"/>
    <x v="28"/>
    <x v="0"/>
    <x v="1"/>
    <x v="1"/>
    <n v="0.5"/>
    <n v="8.91"/>
    <x v="149"/>
    <x v="0"/>
  </r>
  <r>
    <s v="NVN-66443-451"/>
    <x v="352"/>
    <x v="2"/>
    <s v="August"/>
    <x v="1"/>
    <s v="98921-82417-GN"/>
    <s v="R-D-1"/>
    <n v="2"/>
    <x v="396"/>
    <s v="adarthbt@t.co"/>
    <x v="92"/>
    <x v="0"/>
    <x v="0"/>
    <x v="2"/>
    <n v="1"/>
    <n v="8.9499999999999993"/>
    <x v="105"/>
    <x v="0"/>
  </r>
  <r>
    <s v="JUA-13580-095"/>
    <x v="102"/>
    <x v="3"/>
    <s v="April"/>
    <x v="0"/>
    <s v="55265-75151-AK"/>
    <s v="R-L-0.2"/>
    <n v="4"/>
    <x v="397"/>
    <s v="mdarrigoebu@hud.gov"/>
    <x v="239"/>
    <x v="1"/>
    <x v="0"/>
    <x v="1"/>
    <n v="0.2"/>
    <n v="3.5849999999999995"/>
    <x v="79"/>
    <x v="0"/>
  </r>
  <r>
    <s v="ACY-56225-839"/>
    <x v="353"/>
    <x v="0"/>
    <s v="January"/>
    <x v="1"/>
    <s v="47386-50743-FG"/>
    <s v="A-M-2.5"/>
    <n v="3"/>
    <x v="398"/>
    <n v="0"/>
    <x v="204"/>
    <x v="0"/>
    <x v="2"/>
    <x v="0"/>
    <n v="2.5"/>
    <n v="25.874999999999996"/>
    <x v="57"/>
    <x v="1"/>
  </r>
  <r>
    <s v="QBB-07903-622"/>
    <x v="354"/>
    <x v="3"/>
    <s v="October"/>
    <x v="0"/>
    <s v="32622-54551-UC"/>
    <s v="R-L-1"/>
    <n v="5"/>
    <x v="399"/>
    <s v="mackrillbw@bandcamp.com"/>
    <x v="138"/>
    <x v="0"/>
    <x v="0"/>
    <x v="1"/>
    <n v="1"/>
    <n v="11.95"/>
    <x v="143"/>
    <x v="1"/>
  </r>
  <r>
    <s v="JLJ-81802-619"/>
    <x v="135"/>
    <x v="6"/>
    <s v="June"/>
    <x v="1"/>
    <s v="16880-78077-FB"/>
    <s v="A-L-1"/>
    <n v="6"/>
    <x v="347"/>
    <s v="tfarraac@behance.net"/>
    <x v="220"/>
    <x v="0"/>
    <x v="2"/>
    <x v="1"/>
    <n v="1"/>
    <n v="12.95"/>
    <x v="17"/>
    <x v="1"/>
  </r>
  <r>
    <s v="HFT-77191-168"/>
    <x v="343"/>
    <x v="0"/>
    <s v="November"/>
    <x v="1"/>
    <s v="48419-02347-XP"/>
    <s v="R-D-0.2"/>
    <n v="2"/>
    <x v="400"/>
    <s v="mkippenby@dion.ne.jp"/>
    <x v="240"/>
    <x v="0"/>
    <x v="0"/>
    <x v="2"/>
    <n v="0.2"/>
    <n v="2.6849999999999996"/>
    <x v="147"/>
    <x v="0"/>
  </r>
  <r>
    <s v="SZR-35951-530"/>
    <x v="89"/>
    <x v="3"/>
    <s v="April"/>
    <x v="1"/>
    <s v="14121-20527-OJ"/>
    <s v="E-D-2.5"/>
    <n v="3"/>
    <x v="401"/>
    <s v="wransonbz@ted.com"/>
    <x v="241"/>
    <x v="1"/>
    <x v="1"/>
    <x v="2"/>
    <n v="2.5"/>
    <n v="27.945"/>
    <x v="171"/>
    <x v="1"/>
  </r>
  <r>
    <s v="IKL-95976-565"/>
    <x v="355"/>
    <x v="3"/>
    <s v="December"/>
    <x v="0"/>
    <s v="53486-73919-BQ"/>
    <s v="A-M-1"/>
    <n v="2"/>
    <x v="402"/>
    <n v="0"/>
    <x v="166"/>
    <x v="0"/>
    <x v="2"/>
    <x v="0"/>
    <n v="1"/>
    <n v="11.25"/>
    <x v="122"/>
    <x v="0"/>
  </r>
  <r>
    <s v="XEY-48929-474"/>
    <x v="204"/>
    <x v="6"/>
    <s v="January"/>
    <x v="2"/>
    <s v="21889-94615-WT"/>
    <s v="L-M-2.5"/>
    <n v="6"/>
    <x v="403"/>
    <s v="lrignoldc1@miibeian.gov.cn"/>
    <x v="155"/>
    <x v="0"/>
    <x v="3"/>
    <x v="0"/>
    <n v="2.5"/>
    <n v="33.464999999999996"/>
    <x v="172"/>
    <x v="2"/>
  </r>
  <r>
    <s v="SQT-07286-736"/>
    <x v="356"/>
    <x v="6"/>
    <s v="December"/>
    <x v="0"/>
    <s v="87726-16941-QW"/>
    <s v="A-M-1"/>
    <n v="6"/>
    <x v="404"/>
    <n v="0"/>
    <x v="35"/>
    <x v="0"/>
    <x v="2"/>
    <x v="0"/>
    <n v="1"/>
    <n v="11.25"/>
    <x v="173"/>
    <x v="1"/>
  </r>
  <r>
    <s v="QDU-45390-361"/>
    <x v="357"/>
    <x v="6"/>
    <s v="November"/>
    <x v="1"/>
    <s v="03677-09134-BC"/>
    <s v="E-M-0.5"/>
    <n v="1"/>
    <x v="405"/>
    <s v="crowthornc3@msn.com"/>
    <x v="210"/>
    <x v="0"/>
    <x v="1"/>
    <x v="0"/>
    <n v="0.5"/>
    <n v="8.25"/>
    <x v="112"/>
    <x v="0"/>
  </r>
  <r>
    <s v="RUJ-30649-712"/>
    <x v="300"/>
    <x v="2"/>
    <s v="March"/>
    <x v="2"/>
    <s v="93224-71517-WV"/>
    <s v="L-L-0.2"/>
    <n v="2"/>
    <x v="406"/>
    <s v="orylandc4@deviantart.com"/>
    <x v="97"/>
    <x v="0"/>
    <x v="3"/>
    <x v="1"/>
    <n v="0.2"/>
    <n v="4.7549999999999999"/>
    <x v="54"/>
    <x v="0"/>
  </r>
  <r>
    <s v="WSV-49732-075"/>
    <x v="358"/>
    <x v="6"/>
    <s v="January"/>
    <x v="1"/>
    <s v="76263-95145-GJ"/>
    <s v="L-D-2.5"/>
    <n v="1"/>
    <x v="407"/>
    <n v="0"/>
    <x v="13"/>
    <x v="0"/>
    <x v="3"/>
    <x v="2"/>
    <n v="2.5"/>
    <n v="29.784999999999997"/>
    <x v="91"/>
    <x v="0"/>
  </r>
  <r>
    <s v="VJF-46305-323"/>
    <x v="161"/>
    <x v="2"/>
    <s v="January"/>
    <x v="0"/>
    <s v="68555-89840-GZ"/>
    <s v="L-D-0.5"/>
    <n v="2"/>
    <x v="408"/>
    <s v="msesonck@census.gov"/>
    <x v="208"/>
    <x v="0"/>
    <x v="3"/>
    <x v="2"/>
    <n v="0.5"/>
    <n v="7.77"/>
    <x v="42"/>
    <x v="0"/>
  </r>
  <r>
    <s v="CXD-74176-600"/>
    <x v="129"/>
    <x v="6"/>
    <s v="April"/>
    <x v="0"/>
    <s v="70624-19112-AO"/>
    <s v="E-L-0.5"/>
    <n v="4"/>
    <x v="409"/>
    <s v="craglessc7@webmd.com"/>
    <x v="14"/>
    <x v="1"/>
    <x v="1"/>
    <x v="1"/>
    <n v="0.5"/>
    <n v="8.91"/>
    <x v="70"/>
    <x v="0"/>
  </r>
  <r>
    <s v="ADX-50674-975"/>
    <x v="359"/>
    <x v="1"/>
    <s v="February"/>
    <x v="1"/>
    <s v="58916-61837-QH"/>
    <s v="A-M-2.5"/>
    <n v="4"/>
    <x v="410"/>
    <s v="fhollowsc8@blogtalkradio.com"/>
    <x v="73"/>
    <x v="0"/>
    <x v="2"/>
    <x v="0"/>
    <n v="2.5"/>
    <n v="25.874999999999996"/>
    <x v="68"/>
    <x v="2"/>
  </r>
  <r>
    <s v="RRP-51647-420"/>
    <x v="360"/>
    <x v="0"/>
    <s v="April"/>
    <x v="0"/>
    <s v="89292-52335-YZ"/>
    <s v="E-D-1"/>
    <n v="3"/>
    <x v="411"/>
    <s v="llathleiffc9@nationalgeographic.com"/>
    <x v="180"/>
    <x v="1"/>
    <x v="1"/>
    <x v="2"/>
    <n v="1"/>
    <n v="12.15"/>
    <x v="114"/>
    <x v="0"/>
  </r>
  <r>
    <s v="PKJ-99134-523"/>
    <x v="361"/>
    <x v="1"/>
    <s v="July"/>
    <x v="1"/>
    <s v="77284-34297-YY"/>
    <s v="R-L-0.5"/>
    <n v="5"/>
    <x v="412"/>
    <s v="kheadsca@jalbum.net"/>
    <x v="242"/>
    <x v="0"/>
    <x v="0"/>
    <x v="1"/>
    <n v="0.5"/>
    <n v="7.169999999999999"/>
    <x v="66"/>
    <x v="0"/>
  </r>
  <r>
    <s v="FZQ-29439-457"/>
    <x v="362"/>
    <x v="5"/>
    <s v="February"/>
    <x v="1"/>
    <s v="50449-80974-BZ"/>
    <s v="E-L-0.2"/>
    <n v="5"/>
    <x v="413"/>
    <s v="tbownecb@unicef.org"/>
    <x v="243"/>
    <x v="1"/>
    <x v="1"/>
    <x v="1"/>
    <n v="0.2"/>
    <n v="4.4550000000000001"/>
    <x v="110"/>
    <x v="0"/>
  </r>
  <r>
    <s v="USN-68115-161"/>
    <x v="363"/>
    <x v="5"/>
    <s v="August"/>
    <x v="1"/>
    <s v="08120-16183-AW"/>
    <s v="E-M-0.2"/>
    <n v="6"/>
    <x v="414"/>
    <s v="rjacquemardcc@acquirethisname.com"/>
    <x v="244"/>
    <x v="1"/>
    <x v="1"/>
    <x v="0"/>
    <n v="0.2"/>
    <n v="4.125"/>
    <x v="167"/>
    <x v="0"/>
  </r>
  <r>
    <s v="IXU-20263-532"/>
    <x v="364"/>
    <x v="2"/>
    <s v="November"/>
    <x v="0"/>
    <s v="68044-89277-ML"/>
    <s v="L-M-2.5"/>
    <n v="2"/>
    <x v="415"/>
    <s v="kwarmancd@printfriendly.com"/>
    <x v="201"/>
    <x v="1"/>
    <x v="3"/>
    <x v="0"/>
    <n v="2.5"/>
    <n v="33.464999999999996"/>
    <x v="174"/>
    <x v="1"/>
  </r>
  <r>
    <s v="CBT-15092-420"/>
    <x v="85"/>
    <x v="5"/>
    <s v="December"/>
    <x v="0"/>
    <s v="71364-35210-HS"/>
    <s v="L-M-0.5"/>
    <n v="1"/>
    <x v="416"/>
    <s v="wcholomince@about.com"/>
    <x v="38"/>
    <x v="2"/>
    <x v="3"/>
    <x v="0"/>
    <n v="0.5"/>
    <n v="8.73"/>
    <x v="31"/>
    <x v="0"/>
  </r>
  <r>
    <s v="PKQ-46841-696"/>
    <x v="365"/>
    <x v="1"/>
    <s v="March"/>
    <x v="3"/>
    <s v="37177-68797-ON"/>
    <s v="R-M-0.5"/>
    <n v="3"/>
    <x v="417"/>
    <s v="abraidmancf@census.gov"/>
    <x v="167"/>
    <x v="0"/>
    <x v="0"/>
    <x v="0"/>
    <n v="0.5"/>
    <n v="5.97"/>
    <x v="8"/>
    <x v="0"/>
  </r>
  <r>
    <s v="XDU-05471-219"/>
    <x v="366"/>
    <x v="3"/>
    <s v="June"/>
    <x v="2"/>
    <s v="60308-06944-GS"/>
    <s v="R-L-0.5"/>
    <n v="1"/>
    <x v="418"/>
    <s v="pdurbancg@symantec.com"/>
    <x v="245"/>
    <x v="1"/>
    <x v="0"/>
    <x v="1"/>
    <n v="0.5"/>
    <n v="7.169999999999999"/>
    <x v="53"/>
    <x v="0"/>
  </r>
  <r>
    <s v="NID-20149-329"/>
    <x v="367"/>
    <x v="0"/>
    <s v="May"/>
    <x v="1"/>
    <s v="49888-39458-PF"/>
    <s v="R-D-0.2"/>
    <n v="2"/>
    <x v="419"/>
    <s v="aharroldch@miibeian.gov.cn"/>
    <x v="45"/>
    <x v="0"/>
    <x v="0"/>
    <x v="2"/>
    <n v="0.2"/>
    <n v="2.6849999999999996"/>
    <x v="147"/>
    <x v="0"/>
  </r>
  <r>
    <s v="SVU-27222-213"/>
    <x v="142"/>
    <x v="3"/>
    <s v="January"/>
    <x v="1"/>
    <s v="60748-46813-DZ"/>
    <s v="L-L-0.2"/>
    <n v="5"/>
    <x v="420"/>
    <s v="spamphilonci@mlb.com"/>
    <x v="246"/>
    <x v="1"/>
    <x v="3"/>
    <x v="1"/>
    <n v="0.2"/>
    <n v="4.7549999999999999"/>
    <x v="29"/>
    <x v="0"/>
  </r>
  <r>
    <s v="RWI-84131-848"/>
    <x v="368"/>
    <x v="2"/>
    <s v="February"/>
    <x v="0"/>
    <s v="16385-11286-NX"/>
    <s v="R-D-2.5"/>
    <n v="2"/>
    <x v="421"/>
    <s v="mspurdencj@exblog.jp"/>
    <x v="63"/>
    <x v="0"/>
    <x v="0"/>
    <x v="2"/>
    <n v="2.5"/>
    <n v="20.584999999999997"/>
    <x v="13"/>
    <x v="0"/>
  </r>
  <r>
    <s v="GUU-40666-525"/>
    <x v="31"/>
    <x v="1"/>
    <s v="November"/>
    <x v="1"/>
    <s v="68555-89840-GZ"/>
    <s v="A-L-0.2"/>
    <n v="3"/>
    <x v="408"/>
    <s v="msesonck@census.gov"/>
    <x v="208"/>
    <x v="0"/>
    <x v="2"/>
    <x v="1"/>
    <n v="0.2"/>
    <n v="3.8849999999999998"/>
    <x v="14"/>
    <x v="0"/>
  </r>
  <r>
    <s v="SCN-51395-066"/>
    <x v="369"/>
    <x v="5"/>
    <s v="January"/>
    <x v="2"/>
    <s v="72164-90254-EJ"/>
    <s v="L-L-0.5"/>
    <n v="4"/>
    <x v="422"/>
    <s v="npirronecl@weibo.com"/>
    <x v="156"/>
    <x v="0"/>
    <x v="3"/>
    <x v="1"/>
    <n v="0.5"/>
    <n v="9.51"/>
    <x v="82"/>
    <x v="0"/>
  </r>
  <r>
    <s v="ULA-24644-321"/>
    <x v="370"/>
    <x v="2"/>
    <s v="August"/>
    <x v="1"/>
    <s v="67010-92988-CT"/>
    <s v="R-D-2.5"/>
    <n v="4"/>
    <x v="423"/>
    <s v="rcawleycm@yellowbook.com"/>
    <x v="247"/>
    <x v="1"/>
    <x v="0"/>
    <x v="2"/>
    <n v="2.5"/>
    <n v="20.584999999999997"/>
    <x v="18"/>
    <x v="1"/>
  </r>
  <r>
    <s v="EOL-92666-762"/>
    <x v="371"/>
    <x v="4"/>
    <s v="January"/>
    <x v="3"/>
    <s v="15776-91507-GT"/>
    <s v="L-L-0.2"/>
    <n v="2"/>
    <x v="424"/>
    <s v="sbarribalcn@microsoft.com"/>
    <x v="248"/>
    <x v="1"/>
    <x v="3"/>
    <x v="1"/>
    <n v="0.2"/>
    <n v="4.7549999999999999"/>
    <x v="54"/>
    <x v="0"/>
  </r>
  <r>
    <s v="AJV-18231-334"/>
    <x v="372"/>
    <x v="6"/>
    <s v="July"/>
    <x v="3"/>
    <s v="23473-41001-CD"/>
    <s v="R-D-2.5"/>
    <n v="2"/>
    <x v="425"/>
    <s v="aadamidesco@bizjournals.com"/>
    <x v="60"/>
    <x v="2"/>
    <x v="0"/>
    <x v="2"/>
    <n v="2.5"/>
    <n v="20.584999999999997"/>
    <x v="13"/>
    <x v="0"/>
  </r>
  <r>
    <s v="ZQI-47236-301"/>
    <x v="373"/>
    <x v="0"/>
    <s v="July"/>
    <x v="0"/>
    <s v="23446-47798-ID"/>
    <s v="L-L-0.5"/>
    <n v="5"/>
    <x v="426"/>
    <s v="cthowescp@craigslist.org"/>
    <x v="36"/>
    <x v="0"/>
    <x v="3"/>
    <x v="1"/>
    <n v="0.5"/>
    <n v="9.51"/>
    <x v="46"/>
    <x v="0"/>
  </r>
  <r>
    <s v="ZCR-15721-658"/>
    <x v="374"/>
    <x v="0"/>
    <s v="May"/>
    <x v="2"/>
    <s v="28327-84469-ND"/>
    <s v="A-M-1"/>
    <n v="4"/>
    <x v="427"/>
    <s v="rwillowaycq@admin.ch"/>
    <x v="31"/>
    <x v="0"/>
    <x v="2"/>
    <x v="0"/>
    <n v="1"/>
    <n v="11.25"/>
    <x v="157"/>
    <x v="0"/>
  </r>
  <r>
    <s v="QEW-47945-682"/>
    <x v="319"/>
    <x v="2"/>
    <s v="January"/>
    <x v="3"/>
    <s v="42466-87067-DT"/>
    <s v="L-L-0.2"/>
    <n v="5"/>
    <x v="428"/>
    <s v="aelwincr@privacy.gov.au"/>
    <x v="30"/>
    <x v="0"/>
    <x v="3"/>
    <x v="1"/>
    <n v="0.2"/>
    <n v="4.7549999999999999"/>
    <x v="29"/>
    <x v="0"/>
  </r>
  <r>
    <s v="PSY-45485-542"/>
    <x v="375"/>
    <x v="2"/>
    <s v="May"/>
    <x v="0"/>
    <s v="62246-99443-HF"/>
    <s v="R-D-0.5"/>
    <n v="3"/>
    <x v="429"/>
    <s v="abilbrookcs@booking.com"/>
    <x v="249"/>
    <x v="1"/>
    <x v="0"/>
    <x v="2"/>
    <n v="0.5"/>
    <n v="5.3699999999999992"/>
    <x v="103"/>
    <x v="0"/>
  </r>
  <r>
    <s v="BAQ-74241-156"/>
    <x v="376"/>
    <x v="2"/>
    <s v="July"/>
    <x v="3"/>
    <s v="99869-55718-UU"/>
    <s v="R-D-0.2"/>
    <n v="4"/>
    <x v="430"/>
    <s v="rmckallct@sakura.ne.jp"/>
    <x v="250"/>
    <x v="2"/>
    <x v="0"/>
    <x v="2"/>
    <n v="0.2"/>
    <n v="2.6849999999999996"/>
    <x v="175"/>
    <x v="0"/>
  </r>
  <r>
    <s v="BVU-77367-451"/>
    <x v="377"/>
    <x v="5"/>
    <s v="October"/>
    <x v="3"/>
    <s v="77421-46059-RY"/>
    <s v="A-D-1"/>
    <n v="5"/>
    <x v="431"/>
    <s v="bdailecu@vistaprint.com"/>
    <x v="161"/>
    <x v="0"/>
    <x v="2"/>
    <x v="2"/>
    <n v="1"/>
    <n v="9.9499999999999993"/>
    <x v="12"/>
    <x v="0"/>
  </r>
  <r>
    <s v="TJE-91516-344"/>
    <x v="378"/>
    <x v="6"/>
    <s v="September"/>
    <x v="0"/>
    <s v="49894-06550-OQ"/>
    <s v="E-M-1"/>
    <n v="2"/>
    <x v="432"/>
    <s v="atrehernecv@state.tx.us"/>
    <x v="251"/>
    <x v="1"/>
    <x v="1"/>
    <x v="0"/>
    <n v="1"/>
    <n v="13.75"/>
    <x v="3"/>
    <x v="0"/>
  </r>
  <r>
    <s v="LIS-96202-702"/>
    <x v="277"/>
    <x v="6"/>
    <s v="June"/>
    <x v="3"/>
    <s v="72028-63343-SU"/>
    <s v="L-D-2.5"/>
    <n v="4"/>
    <x v="433"/>
    <s v="abrentnallcw@biglobe.ne.jp"/>
    <x v="252"/>
    <x v="2"/>
    <x v="3"/>
    <x v="2"/>
    <n v="2.5"/>
    <n v="29.784999999999997"/>
    <x v="129"/>
    <x v="2"/>
  </r>
  <r>
    <s v="VIO-27668-766"/>
    <x v="379"/>
    <x v="6"/>
    <s v="December"/>
    <x v="0"/>
    <s v="10074-20104-NN"/>
    <s v="R-D-2.5"/>
    <n v="1"/>
    <x v="434"/>
    <s v="ddrinkallcx@psu.edu"/>
    <x v="203"/>
    <x v="0"/>
    <x v="0"/>
    <x v="2"/>
    <n v="2.5"/>
    <n v="20.584999999999997"/>
    <x v="123"/>
    <x v="0"/>
  </r>
  <r>
    <s v="ZVG-20473-043"/>
    <x v="86"/>
    <x v="6"/>
    <s v="December"/>
    <x v="3"/>
    <s v="71769-10219-IM"/>
    <s v="A-D-0.2"/>
    <n v="3"/>
    <x v="435"/>
    <s v="dkornelcy@cyberchimps.com"/>
    <x v="253"/>
    <x v="0"/>
    <x v="2"/>
    <x v="2"/>
    <n v="0.2"/>
    <n v="2.9849999999999999"/>
    <x v="169"/>
    <x v="0"/>
  </r>
  <r>
    <s v="KGZ-56395-231"/>
    <x v="380"/>
    <x v="3"/>
    <s v="December"/>
    <x v="1"/>
    <s v="22221-71106-JD"/>
    <s v="A-D-0.5"/>
    <n v="1"/>
    <x v="436"/>
    <s v="rlequeuxcz@newyorker.com"/>
    <x v="254"/>
    <x v="0"/>
    <x v="2"/>
    <x v="2"/>
    <n v="0.5"/>
    <n v="5.97"/>
    <x v="9"/>
    <x v="0"/>
  </r>
  <r>
    <s v="CUU-92244-729"/>
    <x v="381"/>
    <x v="4"/>
    <s v="July"/>
    <x v="3"/>
    <s v="99735-44927-OL"/>
    <s v="E-M-1"/>
    <n v="3"/>
    <x v="437"/>
    <s v="jmccaulld0@parallels.com"/>
    <x v="255"/>
    <x v="0"/>
    <x v="1"/>
    <x v="0"/>
    <n v="1"/>
    <n v="13.75"/>
    <x v="1"/>
    <x v="0"/>
  </r>
  <r>
    <s v="EHE-94714-312"/>
    <x v="382"/>
    <x v="3"/>
    <s v="June"/>
    <x v="1"/>
    <s v="27132-68907-RC"/>
    <s v="E-L-0.2"/>
    <n v="5"/>
    <x v="438"/>
    <s v="abrashda@plala.or.jp"/>
    <x v="256"/>
    <x v="0"/>
    <x v="1"/>
    <x v="1"/>
    <n v="0.2"/>
    <n v="4.4550000000000001"/>
    <x v="110"/>
    <x v="0"/>
  </r>
  <r>
    <s v="RTL-16205-161"/>
    <x v="11"/>
    <x v="5"/>
    <s v="April"/>
    <x v="2"/>
    <s v="90440-62727-HI"/>
    <s v="A-M-0.5"/>
    <n v="1"/>
    <x v="439"/>
    <s v="ahutchinsond2@imgur.com"/>
    <x v="227"/>
    <x v="0"/>
    <x v="2"/>
    <x v="0"/>
    <n v="0.5"/>
    <n v="6.75"/>
    <x v="52"/>
    <x v="0"/>
  </r>
  <r>
    <s v="GTS-22482-014"/>
    <x v="167"/>
    <x v="0"/>
    <s v="March"/>
    <x v="2"/>
    <s v="36769-16558-SX"/>
    <s v="L-M-2.5"/>
    <n v="4"/>
    <x v="440"/>
    <n v="0"/>
    <x v="210"/>
    <x v="0"/>
    <x v="3"/>
    <x v="0"/>
    <n v="2.5"/>
    <n v="33.464999999999996"/>
    <x v="136"/>
    <x v="2"/>
  </r>
  <r>
    <s v="DYG-25473-881"/>
    <x v="383"/>
    <x v="4"/>
    <s v="February"/>
    <x v="3"/>
    <s v="10138-31681-SD"/>
    <s v="A-D-0.2"/>
    <n v="2"/>
    <x v="441"/>
    <s v="rdriversd4@hexun.com"/>
    <x v="153"/>
    <x v="0"/>
    <x v="2"/>
    <x v="2"/>
    <n v="0.2"/>
    <n v="2.9849999999999999"/>
    <x v="9"/>
    <x v="0"/>
  </r>
  <r>
    <s v="HTR-21838-286"/>
    <x v="18"/>
    <x v="2"/>
    <s v="February"/>
    <x v="2"/>
    <s v="24669-76297-SF"/>
    <s v="A-L-1"/>
    <n v="2"/>
    <x v="442"/>
    <s v="hzeald5@google.de"/>
    <x v="208"/>
    <x v="0"/>
    <x v="2"/>
    <x v="1"/>
    <n v="1"/>
    <n v="12.95"/>
    <x v="109"/>
    <x v="0"/>
  </r>
  <r>
    <s v="KYG-28296-920"/>
    <x v="84"/>
    <x v="0"/>
    <s v="July"/>
    <x v="3"/>
    <s v="78050-20355-DI"/>
    <s v="E-M-2.5"/>
    <n v="1"/>
    <x v="443"/>
    <s v="gsmallcombed6@ucla.edu"/>
    <x v="165"/>
    <x v="1"/>
    <x v="1"/>
    <x v="0"/>
    <n v="2.5"/>
    <n v="31.624999999999996"/>
    <x v="176"/>
    <x v="0"/>
  </r>
  <r>
    <s v="NNB-20459-430"/>
    <x v="384"/>
    <x v="3"/>
    <s v="July"/>
    <x v="2"/>
    <s v="79825-17822-UH"/>
    <s v="L-M-0.2"/>
    <n v="2"/>
    <x v="444"/>
    <s v="ddibleyd7@feedburner.com"/>
    <x v="257"/>
    <x v="0"/>
    <x v="3"/>
    <x v="0"/>
    <n v="0.2"/>
    <n v="4.3650000000000002"/>
    <x v="31"/>
    <x v="0"/>
  </r>
  <r>
    <s v="FEK-14025-351"/>
    <x v="385"/>
    <x v="2"/>
    <s v="March"/>
    <x v="1"/>
    <s v="03990-21586-MQ"/>
    <s v="E-L-0.2"/>
    <n v="6"/>
    <x v="445"/>
    <s v="gdimitrioud8@chronoengine.com"/>
    <x v="36"/>
    <x v="0"/>
    <x v="1"/>
    <x v="1"/>
    <n v="0.2"/>
    <n v="4.4550000000000001"/>
    <x v="149"/>
    <x v="0"/>
  </r>
  <r>
    <s v="AWH-16980-469"/>
    <x v="386"/>
    <x v="3"/>
    <s v="May"/>
    <x v="3"/>
    <s v="27493-46921-TZ"/>
    <s v="L-M-0.2"/>
    <n v="6"/>
    <x v="446"/>
    <s v="fflanagand9@woothemes.com"/>
    <x v="211"/>
    <x v="0"/>
    <x v="3"/>
    <x v="0"/>
    <n v="0.2"/>
    <n v="4.3650000000000002"/>
    <x v="50"/>
    <x v="0"/>
  </r>
  <r>
    <s v="ZPW-31329-741"/>
    <x v="387"/>
    <x v="4"/>
    <s v="June"/>
    <x v="0"/>
    <s v="27132-68907-RC"/>
    <s v="R-D-1"/>
    <n v="6"/>
    <x v="438"/>
    <s v="abrashda@plala.or.jp"/>
    <x v="256"/>
    <x v="0"/>
    <x v="0"/>
    <x v="2"/>
    <n v="1"/>
    <n v="8.9499999999999993"/>
    <x v="59"/>
    <x v="1"/>
  </r>
  <r>
    <s v="ZPW-31329-741"/>
    <x v="387"/>
    <x v="4"/>
    <s v="June"/>
    <x v="0"/>
    <s v="27132-68907-RC"/>
    <s v="E-M-2.5"/>
    <n v="4"/>
    <x v="438"/>
    <s v="abrashda@plala.or.jp"/>
    <x v="256"/>
    <x v="0"/>
    <x v="1"/>
    <x v="0"/>
    <n v="2.5"/>
    <n v="31.624999999999996"/>
    <x v="177"/>
    <x v="2"/>
  </r>
  <r>
    <s v="ZPW-31329-741"/>
    <x v="387"/>
    <x v="4"/>
    <s v="June"/>
    <x v="0"/>
    <s v="27132-68907-RC"/>
    <s v="E-M-0.2"/>
    <n v="1"/>
    <x v="438"/>
    <s v="abrashda@plala.or.jp"/>
    <x v="256"/>
    <x v="0"/>
    <x v="1"/>
    <x v="0"/>
    <n v="0.2"/>
    <n v="4.125"/>
    <x v="83"/>
    <x v="0"/>
  </r>
  <r>
    <s v="UBI-83843-396"/>
    <x v="388"/>
    <x v="1"/>
    <s v="October"/>
    <x v="0"/>
    <s v="58816-74064-TF"/>
    <s v="R-L-1"/>
    <n v="2"/>
    <x v="447"/>
    <s v="nizhakovdd@aol.com"/>
    <x v="258"/>
    <x v="2"/>
    <x v="0"/>
    <x v="1"/>
    <n v="1"/>
    <n v="11.95"/>
    <x v="178"/>
    <x v="0"/>
  </r>
  <r>
    <s v="VID-40587-569"/>
    <x v="389"/>
    <x v="4"/>
    <s v="February"/>
    <x v="1"/>
    <s v="09818-59895-EH"/>
    <s v="E-D-2.5"/>
    <n v="5"/>
    <x v="448"/>
    <s v="skeetsde@answers.com"/>
    <x v="117"/>
    <x v="0"/>
    <x v="1"/>
    <x v="2"/>
    <n v="2.5"/>
    <n v="27.945"/>
    <x v="141"/>
    <x v="2"/>
  </r>
  <r>
    <s v="KBB-52530-416"/>
    <x v="229"/>
    <x v="0"/>
    <s v="November"/>
    <x v="0"/>
    <s v="06488-46303-IZ"/>
    <s v="L-D-2.5"/>
    <n v="2"/>
    <x v="449"/>
    <n v="0"/>
    <x v="147"/>
    <x v="0"/>
    <x v="3"/>
    <x v="2"/>
    <n v="2.5"/>
    <n v="29.784999999999997"/>
    <x v="120"/>
    <x v="1"/>
  </r>
  <r>
    <s v="ISJ-48676-420"/>
    <x v="390"/>
    <x v="6"/>
    <s v="October"/>
    <x v="1"/>
    <s v="93046-67561-AY"/>
    <s v="L-L-0.5"/>
    <n v="6"/>
    <x v="450"/>
    <s v="kcakedg@huffingtonpost.com"/>
    <x v="7"/>
    <x v="0"/>
    <x v="3"/>
    <x v="1"/>
    <n v="0.5"/>
    <n v="9.51"/>
    <x v="30"/>
    <x v="1"/>
  </r>
  <r>
    <s v="MIF-17920-768"/>
    <x v="391"/>
    <x v="0"/>
    <s v="August"/>
    <x v="1"/>
    <s v="68946-40750-LK"/>
    <s v="R-L-0.2"/>
    <n v="6"/>
    <x v="451"/>
    <s v="mhanseddh@instagram.com"/>
    <x v="259"/>
    <x v="1"/>
    <x v="0"/>
    <x v="1"/>
    <n v="0.2"/>
    <n v="3.5849999999999995"/>
    <x v="137"/>
    <x v="0"/>
  </r>
  <r>
    <s v="CPX-19312-088"/>
    <x v="117"/>
    <x v="2"/>
    <s v="July"/>
    <x v="3"/>
    <s v="38387-64959-WW"/>
    <s v="L-M-0.5"/>
    <n v="6"/>
    <x v="452"/>
    <s v="fkienleindi@trellian.com"/>
    <x v="260"/>
    <x v="1"/>
    <x v="3"/>
    <x v="0"/>
    <n v="0.5"/>
    <n v="8.73"/>
    <x v="28"/>
    <x v="1"/>
  </r>
  <r>
    <s v="RXI-67978-260"/>
    <x v="392"/>
    <x v="4"/>
    <s v="September"/>
    <x v="3"/>
    <s v="48418-60841-CC"/>
    <s v="E-D-1"/>
    <n v="6"/>
    <x v="453"/>
    <s v="kegglestonedj@sphinn.com"/>
    <x v="260"/>
    <x v="1"/>
    <x v="1"/>
    <x v="2"/>
    <n v="1"/>
    <n v="12.15"/>
    <x v="118"/>
    <x v="1"/>
  </r>
  <r>
    <s v="LKE-14821-285"/>
    <x v="393"/>
    <x v="6"/>
    <s v="May"/>
    <x v="3"/>
    <s v="13736-92418-JS"/>
    <s v="R-M-0.2"/>
    <n v="5"/>
    <x v="454"/>
    <s v="bsemkinsdk@unc.edu"/>
    <x v="261"/>
    <x v="1"/>
    <x v="0"/>
    <x v="0"/>
    <n v="0.2"/>
    <n v="2.9849999999999999"/>
    <x v="128"/>
    <x v="0"/>
  </r>
  <r>
    <s v="LRK-97117-150"/>
    <x v="394"/>
    <x v="3"/>
    <s v="July"/>
    <x v="0"/>
    <s v="33000-22405-LO"/>
    <s v="L-L-1"/>
    <n v="6"/>
    <x v="455"/>
    <s v="slorenzettidl@is.gd"/>
    <x v="87"/>
    <x v="0"/>
    <x v="3"/>
    <x v="1"/>
    <n v="1"/>
    <n v="15.85"/>
    <x v="179"/>
    <x v="1"/>
  </r>
  <r>
    <s v="IGK-51227-573"/>
    <x v="137"/>
    <x v="4"/>
    <s v="October"/>
    <x v="0"/>
    <s v="46959-60474-LT"/>
    <s v="L-D-0.5"/>
    <n v="2"/>
    <x v="456"/>
    <s v="bgiannazzidm@apple.com"/>
    <x v="42"/>
    <x v="0"/>
    <x v="3"/>
    <x v="2"/>
    <n v="0.5"/>
    <n v="7.77"/>
    <x v="42"/>
    <x v="0"/>
  </r>
  <r>
    <s v="ZAY-43009-775"/>
    <x v="395"/>
    <x v="6"/>
    <s v="September"/>
    <x v="3"/>
    <s v="73431-39823-UP"/>
    <s v="L-D-0.2"/>
    <n v="6"/>
    <x v="457"/>
    <n v="0"/>
    <x v="207"/>
    <x v="0"/>
    <x v="3"/>
    <x v="2"/>
    <n v="0.2"/>
    <n v="3.8849999999999998"/>
    <x v="102"/>
    <x v="0"/>
  </r>
  <r>
    <s v="EMA-63190-618"/>
    <x v="396"/>
    <x v="3"/>
    <s v="February"/>
    <x v="2"/>
    <s v="90993-98984-JK"/>
    <s v="E-M-0.2"/>
    <n v="1"/>
    <x v="458"/>
    <s v="ulethbrigdo@hc360.com"/>
    <x v="166"/>
    <x v="0"/>
    <x v="1"/>
    <x v="0"/>
    <n v="0.2"/>
    <n v="4.125"/>
    <x v="83"/>
    <x v="0"/>
  </r>
  <r>
    <s v="FBI-35855-418"/>
    <x v="189"/>
    <x v="1"/>
    <s v="September"/>
    <x v="3"/>
    <s v="06552-04430-AG"/>
    <s v="R-M-0.5"/>
    <n v="6"/>
    <x v="459"/>
    <s v="sfarnishdp@dmoz.org"/>
    <x v="194"/>
    <x v="2"/>
    <x v="0"/>
    <x v="0"/>
    <n v="0.5"/>
    <n v="5.97"/>
    <x v="27"/>
    <x v="0"/>
  </r>
  <r>
    <s v="TXB-80533-417"/>
    <x v="8"/>
    <x v="1"/>
    <s v="October"/>
    <x v="3"/>
    <s v="54597-57004-QM"/>
    <s v="L-L-1"/>
    <n v="2"/>
    <x v="460"/>
    <s v="fjecockdq@unicef.org"/>
    <x v="163"/>
    <x v="0"/>
    <x v="3"/>
    <x v="1"/>
    <n v="1"/>
    <n v="15.85"/>
    <x v="124"/>
    <x v="0"/>
  </r>
  <r>
    <s v="MBM-00112-248"/>
    <x v="397"/>
    <x v="3"/>
    <s v="September"/>
    <x v="0"/>
    <s v="50238-24377-ZS"/>
    <s v="L-L-1"/>
    <n v="5"/>
    <x v="461"/>
    <n v="0"/>
    <x v="189"/>
    <x v="0"/>
    <x v="3"/>
    <x v="1"/>
    <n v="1"/>
    <n v="15.85"/>
    <x v="180"/>
    <x v="1"/>
  </r>
  <r>
    <s v="EUO-69145-988"/>
    <x v="398"/>
    <x v="3"/>
    <s v="August"/>
    <x v="1"/>
    <s v="60370-41934-IF"/>
    <s v="E-D-0.2"/>
    <n v="3"/>
    <x v="462"/>
    <s v="hpallisterds@ning.com"/>
    <x v="48"/>
    <x v="0"/>
    <x v="1"/>
    <x v="2"/>
    <n v="0.2"/>
    <n v="3.645"/>
    <x v="47"/>
    <x v="0"/>
  </r>
  <r>
    <s v="GYA-80327-368"/>
    <x v="399"/>
    <x v="2"/>
    <s v="June"/>
    <x v="1"/>
    <s v="06899-54551-EH"/>
    <s v="A-D-1"/>
    <n v="4"/>
    <x v="463"/>
    <s v="cmershdt@drupal.org"/>
    <x v="262"/>
    <x v="1"/>
    <x v="2"/>
    <x v="2"/>
    <n v="1"/>
    <n v="9.9499999999999993"/>
    <x v="10"/>
    <x v="0"/>
  </r>
  <r>
    <s v="TNW-41601-420"/>
    <x v="400"/>
    <x v="5"/>
    <s v="November"/>
    <x v="3"/>
    <s v="66458-91190-YC"/>
    <s v="R-M-1"/>
    <n v="5"/>
    <x v="464"/>
    <s v="murione5@alexa.com"/>
    <x v="263"/>
    <x v="1"/>
    <x v="0"/>
    <x v="0"/>
    <n v="1"/>
    <n v="9.9499999999999993"/>
    <x v="12"/>
    <x v="0"/>
  </r>
  <r>
    <s v="ALR-62963-723"/>
    <x v="401"/>
    <x v="6"/>
    <s v="June"/>
    <x v="3"/>
    <s v="80463-43913-WZ"/>
    <s v="R-D-0.2"/>
    <n v="3"/>
    <x v="465"/>
    <n v="0"/>
    <x v="146"/>
    <x v="1"/>
    <x v="0"/>
    <x v="2"/>
    <n v="0.2"/>
    <n v="2.6849999999999996"/>
    <x v="36"/>
    <x v="0"/>
  </r>
  <r>
    <s v="JIG-27636-870"/>
    <x v="402"/>
    <x v="3"/>
    <s v="July"/>
    <x v="3"/>
    <s v="67204-04870-LG"/>
    <s v="R-L-1"/>
    <n v="4"/>
    <x v="466"/>
    <n v="0"/>
    <x v="16"/>
    <x v="0"/>
    <x v="0"/>
    <x v="1"/>
    <n v="1"/>
    <n v="11.95"/>
    <x v="62"/>
    <x v="0"/>
  </r>
  <r>
    <s v="CTE-31437-326"/>
    <x v="6"/>
    <x v="1"/>
    <s v="January"/>
    <x v="0"/>
    <s v="22721-63196-UJ"/>
    <s v="R-M-0.2"/>
    <n v="4"/>
    <x v="467"/>
    <s v="gduckerdx@patch.com"/>
    <x v="197"/>
    <x v="2"/>
    <x v="0"/>
    <x v="0"/>
    <n v="0.2"/>
    <n v="2.9849999999999999"/>
    <x v="22"/>
    <x v="0"/>
  </r>
  <r>
    <s v="CTE-31437-326"/>
    <x v="6"/>
    <x v="1"/>
    <s v="January"/>
    <x v="0"/>
    <s v="22721-63196-UJ"/>
    <s v="E-M-0.2"/>
    <n v="4"/>
    <x v="467"/>
    <s v="gduckerdx@patch.com"/>
    <x v="197"/>
    <x v="2"/>
    <x v="1"/>
    <x v="0"/>
    <n v="0.2"/>
    <n v="4.125"/>
    <x v="38"/>
    <x v="0"/>
  </r>
  <r>
    <s v="CTE-31437-326"/>
    <x v="6"/>
    <x v="1"/>
    <s v="January"/>
    <x v="0"/>
    <s v="22721-63196-UJ"/>
    <s v="L-D-1"/>
    <n v="4"/>
    <x v="467"/>
    <s v="gduckerdx@patch.com"/>
    <x v="197"/>
    <x v="2"/>
    <x v="3"/>
    <x v="2"/>
    <n v="1"/>
    <n v="12.95"/>
    <x v="67"/>
    <x v="1"/>
  </r>
  <r>
    <s v="CTE-31437-326"/>
    <x v="6"/>
    <x v="1"/>
    <s v="January"/>
    <x v="0"/>
    <s v="22721-63196-UJ"/>
    <s v="L-L-0.2"/>
    <n v="3"/>
    <x v="467"/>
    <s v="gduckerdx@patch.com"/>
    <x v="197"/>
    <x v="2"/>
    <x v="3"/>
    <x v="1"/>
    <n v="0.2"/>
    <n v="4.7549999999999999"/>
    <x v="181"/>
    <x v="0"/>
  </r>
  <r>
    <s v="SLD-63003-334"/>
    <x v="403"/>
    <x v="0"/>
    <s v="February"/>
    <x v="2"/>
    <s v="55515-37571-RS"/>
    <s v="L-M-0.2"/>
    <n v="6"/>
    <x v="468"/>
    <s v="wstearleye1@census.gov"/>
    <x v="264"/>
    <x v="0"/>
    <x v="3"/>
    <x v="0"/>
    <n v="0.2"/>
    <n v="4.3650000000000002"/>
    <x v="50"/>
    <x v="0"/>
  </r>
  <r>
    <s v="BXN-64230-789"/>
    <x v="404"/>
    <x v="4"/>
    <s v="December"/>
    <x v="3"/>
    <s v="25598-77476-CB"/>
    <s v="A-L-1"/>
    <n v="2"/>
    <x v="469"/>
    <s v="dwincere2@marriott.com"/>
    <x v="87"/>
    <x v="0"/>
    <x v="2"/>
    <x v="1"/>
    <n v="1"/>
    <n v="12.95"/>
    <x v="109"/>
    <x v="0"/>
  </r>
  <r>
    <s v="XEE-37895-169"/>
    <x v="21"/>
    <x v="1"/>
    <s v="February"/>
    <x v="0"/>
    <s v="14888-85625-TM"/>
    <s v="A-L-2.5"/>
    <n v="3"/>
    <x v="470"/>
    <s v="plyfielde3@baidu.com"/>
    <x v="265"/>
    <x v="0"/>
    <x v="2"/>
    <x v="1"/>
    <n v="2.5"/>
    <n v="29.784999999999997"/>
    <x v="49"/>
    <x v="1"/>
  </r>
  <r>
    <s v="ZTX-80764-911"/>
    <x v="239"/>
    <x v="0"/>
    <s v="January"/>
    <x v="1"/>
    <s v="92793-68332-NR"/>
    <s v="L-D-0.5"/>
    <n v="6"/>
    <x v="471"/>
    <s v="hperrise4@studiopress.com"/>
    <x v="266"/>
    <x v="1"/>
    <x v="3"/>
    <x v="2"/>
    <n v="0.5"/>
    <n v="7.77"/>
    <x v="162"/>
    <x v="0"/>
  </r>
  <r>
    <s v="WVT-88135-549"/>
    <x v="405"/>
    <x v="4"/>
    <s v="November"/>
    <x v="0"/>
    <s v="66458-91190-YC"/>
    <s v="A-D-1"/>
    <n v="3"/>
    <x v="464"/>
    <s v="murione5@alexa.com"/>
    <x v="263"/>
    <x v="1"/>
    <x v="2"/>
    <x v="2"/>
    <n v="1"/>
    <n v="9.9499999999999993"/>
    <x v="44"/>
    <x v="0"/>
  </r>
  <r>
    <s v="IPA-94170-889"/>
    <x v="292"/>
    <x v="1"/>
    <s v="December"/>
    <x v="0"/>
    <s v="64439-27325-LG"/>
    <s v="R-L-0.2"/>
    <n v="3"/>
    <x v="472"/>
    <s v="ckide6@narod.ru"/>
    <x v="230"/>
    <x v="1"/>
    <x v="0"/>
    <x v="1"/>
    <n v="0.2"/>
    <n v="3.5849999999999995"/>
    <x v="127"/>
    <x v="0"/>
  </r>
  <r>
    <s v="YQL-63755-365"/>
    <x v="117"/>
    <x v="2"/>
    <s v="July"/>
    <x v="3"/>
    <s v="78570-76770-LB"/>
    <s v="A-M-0.2"/>
    <n v="4"/>
    <x v="473"/>
    <s v="cbeinee7@xinhuanet.com"/>
    <x v="38"/>
    <x v="0"/>
    <x v="2"/>
    <x v="0"/>
    <n v="0.2"/>
    <n v="3.375"/>
    <x v="72"/>
    <x v="0"/>
  </r>
  <r>
    <s v="RKW-81145-984"/>
    <x v="406"/>
    <x v="3"/>
    <s v="March"/>
    <x v="0"/>
    <s v="98661-69719-VI"/>
    <s v="L-L-1"/>
    <n v="3"/>
    <x v="474"/>
    <s v="cbakeupe8@globo.com"/>
    <x v="267"/>
    <x v="0"/>
    <x v="3"/>
    <x v="1"/>
    <n v="1"/>
    <n v="15.85"/>
    <x v="46"/>
    <x v="0"/>
  </r>
  <r>
    <s v="MBT-23379-866"/>
    <x v="407"/>
    <x v="5"/>
    <s v="May"/>
    <x v="2"/>
    <s v="82990-92703-IX"/>
    <s v="L-L-1"/>
    <n v="5"/>
    <x v="475"/>
    <s v="nhelkine9@example.com"/>
    <x v="11"/>
    <x v="0"/>
    <x v="3"/>
    <x v="1"/>
    <n v="1"/>
    <n v="15.85"/>
    <x v="180"/>
    <x v="1"/>
  </r>
  <r>
    <s v="GEJ-39834-935"/>
    <x v="408"/>
    <x v="4"/>
    <s v="December"/>
    <x v="1"/>
    <s v="49412-86877-VY"/>
    <s v="L-M-0.2"/>
    <n v="6"/>
    <x v="476"/>
    <s v="pwitheringtonea@networkadvertising.org"/>
    <x v="135"/>
    <x v="0"/>
    <x v="3"/>
    <x v="0"/>
    <n v="0.2"/>
    <n v="4.3650000000000002"/>
    <x v="50"/>
    <x v="0"/>
  </r>
  <r>
    <s v="KRW-91640-596"/>
    <x v="409"/>
    <x v="2"/>
    <s v="April"/>
    <x v="2"/>
    <s v="70879-00984-FJ"/>
    <s v="R-L-0.5"/>
    <n v="3"/>
    <x v="477"/>
    <s v="ttilzeyeb@hostgator.com"/>
    <x v="10"/>
    <x v="0"/>
    <x v="0"/>
    <x v="1"/>
    <n v="0.5"/>
    <n v="7.169999999999999"/>
    <x v="137"/>
    <x v="0"/>
  </r>
  <r>
    <s v="AOT-70449-651"/>
    <x v="410"/>
    <x v="4"/>
    <s v="June"/>
    <x v="2"/>
    <s v="53414-73391-CR"/>
    <s v="R-D-2.5"/>
    <n v="5"/>
    <x v="478"/>
    <n v="0"/>
    <x v="268"/>
    <x v="0"/>
    <x v="0"/>
    <x v="2"/>
    <n v="2.5"/>
    <n v="20.584999999999997"/>
    <x v="182"/>
    <x v="2"/>
  </r>
  <r>
    <s v="DGC-21813-731"/>
    <x v="127"/>
    <x v="1"/>
    <s v="April"/>
    <x v="2"/>
    <s v="43606-83072-OA"/>
    <s v="L-D-0.2"/>
    <n v="2"/>
    <x v="479"/>
    <n v="0"/>
    <x v="269"/>
    <x v="0"/>
    <x v="3"/>
    <x v="2"/>
    <n v="0.2"/>
    <n v="3.8849999999999998"/>
    <x v="41"/>
    <x v="0"/>
  </r>
  <r>
    <s v="JBE-92943-643"/>
    <x v="411"/>
    <x v="5"/>
    <s v="December"/>
    <x v="3"/>
    <s v="84466-22864-CE"/>
    <s v="E-D-2.5"/>
    <n v="5"/>
    <x v="480"/>
    <s v="kimortsee@alexa.com"/>
    <x v="270"/>
    <x v="0"/>
    <x v="1"/>
    <x v="2"/>
    <n v="2.5"/>
    <n v="27.945"/>
    <x v="141"/>
    <x v="2"/>
  </r>
  <r>
    <s v="ZIL-34948-499"/>
    <x v="112"/>
    <x v="5"/>
    <s v="July"/>
    <x v="3"/>
    <s v="66458-91190-YC"/>
    <s v="A-D-0.5"/>
    <n v="2"/>
    <x v="464"/>
    <s v="murione5@alexa.com"/>
    <x v="263"/>
    <x v="1"/>
    <x v="2"/>
    <x v="2"/>
    <n v="0.5"/>
    <n v="5.97"/>
    <x v="22"/>
    <x v="0"/>
  </r>
  <r>
    <s v="JSU-23781-256"/>
    <x v="412"/>
    <x v="5"/>
    <s v="September"/>
    <x v="1"/>
    <s v="76499-89100-JQ"/>
    <s v="L-D-0.2"/>
    <n v="1"/>
    <x v="481"/>
    <s v="marmisteadeg@blogtalkradio.com"/>
    <x v="32"/>
    <x v="0"/>
    <x v="3"/>
    <x v="2"/>
    <n v="0.2"/>
    <n v="3.8849999999999998"/>
    <x v="84"/>
    <x v="0"/>
  </r>
  <r>
    <s v="JSU-23781-256"/>
    <x v="412"/>
    <x v="5"/>
    <s v="September"/>
    <x v="1"/>
    <s v="76499-89100-JQ"/>
    <s v="R-M-1"/>
    <n v="4"/>
    <x v="481"/>
    <s v="marmisteadeg@blogtalkradio.com"/>
    <x v="32"/>
    <x v="0"/>
    <x v="0"/>
    <x v="0"/>
    <n v="1"/>
    <n v="9.9499999999999993"/>
    <x v="10"/>
    <x v="0"/>
  </r>
  <r>
    <s v="VPX-44956-367"/>
    <x v="413"/>
    <x v="6"/>
    <s v="June"/>
    <x v="0"/>
    <s v="39582-35773-ZJ"/>
    <s v="R-M-0.5"/>
    <n v="5"/>
    <x v="482"/>
    <s v="vupstoneei@google.pl"/>
    <x v="210"/>
    <x v="0"/>
    <x v="0"/>
    <x v="0"/>
    <n v="0.5"/>
    <n v="5.97"/>
    <x v="44"/>
    <x v="0"/>
  </r>
  <r>
    <s v="VTB-46451-959"/>
    <x v="414"/>
    <x v="6"/>
    <s v="October"/>
    <x v="3"/>
    <s v="66240-46962-IO"/>
    <s v="L-D-2.5"/>
    <n v="1"/>
    <x v="483"/>
    <s v="bbeelbyej@rediff.com"/>
    <x v="271"/>
    <x v="1"/>
    <x v="3"/>
    <x v="2"/>
    <n v="2.5"/>
    <n v="29.784999999999997"/>
    <x v="91"/>
    <x v="0"/>
  </r>
  <r>
    <s v="DNZ-11665-950"/>
    <x v="415"/>
    <x v="6"/>
    <s v="February"/>
    <x v="1"/>
    <s v="10637-45522-ID"/>
    <s v="L-L-2.5"/>
    <n v="2"/>
    <x v="484"/>
    <n v="0"/>
    <x v="64"/>
    <x v="0"/>
    <x v="3"/>
    <x v="1"/>
    <n v="2.5"/>
    <n v="36.454999999999998"/>
    <x v="37"/>
    <x v="1"/>
  </r>
  <r>
    <s v="ITR-54735-364"/>
    <x v="416"/>
    <x v="6"/>
    <s v="July"/>
    <x v="3"/>
    <s v="92599-58687-CS"/>
    <s v="R-D-0.2"/>
    <n v="5"/>
    <x v="485"/>
    <n v="0"/>
    <x v="272"/>
    <x v="0"/>
    <x v="0"/>
    <x v="2"/>
    <n v="0.2"/>
    <n v="2.6849999999999996"/>
    <x v="148"/>
    <x v="0"/>
  </r>
  <r>
    <s v="YDS-02797-307"/>
    <x v="417"/>
    <x v="6"/>
    <s v="June"/>
    <x v="2"/>
    <s v="06058-48844-PI"/>
    <s v="E-M-2.5"/>
    <n v="4"/>
    <x v="486"/>
    <s v="wspeechlyem@amazon.com"/>
    <x v="208"/>
    <x v="0"/>
    <x v="1"/>
    <x v="0"/>
    <n v="2.5"/>
    <n v="31.624999999999996"/>
    <x v="177"/>
    <x v="2"/>
  </r>
  <r>
    <s v="BPG-68988-842"/>
    <x v="418"/>
    <x v="0"/>
    <s v="February"/>
    <x v="0"/>
    <s v="53631-24432-SY"/>
    <s v="E-M-0.5"/>
    <n v="5"/>
    <x v="487"/>
    <s v="iphillpoten@buzzfeed.com"/>
    <x v="52"/>
    <x v="2"/>
    <x v="1"/>
    <x v="0"/>
    <n v="0.5"/>
    <n v="8.25"/>
    <x v="1"/>
    <x v="0"/>
  </r>
  <r>
    <s v="XZG-51938-658"/>
    <x v="419"/>
    <x v="6"/>
    <s v="April"/>
    <x v="3"/>
    <s v="18275-73980-KL"/>
    <s v="E-L-0.5"/>
    <n v="6"/>
    <x v="488"/>
    <s v="lpennaccieo@statcounter.com"/>
    <x v="273"/>
    <x v="0"/>
    <x v="1"/>
    <x v="1"/>
    <n v="0.5"/>
    <n v="8.91"/>
    <x v="119"/>
    <x v="1"/>
  </r>
  <r>
    <s v="KAR-24978-271"/>
    <x v="420"/>
    <x v="0"/>
    <s v="January"/>
    <x v="0"/>
    <s v="23187-65750-HZ"/>
    <s v="R-M-1"/>
    <n v="6"/>
    <x v="489"/>
    <s v="sarpinep@moonfruit.com"/>
    <x v="8"/>
    <x v="0"/>
    <x v="0"/>
    <x v="0"/>
    <n v="1"/>
    <n v="9.9499999999999993"/>
    <x v="33"/>
    <x v="1"/>
  </r>
  <r>
    <s v="FQK-28730-361"/>
    <x v="421"/>
    <x v="5"/>
    <s v="April"/>
    <x v="2"/>
    <s v="22725-79522-GP"/>
    <s v="R-M-1"/>
    <n v="6"/>
    <x v="490"/>
    <s v="dfrieseq@cargocollective.com"/>
    <x v="45"/>
    <x v="0"/>
    <x v="0"/>
    <x v="0"/>
    <n v="1"/>
    <n v="9.9499999999999993"/>
    <x v="33"/>
    <x v="1"/>
  </r>
  <r>
    <s v="BGB-67996-089"/>
    <x v="422"/>
    <x v="6"/>
    <s v="January"/>
    <x v="2"/>
    <s v="06279-72603-JE"/>
    <s v="R-D-1"/>
    <n v="5"/>
    <x v="491"/>
    <s v="rsharerer@flavors.me"/>
    <x v="90"/>
    <x v="0"/>
    <x v="0"/>
    <x v="2"/>
    <n v="1"/>
    <n v="8.9499999999999993"/>
    <x v="153"/>
    <x v="0"/>
  </r>
  <r>
    <s v="XMC-20620-809"/>
    <x v="423"/>
    <x v="2"/>
    <s v="May"/>
    <x v="1"/>
    <s v="83543-79246-ON"/>
    <s v="E-M-0.5"/>
    <n v="2"/>
    <x v="492"/>
    <s v="nnasebyes@umich.edu"/>
    <x v="274"/>
    <x v="0"/>
    <x v="1"/>
    <x v="0"/>
    <n v="0.5"/>
    <n v="8.25"/>
    <x v="38"/>
    <x v="0"/>
  </r>
  <r>
    <s v="ZSO-58292-191"/>
    <x v="109"/>
    <x v="6"/>
    <s v="June"/>
    <x v="2"/>
    <s v="66794-66795-VW"/>
    <s v="R-D-0.5"/>
    <n v="4"/>
    <x v="493"/>
    <n v="0"/>
    <x v="68"/>
    <x v="0"/>
    <x v="0"/>
    <x v="2"/>
    <n v="0.5"/>
    <n v="5.3699999999999992"/>
    <x v="155"/>
    <x v="0"/>
  </r>
  <r>
    <s v="LWJ-06793-303"/>
    <x v="204"/>
    <x v="6"/>
    <s v="January"/>
    <x v="2"/>
    <s v="95424-67020-AP"/>
    <s v="R-M-2.5"/>
    <n v="2"/>
    <x v="494"/>
    <s v="koculleneu@ca.gov"/>
    <x v="72"/>
    <x v="1"/>
    <x v="0"/>
    <x v="0"/>
    <n v="2.5"/>
    <n v="22.884999999999998"/>
    <x v="135"/>
    <x v="0"/>
  </r>
  <r>
    <s v="FLM-82229-989"/>
    <x v="424"/>
    <x v="3"/>
    <s v="January"/>
    <x v="2"/>
    <s v="73017-69644-MS"/>
    <s v="L-L-0.2"/>
    <n v="2"/>
    <x v="495"/>
    <n v="0"/>
    <x v="104"/>
    <x v="1"/>
    <x v="3"/>
    <x v="1"/>
    <n v="0.2"/>
    <n v="4.7549999999999999"/>
    <x v="54"/>
    <x v="0"/>
  </r>
  <r>
    <s v="CPV-90280-133"/>
    <x v="13"/>
    <x v="1"/>
    <s v="March"/>
    <x v="0"/>
    <s v="66458-91190-YC"/>
    <s v="R-D-0.2"/>
    <n v="3"/>
    <x v="464"/>
    <s v="murione5@alexa.com"/>
    <x v="263"/>
    <x v="1"/>
    <x v="0"/>
    <x v="2"/>
    <n v="0.2"/>
    <n v="2.6849999999999996"/>
    <x v="36"/>
    <x v="0"/>
  </r>
  <r>
    <s v="OGW-60685-912"/>
    <x v="224"/>
    <x v="4"/>
    <s v="November"/>
    <x v="3"/>
    <s v="67423-10113-LM"/>
    <s v="E-D-2.5"/>
    <n v="4"/>
    <x v="496"/>
    <s v="hbranganex@woothemes.com"/>
    <x v="98"/>
    <x v="0"/>
    <x v="1"/>
    <x v="2"/>
    <n v="2.5"/>
    <n v="27.945"/>
    <x v="150"/>
    <x v="2"/>
  </r>
  <r>
    <s v="DEC-11160-362"/>
    <x v="220"/>
    <x v="1"/>
    <s v="October"/>
    <x v="1"/>
    <s v="48582-05061-RY"/>
    <s v="R-D-0.2"/>
    <n v="4"/>
    <x v="497"/>
    <s v="agallyoney@engadget.com"/>
    <x v="275"/>
    <x v="0"/>
    <x v="0"/>
    <x v="2"/>
    <n v="0.2"/>
    <n v="2.6849999999999996"/>
    <x v="175"/>
    <x v="0"/>
  </r>
  <r>
    <s v="WCT-07869-499"/>
    <x v="91"/>
    <x v="5"/>
    <s v="October"/>
    <x v="1"/>
    <s v="32031-49093-KE"/>
    <s v="R-D-0.5"/>
    <n v="5"/>
    <x v="498"/>
    <s v="bdomangeez@yahoo.co.jp"/>
    <x v="27"/>
    <x v="0"/>
    <x v="0"/>
    <x v="2"/>
    <n v="0.5"/>
    <n v="5.3699999999999992"/>
    <x v="51"/>
    <x v="0"/>
  </r>
  <r>
    <s v="FHD-89872-325"/>
    <x v="425"/>
    <x v="3"/>
    <s v="April"/>
    <x v="0"/>
    <s v="31715-98714-OO"/>
    <s v="L-L-1"/>
    <n v="4"/>
    <x v="499"/>
    <s v="koslerf0@gmpg.org"/>
    <x v="133"/>
    <x v="0"/>
    <x v="3"/>
    <x v="1"/>
    <n v="1"/>
    <n v="15.85"/>
    <x v="165"/>
    <x v="1"/>
  </r>
  <r>
    <s v="AZF-45991-584"/>
    <x v="426"/>
    <x v="4"/>
    <s v="October"/>
    <x v="0"/>
    <s v="73759-17258-KA"/>
    <s v="A-D-2.5"/>
    <n v="1"/>
    <x v="500"/>
    <n v="0"/>
    <x v="276"/>
    <x v="1"/>
    <x v="2"/>
    <x v="2"/>
    <n v="2.5"/>
    <n v="22.884999999999998"/>
    <x v="156"/>
    <x v="0"/>
  </r>
  <r>
    <s v="MDG-14481-513"/>
    <x v="427"/>
    <x v="1"/>
    <s v="May"/>
    <x v="1"/>
    <s v="64897-79178-MH"/>
    <s v="A-M-2.5"/>
    <n v="4"/>
    <x v="501"/>
    <s v="zpellettf2@dailymotion.com"/>
    <x v="212"/>
    <x v="0"/>
    <x v="2"/>
    <x v="0"/>
    <n v="2.5"/>
    <n v="25.874999999999996"/>
    <x v="68"/>
    <x v="2"/>
  </r>
  <r>
    <s v="OFN-49424-848"/>
    <x v="428"/>
    <x v="4"/>
    <s v="July"/>
    <x v="1"/>
    <s v="73346-85564-JB"/>
    <s v="R-L-2.5"/>
    <n v="2"/>
    <x v="502"/>
    <s v="isprakesf3@spiegel.de"/>
    <x v="7"/>
    <x v="0"/>
    <x v="0"/>
    <x v="1"/>
    <n v="2.5"/>
    <n v="27.484999999999996"/>
    <x v="4"/>
    <x v="1"/>
  </r>
  <r>
    <s v="NFA-03411-746"/>
    <x v="383"/>
    <x v="4"/>
    <s v="February"/>
    <x v="3"/>
    <s v="07476-13102-NJ"/>
    <s v="A-L-0.5"/>
    <n v="2"/>
    <x v="503"/>
    <s v="hfromantf4@ucsd.edu"/>
    <x v="11"/>
    <x v="0"/>
    <x v="2"/>
    <x v="1"/>
    <n v="0.5"/>
    <n v="7.77"/>
    <x v="42"/>
    <x v="0"/>
  </r>
  <r>
    <s v="CYM-74988-450"/>
    <x v="156"/>
    <x v="2"/>
    <s v="October"/>
    <x v="3"/>
    <s v="87223-37422-SK"/>
    <s v="L-D-0.2"/>
    <n v="4"/>
    <x v="504"/>
    <s v="rflearf5@artisteer.com"/>
    <x v="172"/>
    <x v="2"/>
    <x v="3"/>
    <x v="2"/>
    <n v="0.2"/>
    <n v="3.8849999999999998"/>
    <x v="42"/>
    <x v="0"/>
  </r>
  <r>
    <s v="WTV-24996-658"/>
    <x v="429"/>
    <x v="2"/>
    <s v="October"/>
    <x v="3"/>
    <s v="57837-15577-YK"/>
    <s v="E-D-2.5"/>
    <n v="3"/>
    <x v="505"/>
    <n v="0"/>
    <x v="277"/>
    <x v="1"/>
    <x v="1"/>
    <x v="2"/>
    <n v="2.5"/>
    <n v="27.945"/>
    <x v="171"/>
    <x v="1"/>
  </r>
  <r>
    <s v="DSL-69915-544"/>
    <x v="103"/>
    <x v="1"/>
    <s v="March"/>
    <x v="1"/>
    <s v="10142-55267-YO"/>
    <s v="R-L-0.2"/>
    <n v="3"/>
    <x v="506"/>
    <s v="wlightollersf9@baidu.com"/>
    <x v="15"/>
    <x v="0"/>
    <x v="0"/>
    <x v="1"/>
    <n v="0.2"/>
    <n v="3.5849999999999995"/>
    <x v="127"/>
    <x v="0"/>
  </r>
  <r>
    <s v="NBT-35757-542"/>
    <x v="361"/>
    <x v="1"/>
    <s v="July"/>
    <x v="1"/>
    <s v="73647-66148-VM"/>
    <s v="E-L-0.2"/>
    <n v="3"/>
    <x v="507"/>
    <s v="bmundenf8@elpais.com"/>
    <x v="101"/>
    <x v="0"/>
    <x v="1"/>
    <x v="1"/>
    <n v="0.2"/>
    <n v="4.4550000000000001"/>
    <x v="77"/>
    <x v="0"/>
  </r>
  <r>
    <s v="OYU-25085-528"/>
    <x v="120"/>
    <x v="2"/>
    <s v="February"/>
    <x v="1"/>
    <s v="10142-55267-YO"/>
    <s v="E-L-0.2"/>
    <n v="4"/>
    <x v="506"/>
    <s v="wlightollersf9@baidu.com"/>
    <x v="15"/>
    <x v="0"/>
    <x v="1"/>
    <x v="1"/>
    <n v="0.2"/>
    <n v="4.4550000000000001"/>
    <x v="58"/>
    <x v="0"/>
  </r>
  <r>
    <s v="XCG-07109-195"/>
    <x v="430"/>
    <x v="2"/>
    <s v="December"/>
    <x v="3"/>
    <s v="92976-19453-DT"/>
    <s v="L-D-0.2"/>
    <n v="6"/>
    <x v="508"/>
    <s v="nbrakespearfa@rediff.com"/>
    <x v="55"/>
    <x v="0"/>
    <x v="3"/>
    <x v="2"/>
    <n v="0.2"/>
    <n v="3.8849999999999998"/>
    <x v="102"/>
    <x v="0"/>
  </r>
  <r>
    <s v="YZA-25234-630"/>
    <x v="125"/>
    <x v="2"/>
    <s v="May"/>
    <x v="2"/>
    <s v="89757-51438-HX"/>
    <s v="E-D-0.2"/>
    <n v="2"/>
    <x v="509"/>
    <s v="mglawsopfb@reverbnation.com"/>
    <x v="226"/>
    <x v="0"/>
    <x v="1"/>
    <x v="2"/>
    <n v="0.2"/>
    <n v="3.645"/>
    <x v="35"/>
    <x v="0"/>
  </r>
  <r>
    <s v="OKU-29966-417"/>
    <x v="431"/>
    <x v="1"/>
    <s v="October"/>
    <x v="0"/>
    <s v="76192-13390-HZ"/>
    <s v="E-L-0.2"/>
    <n v="4"/>
    <x v="510"/>
    <s v="galbertsfc@etsy.com"/>
    <x v="197"/>
    <x v="2"/>
    <x v="1"/>
    <x v="1"/>
    <n v="0.2"/>
    <n v="4.4550000000000001"/>
    <x v="58"/>
    <x v="0"/>
  </r>
  <r>
    <s v="MEX-29350-659"/>
    <x v="40"/>
    <x v="2"/>
    <s v="September"/>
    <x v="3"/>
    <s v="02009-87294-SY"/>
    <s v="E-M-1"/>
    <n v="5"/>
    <x v="511"/>
    <s v="vpolglasefd@about.me"/>
    <x v="45"/>
    <x v="0"/>
    <x v="1"/>
    <x v="0"/>
    <n v="1"/>
    <n v="13.75"/>
    <x v="85"/>
    <x v="1"/>
  </r>
  <r>
    <s v="NOY-99738-977"/>
    <x v="432"/>
    <x v="6"/>
    <s v="September"/>
    <x v="0"/>
    <s v="82872-34456-LJ"/>
    <s v="R-L-2.5"/>
    <n v="2"/>
    <x v="512"/>
    <n v="0"/>
    <x v="176"/>
    <x v="2"/>
    <x v="0"/>
    <x v="1"/>
    <n v="2.5"/>
    <n v="27.484999999999996"/>
    <x v="4"/>
    <x v="1"/>
  </r>
  <r>
    <s v="TCR-01064-030"/>
    <x v="254"/>
    <x v="1"/>
    <s v="March"/>
    <x v="1"/>
    <s v="13181-04387-LI"/>
    <s v="E-M-1"/>
    <n v="6"/>
    <x v="513"/>
    <s v="sbuschff@so-net.ne.jp"/>
    <x v="278"/>
    <x v="1"/>
    <x v="1"/>
    <x v="0"/>
    <n v="1"/>
    <n v="13.75"/>
    <x v="121"/>
    <x v="1"/>
  </r>
  <r>
    <s v="YUL-42750-776"/>
    <x v="219"/>
    <x v="5"/>
    <s v="November"/>
    <x v="1"/>
    <s v="24845-36117-TI"/>
    <s v="L-M-0.2"/>
    <n v="2"/>
    <x v="514"/>
    <s v="craisbeckfg@webnode.com"/>
    <x v="212"/>
    <x v="0"/>
    <x v="3"/>
    <x v="0"/>
    <n v="0.2"/>
    <n v="4.3650000000000002"/>
    <x v="31"/>
    <x v="0"/>
  </r>
  <r>
    <s v="XQJ-86887-506"/>
    <x v="433"/>
    <x v="4"/>
    <s v="November"/>
    <x v="1"/>
    <s v="66458-91190-YC"/>
    <s v="E-L-1"/>
    <n v="4"/>
    <x v="464"/>
    <s v="murione5@alexa.com"/>
    <x v="263"/>
    <x v="1"/>
    <x v="1"/>
    <x v="1"/>
    <n v="1"/>
    <n v="14.85"/>
    <x v="48"/>
    <x v="1"/>
  </r>
  <r>
    <s v="CUN-90044-279"/>
    <x v="434"/>
    <x v="2"/>
    <s v="January"/>
    <x v="1"/>
    <s v="86646-65810-TD"/>
    <s v="L-D-0.2"/>
    <n v="4"/>
    <x v="515"/>
    <n v="0"/>
    <x v="193"/>
    <x v="0"/>
    <x v="3"/>
    <x v="2"/>
    <n v="0.2"/>
    <n v="3.8849999999999998"/>
    <x v="42"/>
    <x v="0"/>
  </r>
  <r>
    <s v="ICC-73030-502"/>
    <x v="435"/>
    <x v="4"/>
    <s v="April"/>
    <x v="2"/>
    <s v="59480-02795-IU"/>
    <s v="A-L-1"/>
    <n v="3"/>
    <x v="516"/>
    <s v="raynoldfj@ustream.tv"/>
    <x v="166"/>
    <x v="0"/>
    <x v="2"/>
    <x v="1"/>
    <n v="1"/>
    <n v="12.95"/>
    <x v="5"/>
    <x v="0"/>
  </r>
  <r>
    <s v="ADP-04506-084"/>
    <x v="436"/>
    <x v="4"/>
    <s v="July"/>
    <x v="1"/>
    <s v="61809-87758-LJ"/>
    <s v="E-M-2.5"/>
    <n v="6"/>
    <x v="517"/>
    <n v="0"/>
    <x v="279"/>
    <x v="0"/>
    <x v="1"/>
    <x v="0"/>
    <n v="2.5"/>
    <n v="31.624999999999996"/>
    <x v="152"/>
    <x v="2"/>
  </r>
  <r>
    <s v="PNU-22150-408"/>
    <x v="437"/>
    <x v="6"/>
    <s v="August"/>
    <x v="0"/>
    <s v="77408-43873-RS"/>
    <s v="A-D-0.2"/>
    <n v="6"/>
    <x v="518"/>
    <n v="0"/>
    <x v="280"/>
    <x v="1"/>
    <x v="2"/>
    <x v="2"/>
    <n v="0.2"/>
    <n v="2.9849999999999999"/>
    <x v="8"/>
    <x v="0"/>
  </r>
  <r>
    <s v="VSQ-07182-513"/>
    <x v="438"/>
    <x v="5"/>
    <s v="July"/>
    <x v="0"/>
    <s v="18366-65239-WF"/>
    <s v="L-L-0.2"/>
    <n v="6"/>
    <x v="519"/>
    <s v="bgrecefm@naver.com"/>
    <x v="281"/>
    <x v="2"/>
    <x v="3"/>
    <x v="1"/>
    <n v="0.2"/>
    <n v="4.7549999999999999"/>
    <x v="32"/>
    <x v="0"/>
  </r>
  <r>
    <s v="SPF-31673-217"/>
    <x v="439"/>
    <x v="5"/>
    <s v="June"/>
    <x v="3"/>
    <s v="19485-98072-PS"/>
    <s v="E-M-1"/>
    <n v="6"/>
    <x v="520"/>
    <s v="dflintiffg1@e-recht24.de"/>
    <x v="282"/>
    <x v="2"/>
    <x v="1"/>
    <x v="0"/>
    <n v="1"/>
    <n v="13.75"/>
    <x v="121"/>
    <x v="1"/>
  </r>
  <r>
    <s v="NEX-63825-598"/>
    <x v="175"/>
    <x v="4"/>
    <s v="February"/>
    <x v="3"/>
    <s v="72072-33025-SD"/>
    <s v="R-L-0.5"/>
    <n v="2"/>
    <x v="521"/>
    <s v="athysfo@cdc.gov"/>
    <x v="203"/>
    <x v="0"/>
    <x v="0"/>
    <x v="1"/>
    <n v="0.5"/>
    <n v="7.169999999999999"/>
    <x v="79"/>
    <x v="0"/>
  </r>
  <r>
    <s v="XPG-66112-335"/>
    <x v="440"/>
    <x v="6"/>
    <s v="July"/>
    <x v="3"/>
    <s v="58118-22461-GC"/>
    <s v="R-D-2.5"/>
    <n v="4"/>
    <x v="522"/>
    <s v="jchuggfp@about.me"/>
    <x v="153"/>
    <x v="0"/>
    <x v="0"/>
    <x v="2"/>
    <n v="2.5"/>
    <n v="20.584999999999997"/>
    <x v="18"/>
    <x v="1"/>
  </r>
  <r>
    <s v="NSQ-72210-345"/>
    <x v="441"/>
    <x v="3"/>
    <s v="September"/>
    <x v="1"/>
    <s v="90940-63327-DJ"/>
    <s v="A-M-0.2"/>
    <n v="6"/>
    <x v="523"/>
    <s v="akelstonfq@sakura.ne.jp"/>
    <x v="42"/>
    <x v="0"/>
    <x v="2"/>
    <x v="0"/>
    <n v="0.2"/>
    <n v="3.375"/>
    <x v="16"/>
    <x v="0"/>
  </r>
  <r>
    <s v="XRR-28376-277"/>
    <x v="442"/>
    <x v="6"/>
    <s v="May"/>
    <x v="1"/>
    <s v="64481-42546-II"/>
    <s v="R-L-2.5"/>
    <n v="6"/>
    <x v="524"/>
    <n v="0"/>
    <x v="21"/>
    <x v="1"/>
    <x v="0"/>
    <x v="1"/>
    <n v="2.5"/>
    <n v="27.484999999999996"/>
    <x v="183"/>
    <x v="2"/>
  </r>
  <r>
    <s v="WHQ-25197-475"/>
    <x v="443"/>
    <x v="2"/>
    <s v="November"/>
    <x v="1"/>
    <s v="27536-28463-NJ"/>
    <s v="L-L-0.2"/>
    <n v="4"/>
    <x v="525"/>
    <s v="cmottramfs@harvard.edu"/>
    <x v="79"/>
    <x v="0"/>
    <x v="3"/>
    <x v="1"/>
    <n v="0.2"/>
    <n v="4.7549999999999999"/>
    <x v="81"/>
    <x v="0"/>
  </r>
  <r>
    <s v="HMB-30634-745"/>
    <x v="216"/>
    <x v="5"/>
    <s v="February"/>
    <x v="3"/>
    <s v="19485-98072-PS"/>
    <s v="A-D-2.5"/>
    <n v="6"/>
    <x v="520"/>
    <s v="dflintiffg1@e-recht24.de"/>
    <x v="282"/>
    <x v="2"/>
    <x v="2"/>
    <x v="2"/>
    <n v="2.5"/>
    <n v="22.884999999999998"/>
    <x v="170"/>
    <x v="2"/>
  </r>
  <r>
    <s v="XTL-68000-371"/>
    <x v="444"/>
    <x v="5"/>
    <s v="April"/>
    <x v="3"/>
    <s v="70140-82812-KD"/>
    <s v="A-M-0.5"/>
    <n v="4"/>
    <x v="526"/>
    <s v="dsangwinfu@weebly.com"/>
    <x v="283"/>
    <x v="0"/>
    <x v="2"/>
    <x v="0"/>
    <n v="0.5"/>
    <n v="6.75"/>
    <x v="25"/>
    <x v="0"/>
  </r>
  <r>
    <s v="YES-51109-625"/>
    <x v="37"/>
    <x v="3"/>
    <s v="January"/>
    <x v="2"/>
    <s v="91895-55605-LS"/>
    <s v="E-L-0.5"/>
    <n v="4"/>
    <x v="527"/>
    <s v="eaizikowitzfv@virginia.edu"/>
    <x v="284"/>
    <x v="2"/>
    <x v="1"/>
    <x v="1"/>
    <n v="0.5"/>
    <n v="8.91"/>
    <x v="70"/>
    <x v="0"/>
  </r>
  <r>
    <s v="EAY-89850-211"/>
    <x v="445"/>
    <x v="5"/>
    <s v="February"/>
    <x v="0"/>
    <s v="43155-71724-XP"/>
    <s v="A-D-0.2"/>
    <n v="2"/>
    <x v="528"/>
    <n v="0"/>
    <x v="148"/>
    <x v="0"/>
    <x v="2"/>
    <x v="2"/>
    <n v="0.2"/>
    <n v="2.9849999999999999"/>
    <x v="9"/>
    <x v="0"/>
  </r>
  <r>
    <s v="IOQ-84840-827"/>
    <x v="446"/>
    <x v="5"/>
    <s v="November"/>
    <x v="0"/>
    <s v="32038-81174-JF"/>
    <s v="A-M-1"/>
    <n v="6"/>
    <x v="529"/>
    <s v="cvenourfx@ask.com"/>
    <x v="212"/>
    <x v="0"/>
    <x v="2"/>
    <x v="0"/>
    <n v="1"/>
    <n v="11.25"/>
    <x v="173"/>
    <x v="1"/>
  </r>
  <r>
    <s v="FBD-56220-430"/>
    <x v="245"/>
    <x v="3"/>
    <s v="May"/>
    <x v="2"/>
    <s v="59205-20324-NB"/>
    <s v="R-L-0.2"/>
    <n v="6"/>
    <x v="530"/>
    <s v="mharbyfy@163.com"/>
    <x v="48"/>
    <x v="0"/>
    <x v="0"/>
    <x v="1"/>
    <n v="0.2"/>
    <n v="3.5849999999999995"/>
    <x v="137"/>
    <x v="0"/>
  </r>
  <r>
    <s v="COV-52659-202"/>
    <x v="447"/>
    <x v="2"/>
    <s v="February"/>
    <x v="1"/>
    <s v="99899-54612-NX"/>
    <s v="L-M-2.5"/>
    <n v="2"/>
    <x v="531"/>
    <s v="rthickpennyfz@cafepress.com"/>
    <x v="6"/>
    <x v="0"/>
    <x v="3"/>
    <x v="0"/>
    <n v="2.5"/>
    <n v="33.464999999999996"/>
    <x v="174"/>
    <x v="1"/>
  </r>
  <r>
    <s v="YUO-76652-814"/>
    <x v="448"/>
    <x v="6"/>
    <s v="April"/>
    <x v="1"/>
    <s v="26248-84194-FI"/>
    <s v="A-D-0.2"/>
    <n v="6"/>
    <x v="532"/>
    <s v="pormerodg0@redcross.org"/>
    <x v="285"/>
    <x v="0"/>
    <x v="2"/>
    <x v="2"/>
    <n v="0.2"/>
    <n v="2.9849999999999999"/>
    <x v="8"/>
    <x v="0"/>
  </r>
  <r>
    <s v="PBT-36926-102"/>
    <x v="344"/>
    <x v="3"/>
    <s v="August"/>
    <x v="1"/>
    <s v="19485-98072-PS"/>
    <s v="L-M-1"/>
    <n v="4"/>
    <x v="520"/>
    <s v="dflintiffg1@e-recht24.de"/>
    <x v="282"/>
    <x v="2"/>
    <x v="3"/>
    <x v="0"/>
    <n v="1"/>
    <n v="14.55"/>
    <x v="125"/>
    <x v="1"/>
  </r>
  <r>
    <s v="BLV-60087-454"/>
    <x v="152"/>
    <x v="1"/>
    <s v="June"/>
    <x v="2"/>
    <s v="84493-71314-WX"/>
    <s v="E-L-0.2"/>
    <n v="3"/>
    <x v="533"/>
    <s v="tzanettig2@gravatar.com"/>
    <x v="286"/>
    <x v="1"/>
    <x v="1"/>
    <x v="1"/>
    <n v="0.2"/>
    <n v="4.4550000000000001"/>
    <x v="77"/>
    <x v="0"/>
  </r>
  <r>
    <s v="BLV-60087-454"/>
    <x v="152"/>
    <x v="1"/>
    <s v="June"/>
    <x v="2"/>
    <s v="84493-71314-WX"/>
    <s v="A-M-0.5"/>
    <n v="5"/>
    <x v="533"/>
    <s v="tzanettig2@gravatar.com"/>
    <x v="286"/>
    <x v="1"/>
    <x v="2"/>
    <x v="0"/>
    <n v="0.5"/>
    <n v="6.75"/>
    <x v="65"/>
    <x v="0"/>
  </r>
  <r>
    <s v="QYC-63914-195"/>
    <x v="449"/>
    <x v="0"/>
    <s v="May"/>
    <x v="3"/>
    <s v="39789-43945-IV"/>
    <s v="E-L-1"/>
    <n v="3"/>
    <x v="534"/>
    <s v="rkirtleyg4@hatena.ne.jp"/>
    <x v="127"/>
    <x v="0"/>
    <x v="1"/>
    <x v="1"/>
    <n v="1"/>
    <n v="14.85"/>
    <x v="69"/>
    <x v="0"/>
  </r>
  <r>
    <s v="OIB-77163-890"/>
    <x v="450"/>
    <x v="2"/>
    <s v="December"/>
    <x v="3"/>
    <s v="38972-89678-ZM"/>
    <s v="E-L-0.5"/>
    <n v="5"/>
    <x v="535"/>
    <s v="cclemencetg5@weather.com"/>
    <x v="38"/>
    <x v="2"/>
    <x v="1"/>
    <x v="1"/>
    <n v="0.5"/>
    <n v="8.91"/>
    <x v="69"/>
    <x v="0"/>
  </r>
  <r>
    <s v="SGS-87525-238"/>
    <x v="451"/>
    <x v="3"/>
    <s v="July"/>
    <x v="1"/>
    <s v="91465-84526-IJ"/>
    <s v="E-D-1"/>
    <n v="5"/>
    <x v="536"/>
    <s v="rdonetg6@oakley.com"/>
    <x v="8"/>
    <x v="0"/>
    <x v="1"/>
    <x v="2"/>
    <n v="1"/>
    <n v="12.15"/>
    <x v="184"/>
    <x v="1"/>
  </r>
  <r>
    <s v="GQR-12490-152"/>
    <x v="83"/>
    <x v="0"/>
    <s v="March"/>
    <x v="0"/>
    <s v="22832-98538-RB"/>
    <s v="R-L-0.2"/>
    <n v="1"/>
    <x v="537"/>
    <s v="sgaweng7@creativecommons.org"/>
    <x v="287"/>
    <x v="0"/>
    <x v="0"/>
    <x v="1"/>
    <n v="0.2"/>
    <n v="3.5849999999999995"/>
    <x v="60"/>
    <x v="0"/>
  </r>
  <r>
    <s v="UOJ-28238-299"/>
    <x v="452"/>
    <x v="6"/>
    <s v="March"/>
    <x v="1"/>
    <s v="30844-91890-ZA"/>
    <s v="R-L-0.2"/>
    <n v="6"/>
    <x v="538"/>
    <s v="rreadieg8@guardian.co.uk"/>
    <x v="107"/>
    <x v="0"/>
    <x v="0"/>
    <x v="1"/>
    <n v="0.2"/>
    <n v="3.5849999999999995"/>
    <x v="137"/>
    <x v="0"/>
  </r>
  <r>
    <s v="ETD-58130-674"/>
    <x v="453"/>
    <x v="2"/>
    <s v="November"/>
    <x v="1"/>
    <s v="05325-97750-WP"/>
    <s v="E-M-0.5"/>
    <n v="2"/>
    <x v="539"/>
    <s v="cverissimogh@theglobeandmail.com"/>
    <x v="26"/>
    <x v="2"/>
    <x v="1"/>
    <x v="0"/>
    <n v="0.5"/>
    <n v="8.25"/>
    <x v="38"/>
    <x v="0"/>
  </r>
  <r>
    <s v="UPF-60123-025"/>
    <x v="454"/>
    <x v="0"/>
    <s v="February"/>
    <x v="3"/>
    <s v="88992-49081-AT"/>
    <s v="R-L-2.5"/>
    <n v="3"/>
    <x v="540"/>
    <n v="0"/>
    <x v="50"/>
    <x v="0"/>
    <x v="0"/>
    <x v="1"/>
    <n v="2.5"/>
    <n v="27.484999999999996"/>
    <x v="185"/>
    <x v="1"/>
  </r>
  <r>
    <s v="NQS-01613-687"/>
    <x v="455"/>
    <x v="2"/>
    <s v="March"/>
    <x v="1"/>
    <s v="10204-31464-SA"/>
    <s v="L-D-0.5"/>
    <n v="1"/>
    <x v="541"/>
    <s v="bogb@elpais.com"/>
    <x v="99"/>
    <x v="0"/>
    <x v="3"/>
    <x v="2"/>
    <n v="0.5"/>
    <n v="7.77"/>
    <x v="41"/>
    <x v="0"/>
  </r>
  <r>
    <s v="MGH-36050-573"/>
    <x v="456"/>
    <x v="3"/>
    <s v="August"/>
    <x v="3"/>
    <s v="75156-80911-YT"/>
    <s v="R-M-0.5"/>
    <n v="2"/>
    <x v="542"/>
    <s v="vstansburygc@unblog.fr"/>
    <x v="87"/>
    <x v="0"/>
    <x v="0"/>
    <x v="0"/>
    <n v="0.5"/>
    <n v="5.97"/>
    <x v="22"/>
    <x v="0"/>
  </r>
  <r>
    <s v="UVF-59322-459"/>
    <x v="373"/>
    <x v="0"/>
    <s v="July"/>
    <x v="0"/>
    <s v="53971-49906-PZ"/>
    <s v="E-L-2.5"/>
    <n v="6"/>
    <x v="543"/>
    <s v="dheinonengd@printfriendly.com"/>
    <x v="288"/>
    <x v="0"/>
    <x v="1"/>
    <x v="1"/>
    <n v="2.5"/>
    <n v="34.154999999999994"/>
    <x v="106"/>
    <x v="2"/>
  </r>
  <r>
    <s v="VET-41158-896"/>
    <x v="457"/>
    <x v="1"/>
    <s v="April"/>
    <x v="3"/>
    <s v="10728-17633-ST"/>
    <s v="E-M-2.5"/>
    <n v="2"/>
    <x v="544"/>
    <s v="jshentonge@google.com.hk"/>
    <x v="106"/>
    <x v="0"/>
    <x v="1"/>
    <x v="0"/>
    <n v="2.5"/>
    <n v="31.624999999999996"/>
    <x v="40"/>
    <x v="1"/>
  </r>
  <r>
    <s v="XYL-52196-459"/>
    <x v="458"/>
    <x v="0"/>
    <s v="May"/>
    <x v="0"/>
    <s v="13549-65017-VE"/>
    <s v="R-D-0.2"/>
    <n v="3"/>
    <x v="545"/>
    <s v="jwilkissongf@nba.com"/>
    <x v="289"/>
    <x v="0"/>
    <x v="0"/>
    <x v="2"/>
    <n v="0.2"/>
    <n v="2.6849999999999996"/>
    <x v="36"/>
    <x v="0"/>
  </r>
  <r>
    <s v="BPZ-51283-916"/>
    <x v="264"/>
    <x v="6"/>
    <s v="August"/>
    <x v="1"/>
    <s v="87688-42420-TO"/>
    <s v="A-M-2.5"/>
    <n v="2"/>
    <x v="546"/>
    <n v="0"/>
    <x v="166"/>
    <x v="0"/>
    <x v="2"/>
    <x v="0"/>
    <n v="2.5"/>
    <n v="25.874999999999996"/>
    <x v="95"/>
    <x v="1"/>
  </r>
  <r>
    <s v="VQW-91903-926"/>
    <x v="459"/>
    <x v="2"/>
    <s v="March"/>
    <x v="3"/>
    <s v="05325-97750-WP"/>
    <s v="E-D-2.5"/>
    <n v="1"/>
    <x v="539"/>
    <s v="cverissimogh@theglobeandmail.com"/>
    <x v="26"/>
    <x v="2"/>
    <x v="1"/>
    <x v="2"/>
    <n v="2.5"/>
    <n v="27.945"/>
    <x v="140"/>
    <x v="0"/>
  </r>
  <r>
    <s v="OLF-77983-457"/>
    <x v="460"/>
    <x v="4"/>
    <s v="February"/>
    <x v="0"/>
    <s v="51901-35210-UI"/>
    <s v="A-L-2.5"/>
    <n v="2"/>
    <x v="547"/>
    <s v="gstarcksgi@abc.net.au"/>
    <x v="115"/>
    <x v="0"/>
    <x v="2"/>
    <x v="1"/>
    <n v="2.5"/>
    <n v="29.784999999999997"/>
    <x v="120"/>
    <x v="1"/>
  </r>
  <r>
    <s v="MVI-04946-827"/>
    <x v="461"/>
    <x v="4"/>
    <s v="November"/>
    <x v="1"/>
    <s v="62483-50867-OM"/>
    <s v="E-L-1"/>
    <n v="1"/>
    <x v="548"/>
    <n v="0"/>
    <x v="290"/>
    <x v="2"/>
    <x v="1"/>
    <x v="1"/>
    <n v="1"/>
    <n v="14.85"/>
    <x v="151"/>
    <x v="0"/>
  </r>
  <r>
    <s v="UOG-94188-104"/>
    <x v="219"/>
    <x v="5"/>
    <s v="November"/>
    <x v="1"/>
    <s v="92753-50029-SD"/>
    <s v="A-M-0.5"/>
    <n v="5"/>
    <x v="549"/>
    <s v="kscholardgk@sbwire.com"/>
    <x v="61"/>
    <x v="0"/>
    <x v="2"/>
    <x v="0"/>
    <n v="0.5"/>
    <n v="6.75"/>
    <x v="65"/>
    <x v="0"/>
  </r>
  <r>
    <s v="DSN-15872-519"/>
    <x v="462"/>
    <x v="0"/>
    <s v="December"/>
    <x v="1"/>
    <s v="53809-98498-SN"/>
    <s v="L-L-2.5"/>
    <n v="4"/>
    <x v="550"/>
    <s v="bkindleygl@wikimedia.org"/>
    <x v="148"/>
    <x v="0"/>
    <x v="3"/>
    <x v="1"/>
    <n v="2.5"/>
    <n v="36.454999999999998"/>
    <x v="43"/>
    <x v="2"/>
  </r>
  <r>
    <s v="OUQ-73954-002"/>
    <x v="463"/>
    <x v="6"/>
    <s v="January"/>
    <x v="0"/>
    <s v="66308-13503-KD"/>
    <s v="R-M-0.2"/>
    <n v="4"/>
    <x v="551"/>
    <s v="khammettgm@dmoz.org"/>
    <x v="204"/>
    <x v="0"/>
    <x v="0"/>
    <x v="0"/>
    <n v="0.2"/>
    <n v="2.9849999999999999"/>
    <x v="22"/>
    <x v="0"/>
  </r>
  <r>
    <s v="LGL-16843-667"/>
    <x v="464"/>
    <x v="1"/>
    <s v="May"/>
    <x v="1"/>
    <s v="82458-87830-JE"/>
    <s v="A-D-0.2"/>
    <n v="4"/>
    <x v="552"/>
    <s v="ahulburtgn@fda.gov"/>
    <x v="212"/>
    <x v="0"/>
    <x v="2"/>
    <x v="2"/>
    <n v="0.2"/>
    <n v="2.9849999999999999"/>
    <x v="22"/>
    <x v="0"/>
  </r>
  <r>
    <s v="TCC-89722-031"/>
    <x v="465"/>
    <x v="4"/>
    <s v="October"/>
    <x v="1"/>
    <s v="41611-34336-WT"/>
    <s v="L-D-0.5"/>
    <n v="1"/>
    <x v="553"/>
    <s v="plauritzengo@photobucket.com"/>
    <x v="11"/>
    <x v="0"/>
    <x v="3"/>
    <x v="2"/>
    <n v="0.5"/>
    <n v="7.77"/>
    <x v="41"/>
    <x v="0"/>
  </r>
  <r>
    <s v="TRA-79507-007"/>
    <x v="466"/>
    <x v="3"/>
    <s v="December"/>
    <x v="0"/>
    <s v="70089-27418-UJ"/>
    <s v="R-L-2.5"/>
    <n v="4"/>
    <x v="554"/>
    <s v="aburgwingp@redcross.org"/>
    <x v="9"/>
    <x v="0"/>
    <x v="0"/>
    <x v="1"/>
    <n v="2.5"/>
    <n v="27.484999999999996"/>
    <x v="108"/>
    <x v="2"/>
  </r>
  <r>
    <s v="MZJ-77284-941"/>
    <x v="467"/>
    <x v="4"/>
    <s v="May"/>
    <x v="0"/>
    <s v="99978-56910-BN"/>
    <s v="E-L-0.2"/>
    <n v="5"/>
    <x v="555"/>
    <s v="erolingq@google.fr"/>
    <x v="45"/>
    <x v="0"/>
    <x v="1"/>
    <x v="1"/>
    <n v="0.2"/>
    <n v="4.4550000000000001"/>
    <x v="110"/>
    <x v="0"/>
  </r>
  <r>
    <s v="AXN-57779-891"/>
    <x v="468"/>
    <x v="6"/>
    <s v="July"/>
    <x v="0"/>
    <s v="09668-23340-IC"/>
    <s v="R-M-0.2"/>
    <n v="3"/>
    <x v="556"/>
    <s v="dfowlegr@epa.gov"/>
    <x v="71"/>
    <x v="0"/>
    <x v="0"/>
    <x v="0"/>
    <n v="0.2"/>
    <n v="2.9849999999999999"/>
    <x v="169"/>
    <x v="0"/>
  </r>
  <r>
    <s v="PJB-15659-994"/>
    <x v="469"/>
    <x v="2"/>
    <s v="November"/>
    <x v="3"/>
    <s v="39457-62611-YK"/>
    <s v="L-D-2.5"/>
    <n v="4"/>
    <x v="557"/>
    <n v="0"/>
    <x v="239"/>
    <x v="1"/>
    <x v="3"/>
    <x v="2"/>
    <n v="2.5"/>
    <n v="29.784999999999997"/>
    <x v="129"/>
    <x v="2"/>
  </r>
  <r>
    <s v="LTS-03470-353"/>
    <x v="470"/>
    <x v="0"/>
    <s v="July"/>
    <x v="3"/>
    <s v="90985-89807-RW"/>
    <s v="A-L-2.5"/>
    <n v="5"/>
    <x v="558"/>
    <s v="wpowleslandgt@soundcloud.com"/>
    <x v="291"/>
    <x v="0"/>
    <x v="2"/>
    <x v="1"/>
    <n v="2.5"/>
    <n v="29.784999999999997"/>
    <x v="74"/>
    <x v="2"/>
  </r>
  <r>
    <s v="UMM-28497-689"/>
    <x v="471"/>
    <x v="5"/>
    <s v="November"/>
    <x v="3"/>
    <s v="05325-97750-WP"/>
    <s v="L-L-2.5"/>
    <n v="3"/>
    <x v="539"/>
    <s v="cverissimogh@theglobeandmail.com"/>
    <x v="26"/>
    <x v="2"/>
    <x v="3"/>
    <x v="1"/>
    <n v="2.5"/>
    <n v="36.454999999999998"/>
    <x v="63"/>
    <x v="2"/>
  </r>
  <r>
    <s v="MJZ-93232-402"/>
    <x v="472"/>
    <x v="6"/>
    <s v="March"/>
    <x v="2"/>
    <s v="17816-67941-ZS"/>
    <s v="E-D-0.2"/>
    <n v="1"/>
    <x v="559"/>
    <s v="lellinghamgv@sciencedaily.com"/>
    <x v="212"/>
    <x v="0"/>
    <x v="1"/>
    <x v="2"/>
    <n v="0.2"/>
    <n v="3.645"/>
    <x v="186"/>
    <x v="0"/>
  </r>
  <r>
    <s v="UHW-74617-126"/>
    <x v="173"/>
    <x v="1"/>
    <s v="February"/>
    <x v="2"/>
    <s v="90816-65619-LM"/>
    <s v="E-D-2.5"/>
    <n v="2"/>
    <x v="560"/>
    <n v="0"/>
    <x v="265"/>
    <x v="0"/>
    <x v="1"/>
    <x v="2"/>
    <n v="2.5"/>
    <n v="27.945"/>
    <x v="158"/>
    <x v="1"/>
  </r>
  <r>
    <s v="RIK-61730-794"/>
    <x v="473"/>
    <x v="0"/>
    <s v="November"/>
    <x v="3"/>
    <s v="69761-61146-KD"/>
    <s v="L-M-0.2"/>
    <n v="6"/>
    <x v="561"/>
    <s v="afendtgx@forbes.com"/>
    <x v="166"/>
    <x v="0"/>
    <x v="3"/>
    <x v="0"/>
    <n v="0.2"/>
    <n v="4.3650000000000002"/>
    <x v="50"/>
    <x v="0"/>
  </r>
  <r>
    <s v="IDJ-55379-750"/>
    <x v="474"/>
    <x v="4"/>
    <s v="October"/>
    <x v="0"/>
    <s v="24040-20817-QB"/>
    <s v="R-M-1"/>
    <n v="4"/>
    <x v="562"/>
    <s v="acleyburngy@lycos.com"/>
    <x v="42"/>
    <x v="0"/>
    <x v="0"/>
    <x v="0"/>
    <n v="1"/>
    <n v="9.9499999999999993"/>
    <x v="10"/>
    <x v="0"/>
  </r>
  <r>
    <s v="OHX-11953-965"/>
    <x v="475"/>
    <x v="5"/>
    <s v="October"/>
    <x v="0"/>
    <s v="19524-21432-XP"/>
    <s v="E-L-2.5"/>
    <n v="2"/>
    <x v="563"/>
    <s v="tcastiglionegz@xing.com"/>
    <x v="212"/>
    <x v="0"/>
    <x v="1"/>
    <x v="1"/>
    <n v="2.5"/>
    <n v="34.154999999999994"/>
    <x v="93"/>
    <x v="1"/>
  </r>
  <r>
    <s v="TVV-42245-088"/>
    <x v="476"/>
    <x v="2"/>
    <s v="March"/>
    <x v="3"/>
    <s v="14398-43114-RV"/>
    <s v="A-M-0.2"/>
    <n v="4"/>
    <x v="564"/>
    <n v="0"/>
    <x v="75"/>
    <x v="1"/>
    <x v="2"/>
    <x v="0"/>
    <n v="0.2"/>
    <n v="3.375"/>
    <x v="72"/>
    <x v="0"/>
  </r>
  <r>
    <s v="DYP-74337-787"/>
    <x v="431"/>
    <x v="1"/>
    <s v="October"/>
    <x v="0"/>
    <s v="41486-52502-QQ"/>
    <s v="R-M-0.5"/>
    <n v="1"/>
    <x v="565"/>
    <n v="0"/>
    <x v="155"/>
    <x v="0"/>
    <x v="0"/>
    <x v="0"/>
    <n v="0.5"/>
    <n v="5.97"/>
    <x v="9"/>
    <x v="0"/>
  </r>
  <r>
    <s v="OKA-93124-100"/>
    <x v="477"/>
    <x v="0"/>
    <s v="April"/>
    <x v="3"/>
    <s v="05325-97750-WP"/>
    <s v="R-M-0.5"/>
    <n v="5"/>
    <x v="539"/>
    <s v="cverissimogh@theglobeandmail.com"/>
    <x v="26"/>
    <x v="2"/>
    <x v="0"/>
    <x v="0"/>
    <n v="0.5"/>
    <n v="5.97"/>
    <x v="44"/>
    <x v="0"/>
  </r>
  <r>
    <s v="IXW-20780-268"/>
    <x v="478"/>
    <x v="1"/>
    <s v="June"/>
    <x v="3"/>
    <s v="20236-64364-QL"/>
    <s v="L-L-2.5"/>
    <n v="2"/>
    <x v="566"/>
    <s v="scouronneh3@mozilla.org"/>
    <x v="97"/>
    <x v="0"/>
    <x v="3"/>
    <x v="1"/>
    <n v="2.5"/>
    <n v="36.454999999999998"/>
    <x v="37"/>
    <x v="1"/>
  </r>
  <r>
    <s v="NGG-24006-937"/>
    <x v="45"/>
    <x v="5"/>
    <s v="March"/>
    <x v="1"/>
    <s v="29102-40100-TZ"/>
    <s v="E-M-2.5"/>
    <n v="4"/>
    <x v="567"/>
    <s v="lflippellih4@github.io"/>
    <x v="292"/>
    <x v="2"/>
    <x v="1"/>
    <x v="0"/>
    <n v="2.5"/>
    <n v="31.624999999999996"/>
    <x v="177"/>
    <x v="2"/>
  </r>
  <r>
    <s v="JZC-31180-557"/>
    <x v="444"/>
    <x v="5"/>
    <s v="April"/>
    <x v="3"/>
    <s v="09171-42203-EB"/>
    <s v="L-M-2.5"/>
    <n v="1"/>
    <x v="568"/>
    <s v="relizabethh5@live.com"/>
    <x v="134"/>
    <x v="0"/>
    <x v="3"/>
    <x v="0"/>
    <n v="2.5"/>
    <n v="33.464999999999996"/>
    <x v="116"/>
    <x v="0"/>
  </r>
  <r>
    <s v="ZMU-63715-204"/>
    <x v="479"/>
    <x v="0"/>
    <s v="September"/>
    <x v="1"/>
    <s v="29060-75856-UI"/>
    <s v="E-D-1"/>
    <n v="6"/>
    <x v="569"/>
    <s v="irenhardh6@i2i.jp"/>
    <x v="15"/>
    <x v="0"/>
    <x v="1"/>
    <x v="2"/>
    <n v="1"/>
    <n v="12.15"/>
    <x v="118"/>
    <x v="1"/>
  </r>
  <r>
    <s v="GND-08192-056"/>
    <x v="480"/>
    <x v="6"/>
    <s v="May"/>
    <x v="2"/>
    <s v="17088-16989-PL"/>
    <s v="L-D-0.5"/>
    <n v="2"/>
    <x v="570"/>
    <s v="wrocheh7@xinhuanet.com"/>
    <x v="293"/>
    <x v="0"/>
    <x v="3"/>
    <x v="2"/>
    <n v="0.5"/>
    <n v="7.77"/>
    <x v="42"/>
    <x v="0"/>
  </r>
  <r>
    <s v="RYY-38961-093"/>
    <x v="481"/>
    <x v="0"/>
    <s v="January"/>
    <x v="1"/>
    <s v="14756-18321-CL"/>
    <s v="A-M-0.2"/>
    <n v="6"/>
    <x v="571"/>
    <s v="lalawayhh@weather.com"/>
    <x v="42"/>
    <x v="0"/>
    <x v="2"/>
    <x v="0"/>
    <n v="0.2"/>
    <n v="3.375"/>
    <x v="16"/>
    <x v="0"/>
  </r>
  <r>
    <s v="CVA-64996-969"/>
    <x v="478"/>
    <x v="1"/>
    <s v="June"/>
    <x v="3"/>
    <s v="13324-78688-MI"/>
    <s v="A-L-1"/>
    <n v="6"/>
    <x v="572"/>
    <s v="codgaardh9@nsw.gov.au"/>
    <x v="12"/>
    <x v="0"/>
    <x v="2"/>
    <x v="1"/>
    <n v="1"/>
    <n v="12.95"/>
    <x v="17"/>
    <x v="1"/>
  </r>
  <r>
    <s v="XTH-67276-442"/>
    <x v="482"/>
    <x v="6"/>
    <s v="March"/>
    <x v="0"/>
    <s v="73799-04749-BM"/>
    <s v="L-M-2.5"/>
    <n v="4"/>
    <x v="573"/>
    <s v="bbyrdha@4shared.com"/>
    <x v="198"/>
    <x v="0"/>
    <x v="3"/>
    <x v="0"/>
    <n v="2.5"/>
    <n v="33.464999999999996"/>
    <x v="136"/>
    <x v="2"/>
  </r>
  <r>
    <s v="PVU-02950-470"/>
    <x v="353"/>
    <x v="0"/>
    <s v="January"/>
    <x v="1"/>
    <s v="01927-46702-YT"/>
    <s v="E-D-1"/>
    <n v="1"/>
    <x v="574"/>
    <n v="0"/>
    <x v="294"/>
    <x v="2"/>
    <x v="1"/>
    <x v="2"/>
    <n v="1"/>
    <n v="12.15"/>
    <x v="87"/>
    <x v="0"/>
  </r>
  <r>
    <s v="XSN-26809-910"/>
    <x v="199"/>
    <x v="6"/>
    <s v="June"/>
    <x v="3"/>
    <s v="80467-17137-TO"/>
    <s v="E-M-2.5"/>
    <n v="2"/>
    <x v="575"/>
    <s v="dchardinhc@nhs.uk"/>
    <x v="295"/>
    <x v="1"/>
    <x v="1"/>
    <x v="0"/>
    <n v="2.5"/>
    <n v="31.624999999999996"/>
    <x v="40"/>
    <x v="1"/>
  </r>
  <r>
    <s v="UDN-88321-005"/>
    <x v="372"/>
    <x v="6"/>
    <s v="July"/>
    <x v="3"/>
    <s v="14640-87215-BK"/>
    <s v="R-L-0.5"/>
    <n v="5"/>
    <x v="576"/>
    <s v="hradbonehd@newsvine.com"/>
    <x v="204"/>
    <x v="0"/>
    <x v="0"/>
    <x v="1"/>
    <n v="0.5"/>
    <n v="7.169999999999999"/>
    <x v="66"/>
    <x v="0"/>
  </r>
  <r>
    <s v="EXP-21628-670"/>
    <x v="267"/>
    <x v="4"/>
    <s v="March"/>
    <x v="0"/>
    <s v="94447-35885-HK"/>
    <s v="A-M-2.5"/>
    <n v="3"/>
    <x v="577"/>
    <s v="wbernthhe@miitbeian.gov.cn"/>
    <x v="291"/>
    <x v="0"/>
    <x v="2"/>
    <x v="0"/>
    <n v="2.5"/>
    <n v="25.874999999999996"/>
    <x v="57"/>
    <x v="1"/>
  </r>
  <r>
    <s v="VGM-24161-361"/>
    <x v="480"/>
    <x v="6"/>
    <s v="May"/>
    <x v="2"/>
    <s v="71034-49694-CS"/>
    <s v="E-M-2.5"/>
    <n v="2"/>
    <x v="578"/>
    <s v="bacarsonhf@cnn.com"/>
    <x v="13"/>
    <x v="0"/>
    <x v="1"/>
    <x v="0"/>
    <n v="2.5"/>
    <n v="31.624999999999996"/>
    <x v="40"/>
    <x v="1"/>
  </r>
  <r>
    <s v="PKN-19556-918"/>
    <x v="483"/>
    <x v="2"/>
    <s v="April"/>
    <x v="2"/>
    <s v="00445-42781-KX"/>
    <s v="E-L-0.2"/>
    <n v="6"/>
    <x v="579"/>
    <s v="fbrighamhg@blog.com"/>
    <x v="296"/>
    <x v="1"/>
    <x v="1"/>
    <x v="1"/>
    <n v="0.2"/>
    <n v="4.4550000000000001"/>
    <x v="149"/>
    <x v="0"/>
  </r>
  <r>
    <s v="PKN-19556-918"/>
    <x v="483"/>
    <x v="2"/>
    <s v="April"/>
    <x v="2"/>
    <s v="00445-42781-KX"/>
    <s v="L-D-0.5"/>
    <n v="4"/>
    <x v="579"/>
    <s v="fbrighamhg@blog.com"/>
    <x v="296"/>
    <x v="1"/>
    <x v="3"/>
    <x v="2"/>
    <n v="0.5"/>
    <n v="7.77"/>
    <x v="113"/>
    <x v="0"/>
  </r>
  <r>
    <s v="PKN-19556-918"/>
    <x v="483"/>
    <x v="2"/>
    <s v="April"/>
    <x v="2"/>
    <s v="00445-42781-KX"/>
    <s v="A-D-0.2"/>
    <n v="1"/>
    <x v="579"/>
    <s v="fbrighamhg@blog.com"/>
    <x v="296"/>
    <x v="1"/>
    <x v="2"/>
    <x v="2"/>
    <n v="0.2"/>
    <n v="2.9849999999999999"/>
    <x v="55"/>
    <x v="0"/>
  </r>
  <r>
    <s v="PKN-19556-918"/>
    <x v="483"/>
    <x v="2"/>
    <s v="April"/>
    <x v="2"/>
    <s v="00445-42781-KX"/>
    <s v="R-D-2.5"/>
    <n v="5"/>
    <x v="579"/>
    <s v="fbrighamhg@blog.com"/>
    <x v="296"/>
    <x v="1"/>
    <x v="0"/>
    <x v="2"/>
    <n v="2.5"/>
    <n v="20.584999999999997"/>
    <x v="182"/>
    <x v="2"/>
  </r>
  <r>
    <s v="DXQ-44537-297"/>
    <x v="484"/>
    <x v="0"/>
    <s v="August"/>
    <x v="3"/>
    <s v="96116-24737-LV"/>
    <s v="E-L-0.5"/>
    <n v="4"/>
    <x v="580"/>
    <s v="myoxenhk@google.com"/>
    <x v="6"/>
    <x v="0"/>
    <x v="1"/>
    <x v="1"/>
    <n v="0.5"/>
    <n v="8.91"/>
    <x v="70"/>
    <x v="0"/>
  </r>
  <r>
    <s v="BPC-54727-307"/>
    <x v="485"/>
    <x v="4"/>
    <s v="December"/>
    <x v="0"/>
    <s v="18684-73088-YL"/>
    <s v="R-L-1"/>
    <n v="4"/>
    <x v="581"/>
    <s v="gmcgavinhl@histats.com"/>
    <x v="156"/>
    <x v="0"/>
    <x v="0"/>
    <x v="1"/>
    <n v="1"/>
    <n v="11.95"/>
    <x v="62"/>
    <x v="0"/>
  </r>
  <r>
    <s v="KSH-47717-456"/>
    <x v="486"/>
    <x v="6"/>
    <s v="April"/>
    <x v="3"/>
    <s v="74671-55639-TU"/>
    <s v="L-M-1"/>
    <n v="3"/>
    <x v="582"/>
    <s v="luttermarehm@engadget.com"/>
    <x v="177"/>
    <x v="0"/>
    <x v="3"/>
    <x v="0"/>
    <n v="1"/>
    <n v="14.55"/>
    <x v="34"/>
    <x v="0"/>
  </r>
  <r>
    <s v="ANK-59436-446"/>
    <x v="487"/>
    <x v="3"/>
    <s v="January"/>
    <x v="2"/>
    <s v="17488-65879-XL"/>
    <s v="E-L-0.5"/>
    <n v="4"/>
    <x v="583"/>
    <s v="edambrogiohn@techcrunch.com"/>
    <x v="150"/>
    <x v="0"/>
    <x v="1"/>
    <x v="1"/>
    <n v="0.5"/>
    <n v="8.91"/>
    <x v="70"/>
    <x v="0"/>
  </r>
  <r>
    <s v="AYY-83051-752"/>
    <x v="488"/>
    <x v="5"/>
    <s v="January"/>
    <x v="0"/>
    <s v="46431-09298-OU"/>
    <s v="L-L-1"/>
    <n v="6"/>
    <x v="584"/>
    <s v="cwinchcombeho@jiathis.com"/>
    <x v="28"/>
    <x v="0"/>
    <x v="3"/>
    <x v="1"/>
    <n v="1"/>
    <n v="15.85"/>
    <x v="179"/>
    <x v="1"/>
  </r>
  <r>
    <s v="CSW-59644-267"/>
    <x v="489"/>
    <x v="2"/>
    <s v="February"/>
    <x v="3"/>
    <s v="60378-26473-FE"/>
    <s v="E-M-2.5"/>
    <n v="1"/>
    <x v="585"/>
    <s v="bpaumierhp@umn.edu"/>
    <x v="297"/>
    <x v="1"/>
    <x v="1"/>
    <x v="0"/>
    <n v="2.5"/>
    <n v="31.624999999999996"/>
    <x v="176"/>
    <x v="0"/>
  </r>
  <r>
    <s v="ITY-92466-909"/>
    <x v="162"/>
    <x v="1"/>
    <s v="August"/>
    <x v="0"/>
    <s v="34927-68586-ZV"/>
    <s v="A-M-2.5"/>
    <n v="3"/>
    <x v="586"/>
    <n v="0"/>
    <x v="280"/>
    <x v="1"/>
    <x v="2"/>
    <x v="0"/>
    <n v="2.5"/>
    <n v="25.874999999999996"/>
    <x v="57"/>
    <x v="1"/>
  </r>
  <r>
    <s v="IGW-04801-466"/>
    <x v="490"/>
    <x v="4"/>
    <s v="May"/>
    <x v="1"/>
    <s v="29051-27555-GD"/>
    <s v="L-D-0.2"/>
    <n v="1"/>
    <x v="587"/>
    <s v="jcapeyhr@bravesites.com"/>
    <x v="173"/>
    <x v="0"/>
    <x v="3"/>
    <x v="2"/>
    <n v="0.2"/>
    <n v="3.8849999999999998"/>
    <x v="84"/>
    <x v="0"/>
  </r>
  <r>
    <s v="LJN-34281-921"/>
    <x v="491"/>
    <x v="2"/>
    <s v="December"/>
    <x v="1"/>
    <s v="52143-35672-JF"/>
    <s v="R-L-2.5"/>
    <n v="5"/>
    <x v="588"/>
    <s v="tmathonneti0@google.co.jp"/>
    <x v="61"/>
    <x v="0"/>
    <x v="0"/>
    <x v="1"/>
    <n v="2.5"/>
    <n v="27.484999999999996"/>
    <x v="187"/>
    <x v="2"/>
  </r>
  <r>
    <s v="BWZ-46364-547"/>
    <x v="301"/>
    <x v="0"/>
    <s v="September"/>
    <x v="1"/>
    <s v="64918-67725-MN"/>
    <s v="R-L-1"/>
    <n v="3"/>
    <x v="589"/>
    <s v="ybasillht@theguardian.com"/>
    <x v="291"/>
    <x v="0"/>
    <x v="0"/>
    <x v="1"/>
    <n v="1"/>
    <n v="11.95"/>
    <x v="66"/>
    <x v="0"/>
  </r>
  <r>
    <s v="SBC-95710-706"/>
    <x v="194"/>
    <x v="1"/>
    <s v="February"/>
    <x v="3"/>
    <s v="85634-61759-ND"/>
    <s v="E-M-0.2"/>
    <n v="2"/>
    <x v="590"/>
    <s v="mbaistowhu@i2i.jp"/>
    <x v="298"/>
    <x v="2"/>
    <x v="1"/>
    <x v="0"/>
    <n v="0.2"/>
    <n v="4.125"/>
    <x v="112"/>
    <x v="0"/>
  </r>
  <r>
    <s v="WRN-55114-031"/>
    <x v="26"/>
    <x v="3"/>
    <s v="June"/>
    <x v="3"/>
    <s v="40180-22940-QB"/>
    <s v="E-L-2.5"/>
    <n v="3"/>
    <x v="591"/>
    <s v="cpallanthv@typepad.com"/>
    <x v="68"/>
    <x v="0"/>
    <x v="1"/>
    <x v="1"/>
    <n v="2.5"/>
    <n v="34.154999999999994"/>
    <x v="89"/>
    <x v="2"/>
  </r>
  <r>
    <s v="TZU-64255-831"/>
    <x v="125"/>
    <x v="2"/>
    <s v="May"/>
    <x v="2"/>
    <s v="34666-76738-SQ"/>
    <s v="R-D-2.5"/>
    <n v="2"/>
    <x v="592"/>
    <n v="0"/>
    <x v="218"/>
    <x v="0"/>
    <x v="0"/>
    <x v="2"/>
    <n v="2.5"/>
    <n v="20.584999999999997"/>
    <x v="13"/>
    <x v="0"/>
  </r>
  <r>
    <s v="JVF-91003-729"/>
    <x v="492"/>
    <x v="2"/>
    <s v="October"/>
    <x v="3"/>
    <s v="98536-88616-FF"/>
    <s v="A-D-2.5"/>
    <n v="3"/>
    <x v="593"/>
    <s v="dohx@redcross.org"/>
    <x v="299"/>
    <x v="0"/>
    <x v="2"/>
    <x v="2"/>
    <n v="2.5"/>
    <n v="22.884999999999998"/>
    <x v="96"/>
    <x v="1"/>
  </r>
  <r>
    <s v="MVB-22135-665"/>
    <x v="462"/>
    <x v="0"/>
    <s v="December"/>
    <x v="1"/>
    <s v="55621-06130-SA"/>
    <s v="A-D-1"/>
    <n v="1"/>
    <x v="594"/>
    <s v="drallinhy@howstuffworks.com"/>
    <x v="140"/>
    <x v="0"/>
    <x v="2"/>
    <x v="2"/>
    <n v="1"/>
    <n v="9.9499999999999993"/>
    <x v="138"/>
    <x v="0"/>
  </r>
  <r>
    <s v="CKS-47815-571"/>
    <x v="493"/>
    <x v="5"/>
    <s v="November"/>
    <x v="1"/>
    <s v="45666-86771-EH"/>
    <s v="L-L-0.5"/>
    <n v="3"/>
    <x v="595"/>
    <s v="achillhz@epa.gov"/>
    <x v="300"/>
    <x v="2"/>
    <x v="3"/>
    <x v="1"/>
    <n v="0.5"/>
    <n v="9.51"/>
    <x v="32"/>
    <x v="0"/>
  </r>
  <r>
    <s v="OAW-17338-101"/>
    <x v="494"/>
    <x v="6"/>
    <s v="February"/>
    <x v="3"/>
    <s v="52143-35672-JF"/>
    <s v="R-D-0.2"/>
    <n v="6"/>
    <x v="588"/>
    <s v="tmathonneti0@google.co.jp"/>
    <x v="61"/>
    <x v="0"/>
    <x v="0"/>
    <x v="2"/>
    <n v="0.2"/>
    <n v="2.6849999999999996"/>
    <x v="103"/>
    <x v="0"/>
  </r>
  <r>
    <s v="ALP-37623-536"/>
    <x v="495"/>
    <x v="2"/>
    <s v="July"/>
    <x v="3"/>
    <s v="24689-69376-XX"/>
    <s v="L-L-1"/>
    <n v="6"/>
    <x v="596"/>
    <s v="cdenysi1@is.gd"/>
    <x v="301"/>
    <x v="2"/>
    <x v="3"/>
    <x v="1"/>
    <n v="1"/>
    <n v="15.85"/>
    <x v="179"/>
    <x v="1"/>
  </r>
  <r>
    <s v="WMU-87639-108"/>
    <x v="496"/>
    <x v="3"/>
    <s v="February"/>
    <x v="0"/>
    <s v="71891-51101-VQ"/>
    <s v="R-D-0.5"/>
    <n v="1"/>
    <x v="597"/>
    <s v="cstebbingsi2@drupal.org"/>
    <x v="78"/>
    <x v="0"/>
    <x v="0"/>
    <x v="2"/>
    <n v="0.5"/>
    <n v="5.3699999999999992"/>
    <x v="147"/>
    <x v="0"/>
  </r>
  <r>
    <s v="USN-44968-231"/>
    <x v="497"/>
    <x v="0"/>
    <s v="September"/>
    <x v="3"/>
    <s v="71749-05400-CN"/>
    <s v="R-L-1"/>
    <n v="4"/>
    <x v="598"/>
    <n v="0"/>
    <x v="41"/>
    <x v="0"/>
    <x v="0"/>
    <x v="1"/>
    <n v="1"/>
    <n v="11.95"/>
    <x v="62"/>
    <x v="0"/>
  </r>
  <r>
    <s v="YZG-20575-451"/>
    <x v="498"/>
    <x v="3"/>
    <s v="March"/>
    <x v="3"/>
    <s v="64845-00270-NO"/>
    <s v="L-L-1"/>
    <n v="4"/>
    <x v="599"/>
    <s v="rzywickii4@ifeng.com"/>
    <x v="302"/>
    <x v="1"/>
    <x v="3"/>
    <x v="1"/>
    <n v="1"/>
    <n v="15.85"/>
    <x v="165"/>
    <x v="1"/>
  </r>
  <r>
    <s v="HTH-52867-812"/>
    <x v="382"/>
    <x v="3"/>
    <s v="June"/>
    <x v="1"/>
    <s v="29851-36402-UX"/>
    <s v="A-M-2.5"/>
    <n v="4"/>
    <x v="600"/>
    <s v="aburgetti5@moonfruit.com"/>
    <x v="45"/>
    <x v="0"/>
    <x v="2"/>
    <x v="0"/>
    <n v="2.5"/>
    <n v="25.874999999999996"/>
    <x v="68"/>
    <x v="2"/>
  </r>
  <r>
    <s v="FWU-44971-444"/>
    <x v="499"/>
    <x v="2"/>
    <s v="January"/>
    <x v="0"/>
    <s v="12190-25421-WM"/>
    <s v="A-D-2.5"/>
    <n v="3"/>
    <x v="601"/>
    <s v="mmalloyi6@seattletimes.com"/>
    <x v="41"/>
    <x v="0"/>
    <x v="2"/>
    <x v="2"/>
    <n v="2.5"/>
    <n v="22.884999999999998"/>
    <x v="96"/>
    <x v="1"/>
  </r>
  <r>
    <s v="EQI-82205-066"/>
    <x v="500"/>
    <x v="2"/>
    <s v="September"/>
    <x v="0"/>
    <s v="52316-30571-GD"/>
    <s v="R-M-2.5"/>
    <n v="2"/>
    <x v="602"/>
    <s v="mmcparlandi7@w3.org"/>
    <x v="303"/>
    <x v="0"/>
    <x v="0"/>
    <x v="0"/>
    <n v="2.5"/>
    <n v="22.884999999999998"/>
    <x v="135"/>
    <x v="0"/>
  </r>
  <r>
    <s v="NAR-00747-074"/>
    <x v="501"/>
    <x v="4"/>
    <s v="October"/>
    <x v="1"/>
    <s v="23243-92649-RY"/>
    <s v="L-D-1"/>
    <n v="4"/>
    <x v="603"/>
    <s v="sjennaroyi8@purevolume.com"/>
    <x v="24"/>
    <x v="0"/>
    <x v="3"/>
    <x v="2"/>
    <n v="1"/>
    <n v="12.95"/>
    <x v="67"/>
    <x v="1"/>
  </r>
  <r>
    <s v="JYR-22052-185"/>
    <x v="502"/>
    <x v="1"/>
    <s v="January"/>
    <x v="3"/>
    <s v="39528-19971-OR"/>
    <s v="A-M-0.5"/>
    <n v="2"/>
    <x v="604"/>
    <s v="wplacei9@wsj.com"/>
    <x v="304"/>
    <x v="0"/>
    <x v="2"/>
    <x v="0"/>
    <n v="0.5"/>
    <n v="6.75"/>
    <x v="72"/>
    <x v="0"/>
  </r>
  <r>
    <s v="XKO-54097-932"/>
    <x v="503"/>
    <x v="0"/>
    <s v="March"/>
    <x v="2"/>
    <s v="32743-78448-KT"/>
    <s v="E-M-0.5"/>
    <n v="3"/>
    <x v="605"/>
    <s v="jmillettik@addtoany.com"/>
    <x v="285"/>
    <x v="0"/>
    <x v="1"/>
    <x v="0"/>
    <n v="0.5"/>
    <n v="8.25"/>
    <x v="167"/>
    <x v="0"/>
  </r>
  <r>
    <s v="HXA-72415-025"/>
    <x v="504"/>
    <x v="0"/>
    <s v="May"/>
    <x v="2"/>
    <s v="93417-12322-YB"/>
    <s v="A-D-2.5"/>
    <n v="2"/>
    <x v="606"/>
    <s v="dgadsdenib@google.com.hk"/>
    <x v="305"/>
    <x v="1"/>
    <x v="2"/>
    <x v="2"/>
    <n v="2.5"/>
    <n v="22.884999999999998"/>
    <x v="135"/>
    <x v="0"/>
  </r>
  <r>
    <s v="MJF-20065-335"/>
    <x v="497"/>
    <x v="0"/>
    <s v="September"/>
    <x v="3"/>
    <s v="56891-86662-UY"/>
    <s v="E-L-0.5"/>
    <n v="6"/>
    <x v="607"/>
    <s v="vwakelinic@unesco.org"/>
    <x v="133"/>
    <x v="0"/>
    <x v="1"/>
    <x v="1"/>
    <n v="0.5"/>
    <n v="8.91"/>
    <x v="119"/>
    <x v="1"/>
  </r>
  <r>
    <s v="GFI-83300-059"/>
    <x v="501"/>
    <x v="4"/>
    <s v="October"/>
    <x v="1"/>
    <s v="40414-26467-VE"/>
    <s v="A-M-0.2"/>
    <n v="6"/>
    <x v="608"/>
    <s v="acampsallid@zimbio.com"/>
    <x v="13"/>
    <x v="0"/>
    <x v="2"/>
    <x v="0"/>
    <n v="0.2"/>
    <n v="3.375"/>
    <x v="16"/>
    <x v="0"/>
  </r>
  <r>
    <s v="WJR-51493-682"/>
    <x v="1"/>
    <x v="0"/>
    <s v="June"/>
    <x v="1"/>
    <s v="87858-83734-RK"/>
    <s v="L-D-2.5"/>
    <n v="5"/>
    <x v="609"/>
    <s v="smosebyie@stanford.edu"/>
    <x v="306"/>
    <x v="0"/>
    <x v="3"/>
    <x v="2"/>
    <n v="2.5"/>
    <n v="29.784999999999997"/>
    <x v="74"/>
    <x v="2"/>
  </r>
  <r>
    <s v="SHP-55648-472"/>
    <x v="505"/>
    <x v="4"/>
    <s v="March"/>
    <x v="0"/>
    <s v="46818-20198-GB"/>
    <s v="A-M-1"/>
    <n v="6"/>
    <x v="610"/>
    <s v="cwassif@prweb.com"/>
    <x v="27"/>
    <x v="0"/>
    <x v="2"/>
    <x v="0"/>
    <n v="1"/>
    <n v="11.25"/>
    <x v="173"/>
    <x v="1"/>
  </r>
  <r>
    <s v="HYR-03455-684"/>
    <x v="506"/>
    <x v="6"/>
    <s v="December"/>
    <x v="1"/>
    <s v="29808-89098-XD"/>
    <s v="E-D-1"/>
    <n v="6"/>
    <x v="611"/>
    <s v="isjostromig@pbs.org"/>
    <x v="173"/>
    <x v="0"/>
    <x v="1"/>
    <x v="2"/>
    <n v="1"/>
    <n v="12.15"/>
    <x v="118"/>
    <x v="1"/>
  </r>
  <r>
    <s v="HYR-03455-684"/>
    <x v="506"/>
    <x v="6"/>
    <s v="December"/>
    <x v="1"/>
    <s v="29808-89098-XD"/>
    <s v="L-D-0.2"/>
    <n v="2"/>
    <x v="611"/>
    <s v="isjostromig@pbs.org"/>
    <x v="173"/>
    <x v="0"/>
    <x v="3"/>
    <x v="2"/>
    <n v="0.2"/>
    <n v="3.8849999999999998"/>
    <x v="41"/>
    <x v="0"/>
  </r>
  <r>
    <s v="HUG-52766-375"/>
    <x v="507"/>
    <x v="2"/>
    <s v="June"/>
    <x v="3"/>
    <s v="78786-77449-RQ"/>
    <s v="A-D-2.5"/>
    <n v="4"/>
    <x v="612"/>
    <s v="jbranchettii@bravesites.com"/>
    <x v="143"/>
    <x v="0"/>
    <x v="2"/>
    <x v="2"/>
    <n v="2.5"/>
    <n v="22.884999999999998"/>
    <x v="21"/>
    <x v="1"/>
  </r>
  <r>
    <s v="DAH-46595-917"/>
    <x v="508"/>
    <x v="6"/>
    <s v="September"/>
    <x v="1"/>
    <s v="27878-42224-QF"/>
    <s v="A-D-1"/>
    <n v="6"/>
    <x v="613"/>
    <s v="nrudlandij@blogs.com"/>
    <x v="307"/>
    <x v="1"/>
    <x v="2"/>
    <x v="2"/>
    <n v="1"/>
    <n v="9.9499999999999993"/>
    <x v="33"/>
    <x v="1"/>
  </r>
  <r>
    <s v="VEM-79839-466"/>
    <x v="509"/>
    <x v="1"/>
    <s v="March"/>
    <x v="2"/>
    <s v="32743-78448-KT"/>
    <s v="R-L-2.5"/>
    <n v="5"/>
    <x v="605"/>
    <s v="jmillettik@addtoany.com"/>
    <x v="285"/>
    <x v="0"/>
    <x v="0"/>
    <x v="1"/>
    <n v="2.5"/>
    <n v="27.484999999999996"/>
    <x v="187"/>
    <x v="2"/>
  </r>
  <r>
    <s v="OWH-11126-533"/>
    <x v="131"/>
    <x v="5"/>
    <s v="December"/>
    <x v="1"/>
    <s v="25331-13794-SB"/>
    <s v="L-M-2.5"/>
    <n v="2"/>
    <x v="614"/>
    <s v="ftourryil@google.de"/>
    <x v="308"/>
    <x v="0"/>
    <x v="3"/>
    <x v="0"/>
    <n v="2.5"/>
    <n v="33.464999999999996"/>
    <x v="174"/>
    <x v="1"/>
  </r>
  <r>
    <s v="UMT-26130-151"/>
    <x v="510"/>
    <x v="5"/>
    <s v="May"/>
    <x v="0"/>
    <s v="55864-37682-GQ"/>
    <s v="L-M-0.2"/>
    <n v="3"/>
    <x v="615"/>
    <s v="cweatherallim@toplist.cz"/>
    <x v="309"/>
    <x v="0"/>
    <x v="3"/>
    <x v="0"/>
    <n v="0.2"/>
    <n v="4.3650000000000002"/>
    <x v="73"/>
    <x v="0"/>
  </r>
  <r>
    <s v="JKA-27899-806"/>
    <x v="511"/>
    <x v="5"/>
    <s v="October"/>
    <x v="1"/>
    <s v="97005-25609-CQ"/>
    <s v="R-L-1"/>
    <n v="5"/>
    <x v="616"/>
    <s v="gheindrickin@usda.gov"/>
    <x v="227"/>
    <x v="0"/>
    <x v="0"/>
    <x v="1"/>
    <n v="1"/>
    <n v="11.95"/>
    <x v="143"/>
    <x v="1"/>
  </r>
  <r>
    <s v="ULU-07744-724"/>
    <x v="512"/>
    <x v="0"/>
    <s v="March"/>
    <x v="3"/>
    <s v="94058-95794-IJ"/>
    <s v="L-M-0.5"/>
    <n v="5"/>
    <x v="617"/>
    <s v="limasonio@discuz.net"/>
    <x v="13"/>
    <x v="0"/>
    <x v="3"/>
    <x v="0"/>
    <n v="0.5"/>
    <n v="8.73"/>
    <x v="34"/>
    <x v="0"/>
  </r>
  <r>
    <s v="NOM-56457-507"/>
    <x v="513"/>
    <x v="1"/>
    <s v="October"/>
    <x v="3"/>
    <s v="40214-03678-GU"/>
    <s v="E-M-1"/>
    <n v="6"/>
    <x v="618"/>
    <s v="hsaillip@odnoklassniki.ru"/>
    <x v="77"/>
    <x v="0"/>
    <x v="1"/>
    <x v="0"/>
    <n v="1"/>
    <n v="13.75"/>
    <x v="121"/>
    <x v="1"/>
  </r>
  <r>
    <s v="NZN-71683-705"/>
    <x v="514"/>
    <x v="3"/>
    <s v="December"/>
    <x v="1"/>
    <s v="04921-85445-SL"/>
    <s v="A-L-2.5"/>
    <n v="6"/>
    <x v="619"/>
    <s v="hlarvoriq@last.fm"/>
    <x v="310"/>
    <x v="0"/>
    <x v="2"/>
    <x v="1"/>
    <n v="2.5"/>
    <n v="29.784999999999997"/>
    <x v="39"/>
    <x v="2"/>
  </r>
  <r>
    <s v="WMA-34232-850"/>
    <x v="7"/>
    <x v="3"/>
    <s v="March"/>
    <x v="1"/>
    <s v="53386-94266-LJ"/>
    <s v="L-D-2.5"/>
    <n v="4"/>
    <x v="620"/>
    <n v="0"/>
    <x v="311"/>
    <x v="0"/>
    <x v="3"/>
    <x v="2"/>
    <n v="2.5"/>
    <n v="29.784999999999997"/>
    <x v="129"/>
    <x v="2"/>
  </r>
  <r>
    <s v="EZL-27919-704"/>
    <x v="481"/>
    <x v="0"/>
    <s v="January"/>
    <x v="1"/>
    <s v="49480-85909-DG"/>
    <s v="L-L-0.5"/>
    <n v="5"/>
    <x v="621"/>
    <n v="0"/>
    <x v="312"/>
    <x v="0"/>
    <x v="3"/>
    <x v="1"/>
    <n v="0.5"/>
    <n v="9.51"/>
    <x v="46"/>
    <x v="0"/>
  </r>
  <r>
    <s v="ZYU-11345-774"/>
    <x v="515"/>
    <x v="6"/>
    <s v="January"/>
    <x v="1"/>
    <s v="18293-78136-MN"/>
    <s v="L-M-0.5"/>
    <n v="5"/>
    <x v="622"/>
    <s v="cpenwardenit@mlb.com"/>
    <x v="230"/>
    <x v="1"/>
    <x v="3"/>
    <x v="0"/>
    <n v="0.5"/>
    <n v="8.73"/>
    <x v="34"/>
    <x v="0"/>
  </r>
  <r>
    <s v="CPW-34587-459"/>
    <x v="516"/>
    <x v="2"/>
    <s v="March"/>
    <x v="1"/>
    <s v="84641-67384-TD"/>
    <s v="A-L-2.5"/>
    <n v="6"/>
    <x v="623"/>
    <s v="mmiddisiu@dmoz.org"/>
    <x v="313"/>
    <x v="0"/>
    <x v="2"/>
    <x v="1"/>
    <n v="2.5"/>
    <n v="29.784999999999997"/>
    <x v="39"/>
    <x v="2"/>
  </r>
  <r>
    <s v="NQZ-82067-394"/>
    <x v="517"/>
    <x v="2"/>
    <s v="March"/>
    <x v="2"/>
    <s v="72320-29738-EB"/>
    <s v="R-L-2.5"/>
    <n v="1"/>
    <x v="624"/>
    <s v="avairowiv@studiopress.com"/>
    <x v="300"/>
    <x v="2"/>
    <x v="0"/>
    <x v="1"/>
    <n v="2.5"/>
    <n v="27.484999999999996"/>
    <x v="142"/>
    <x v="0"/>
  </r>
  <r>
    <s v="JBW-95055-851"/>
    <x v="518"/>
    <x v="0"/>
    <s v="July"/>
    <x v="1"/>
    <s v="47355-97488-XS"/>
    <s v="A-M-1"/>
    <n v="5"/>
    <x v="625"/>
    <s v="agoldieiw@goo.gl"/>
    <x v="189"/>
    <x v="0"/>
    <x v="2"/>
    <x v="0"/>
    <n v="1"/>
    <n v="11.25"/>
    <x v="126"/>
    <x v="1"/>
  </r>
  <r>
    <s v="AHY-20324-088"/>
    <x v="519"/>
    <x v="6"/>
    <s v="September"/>
    <x v="3"/>
    <s v="63499-24884-PP"/>
    <s v="L-L-0.2"/>
    <n v="2"/>
    <x v="626"/>
    <s v="nayrisix@t-online.de"/>
    <x v="44"/>
    <x v="2"/>
    <x v="3"/>
    <x v="1"/>
    <n v="0.2"/>
    <n v="4.7549999999999999"/>
    <x v="54"/>
    <x v="0"/>
  </r>
  <r>
    <s v="ZSL-66684-103"/>
    <x v="520"/>
    <x v="4"/>
    <s v="December"/>
    <x v="0"/>
    <s v="39193-51770-FM"/>
    <s v="E-M-0.2"/>
    <n v="2"/>
    <x v="627"/>
    <s v="lbenediktovichiy@wunderground.com"/>
    <x v="314"/>
    <x v="0"/>
    <x v="1"/>
    <x v="0"/>
    <n v="0.2"/>
    <n v="4.125"/>
    <x v="112"/>
    <x v="0"/>
  </r>
  <r>
    <s v="WNE-73911-475"/>
    <x v="521"/>
    <x v="3"/>
    <s v="April"/>
    <x v="3"/>
    <s v="61323-91967-GG"/>
    <s v="L-D-0.5"/>
    <n v="6"/>
    <x v="628"/>
    <s v="tjacobovitziz@cbc.ca"/>
    <x v="13"/>
    <x v="0"/>
    <x v="3"/>
    <x v="2"/>
    <n v="0.5"/>
    <n v="7.77"/>
    <x v="162"/>
    <x v="0"/>
  </r>
  <r>
    <s v="EZB-68383-559"/>
    <x v="418"/>
    <x v="0"/>
    <s v="February"/>
    <x v="0"/>
    <s v="90123-01967-KS"/>
    <s v="R-L-1"/>
    <n v="6"/>
    <x v="629"/>
    <n v="0"/>
    <x v="12"/>
    <x v="0"/>
    <x v="0"/>
    <x v="1"/>
    <n v="1"/>
    <n v="11.95"/>
    <x v="144"/>
    <x v="1"/>
  </r>
  <r>
    <s v="OVO-01283-090"/>
    <x v="122"/>
    <x v="0"/>
    <s v="March"/>
    <x v="2"/>
    <s v="15958-25089-OS"/>
    <s v="L-L-2.5"/>
    <n v="2"/>
    <x v="630"/>
    <s v="jdruittj1@feedburner.com"/>
    <x v="148"/>
    <x v="0"/>
    <x v="3"/>
    <x v="1"/>
    <n v="2.5"/>
    <n v="36.454999999999998"/>
    <x v="37"/>
    <x v="1"/>
  </r>
  <r>
    <s v="TXH-78646-919"/>
    <x v="423"/>
    <x v="2"/>
    <s v="May"/>
    <x v="1"/>
    <s v="98430-37820-UV"/>
    <s v="R-D-0.2"/>
    <n v="3"/>
    <x v="631"/>
    <s v="dshortallj2@wikipedia.org"/>
    <x v="100"/>
    <x v="0"/>
    <x v="0"/>
    <x v="2"/>
    <n v="0.2"/>
    <n v="2.6849999999999996"/>
    <x v="36"/>
    <x v="0"/>
  </r>
  <r>
    <s v="CYZ-37122-164"/>
    <x v="463"/>
    <x v="6"/>
    <s v="January"/>
    <x v="0"/>
    <s v="21798-04171-XC"/>
    <s v="E-M-0.5"/>
    <n v="2"/>
    <x v="632"/>
    <s v="wcottierj3@cafepress.com"/>
    <x v="7"/>
    <x v="0"/>
    <x v="1"/>
    <x v="0"/>
    <n v="0.5"/>
    <n v="8.25"/>
    <x v="38"/>
    <x v="0"/>
  </r>
  <r>
    <s v="AGQ-06534-750"/>
    <x v="273"/>
    <x v="1"/>
    <s v="April"/>
    <x v="0"/>
    <s v="52798-46508-HP"/>
    <s v="A-L-1"/>
    <n v="5"/>
    <x v="633"/>
    <s v="kgrinstedj4@google.com.br"/>
    <x v="315"/>
    <x v="1"/>
    <x v="2"/>
    <x v="1"/>
    <n v="1"/>
    <n v="12.95"/>
    <x v="188"/>
    <x v="1"/>
  </r>
  <r>
    <s v="QVL-32245-818"/>
    <x v="522"/>
    <x v="6"/>
    <s v="May"/>
    <x v="1"/>
    <s v="46478-42970-EM"/>
    <s v="A-M-0.5"/>
    <n v="5"/>
    <x v="634"/>
    <s v="dskynerj5@hubpages.com"/>
    <x v="71"/>
    <x v="0"/>
    <x v="2"/>
    <x v="0"/>
    <n v="0.5"/>
    <n v="6.75"/>
    <x v="65"/>
    <x v="0"/>
  </r>
  <r>
    <s v="LTD-96842-834"/>
    <x v="523"/>
    <x v="5"/>
    <s v="July"/>
    <x v="2"/>
    <s v="00246-15080-LE"/>
    <s v="L-D-2.5"/>
    <n v="6"/>
    <x v="635"/>
    <n v="0"/>
    <x v="45"/>
    <x v="0"/>
    <x v="3"/>
    <x v="2"/>
    <n v="2.5"/>
    <n v="29.784999999999997"/>
    <x v="39"/>
    <x v="2"/>
  </r>
  <r>
    <s v="SEC-91807-425"/>
    <x v="260"/>
    <x v="6"/>
    <s v="January"/>
    <x v="1"/>
    <s v="94091-86957-HX"/>
    <s v="A-M-1"/>
    <n v="2"/>
    <x v="636"/>
    <s v="jdymokeje@prnewswire.com"/>
    <x v="75"/>
    <x v="1"/>
    <x v="2"/>
    <x v="0"/>
    <n v="1"/>
    <n v="11.25"/>
    <x v="122"/>
    <x v="0"/>
  </r>
  <r>
    <s v="MHM-44857-599"/>
    <x v="331"/>
    <x v="0"/>
    <s v="September"/>
    <x v="0"/>
    <s v="26295-44907-DK"/>
    <s v="L-D-1"/>
    <n v="1"/>
    <x v="637"/>
    <s v="aweinmannj8@shinystat.com"/>
    <x v="159"/>
    <x v="0"/>
    <x v="3"/>
    <x v="2"/>
    <n v="1"/>
    <n v="12.95"/>
    <x v="2"/>
    <x v="0"/>
  </r>
  <r>
    <s v="KGC-95046-911"/>
    <x v="524"/>
    <x v="5"/>
    <s v="June"/>
    <x v="3"/>
    <s v="95351-96177-QV"/>
    <s v="A-M-2.5"/>
    <n v="2"/>
    <x v="638"/>
    <s v="eandriessenj9@europa.eu"/>
    <x v="10"/>
    <x v="0"/>
    <x v="2"/>
    <x v="0"/>
    <n v="2.5"/>
    <n v="25.874999999999996"/>
    <x v="95"/>
    <x v="1"/>
  </r>
  <r>
    <s v="RZC-75150-413"/>
    <x v="525"/>
    <x v="1"/>
    <s v="March"/>
    <x v="3"/>
    <s v="92204-96636-BS"/>
    <s v="E-D-0.5"/>
    <n v="5"/>
    <x v="639"/>
    <s v="rdeaconsonja@archive.org"/>
    <x v="316"/>
    <x v="0"/>
    <x v="1"/>
    <x v="2"/>
    <n v="0.5"/>
    <n v="7.29"/>
    <x v="114"/>
    <x v="0"/>
  </r>
  <r>
    <s v="EYH-88288-452"/>
    <x v="526"/>
    <x v="1"/>
    <s v="April"/>
    <x v="1"/>
    <s v="03010-30348-UA"/>
    <s v="L-L-2.5"/>
    <n v="5"/>
    <x v="640"/>
    <s v="dcarojb@twitter.com"/>
    <x v="192"/>
    <x v="0"/>
    <x v="3"/>
    <x v="1"/>
    <n v="2.5"/>
    <n v="36.454999999999998"/>
    <x v="134"/>
    <x v="2"/>
  </r>
  <r>
    <s v="NYQ-24237-772"/>
    <x v="104"/>
    <x v="2"/>
    <s v="August"/>
    <x v="0"/>
    <s v="13441-34686-SW"/>
    <s v="L-D-0.5"/>
    <n v="4"/>
    <x v="641"/>
    <s v="jbluckjc@imageshack.us"/>
    <x v="314"/>
    <x v="0"/>
    <x v="3"/>
    <x v="2"/>
    <n v="0.5"/>
    <n v="7.77"/>
    <x v="113"/>
    <x v="0"/>
  </r>
  <r>
    <s v="WKB-21680-566"/>
    <x v="491"/>
    <x v="2"/>
    <s v="December"/>
    <x v="1"/>
    <s v="96612-41722-VJ"/>
    <s v="A-M-0.5"/>
    <n v="3"/>
    <x v="642"/>
    <n v="0"/>
    <x v="317"/>
    <x v="1"/>
    <x v="2"/>
    <x v="0"/>
    <n v="0.5"/>
    <n v="6.75"/>
    <x v="16"/>
    <x v="0"/>
  </r>
  <r>
    <s v="THE-61147-027"/>
    <x v="157"/>
    <x v="5"/>
    <s v="December"/>
    <x v="0"/>
    <s v="94091-86957-HX"/>
    <s v="L-D-1"/>
    <n v="2"/>
    <x v="636"/>
    <s v="jdymokeje@prnewswire.com"/>
    <x v="75"/>
    <x v="1"/>
    <x v="3"/>
    <x v="2"/>
    <n v="1"/>
    <n v="12.95"/>
    <x v="109"/>
    <x v="0"/>
  </r>
  <r>
    <s v="PTY-86420-119"/>
    <x v="527"/>
    <x v="3"/>
    <s v="April"/>
    <x v="1"/>
    <s v="25504-41681-WA"/>
    <s v="A-D-0.5"/>
    <n v="4"/>
    <x v="643"/>
    <s v="otadmanjf@ft.com"/>
    <x v="218"/>
    <x v="0"/>
    <x v="2"/>
    <x v="2"/>
    <n v="0.5"/>
    <n v="5.97"/>
    <x v="86"/>
    <x v="0"/>
  </r>
  <r>
    <s v="QHL-27188-431"/>
    <x v="528"/>
    <x v="4"/>
    <s v="September"/>
    <x v="0"/>
    <s v="75443-07820-DZ"/>
    <s v="L-L-0.5"/>
    <n v="2"/>
    <x v="644"/>
    <s v="bguddejg@dailymotion.com"/>
    <x v="204"/>
    <x v="0"/>
    <x v="3"/>
    <x v="1"/>
    <n v="0.5"/>
    <n v="9.51"/>
    <x v="81"/>
    <x v="0"/>
  </r>
  <r>
    <s v="MIS-54381-047"/>
    <x v="99"/>
    <x v="1"/>
    <s v="June"/>
    <x v="2"/>
    <s v="39276-95489-XV"/>
    <s v="A-D-0.5"/>
    <n v="5"/>
    <x v="645"/>
    <s v="nsictornesjh@buzzfeed.com"/>
    <x v="201"/>
    <x v="1"/>
    <x v="2"/>
    <x v="2"/>
    <n v="0.5"/>
    <n v="5.97"/>
    <x v="44"/>
    <x v="0"/>
  </r>
  <r>
    <s v="TBB-29780-459"/>
    <x v="529"/>
    <x v="3"/>
    <s v="July"/>
    <x v="0"/>
    <s v="61437-83623-PZ"/>
    <s v="A-L-0.5"/>
    <n v="1"/>
    <x v="646"/>
    <s v="vdunningji@independent.co.uk"/>
    <x v="17"/>
    <x v="0"/>
    <x v="2"/>
    <x v="1"/>
    <n v="0.5"/>
    <n v="7.77"/>
    <x v="41"/>
    <x v="0"/>
  </r>
  <r>
    <s v="QLC-52637-305"/>
    <x v="530"/>
    <x v="6"/>
    <s v="February"/>
    <x v="0"/>
    <s v="34317-87258-HQ"/>
    <s v="L-D-2.5"/>
    <n v="4"/>
    <x v="647"/>
    <n v="0"/>
    <x v="104"/>
    <x v="1"/>
    <x v="3"/>
    <x v="2"/>
    <n v="2.5"/>
    <n v="29.784999999999997"/>
    <x v="129"/>
    <x v="2"/>
  </r>
  <r>
    <s v="CWT-27056-328"/>
    <x v="531"/>
    <x v="4"/>
    <s v="June"/>
    <x v="2"/>
    <s v="18570-80998-ZS"/>
    <s v="E-D-0.2"/>
    <n v="6"/>
    <x v="648"/>
    <n v="0"/>
    <x v="15"/>
    <x v="0"/>
    <x v="1"/>
    <x v="2"/>
    <n v="0.2"/>
    <n v="3.645"/>
    <x v="6"/>
    <x v="0"/>
  </r>
  <r>
    <s v="ASS-05878-128"/>
    <x v="210"/>
    <x v="4"/>
    <s v="October"/>
    <x v="3"/>
    <s v="66580-33745-OQ"/>
    <s v="E-L-0.5"/>
    <n v="2"/>
    <x v="649"/>
    <s v="sgehringjl@gnu.org"/>
    <x v="141"/>
    <x v="0"/>
    <x v="1"/>
    <x v="1"/>
    <n v="0.5"/>
    <n v="8.91"/>
    <x v="58"/>
    <x v="0"/>
  </r>
  <r>
    <s v="EGK-03027-418"/>
    <x v="532"/>
    <x v="6"/>
    <s v="June"/>
    <x v="1"/>
    <s v="19820-29285-FD"/>
    <s v="E-M-0.2"/>
    <n v="3"/>
    <x v="650"/>
    <s v="bfallowesjm@purevolume.com"/>
    <x v="318"/>
    <x v="0"/>
    <x v="1"/>
    <x v="0"/>
    <n v="0.2"/>
    <n v="4.125"/>
    <x v="24"/>
    <x v="0"/>
  </r>
  <r>
    <s v="KCY-61732-849"/>
    <x v="533"/>
    <x v="4"/>
    <s v="March"/>
    <x v="0"/>
    <s v="11349-55147-SN"/>
    <s v="L-D-1"/>
    <n v="2"/>
    <x v="651"/>
    <n v="0"/>
    <x v="319"/>
    <x v="1"/>
    <x v="3"/>
    <x v="2"/>
    <n v="1"/>
    <n v="12.95"/>
    <x v="109"/>
    <x v="0"/>
  </r>
  <r>
    <s v="BLI-21697-702"/>
    <x v="534"/>
    <x v="0"/>
    <s v="December"/>
    <x v="0"/>
    <s v="21141-12455-VB"/>
    <s v="A-M-0.5"/>
    <n v="2"/>
    <x v="652"/>
    <s v="sdejo@newsvine.com"/>
    <x v="10"/>
    <x v="0"/>
    <x v="2"/>
    <x v="0"/>
    <n v="0.5"/>
    <n v="6.75"/>
    <x v="72"/>
    <x v="0"/>
  </r>
  <r>
    <s v="KFJ-46568-890"/>
    <x v="535"/>
    <x v="6"/>
    <s v="January"/>
    <x v="0"/>
    <s v="71003-85639-HB"/>
    <s v="E-L-0.5"/>
    <n v="2"/>
    <x v="653"/>
    <n v="0"/>
    <x v="51"/>
    <x v="0"/>
    <x v="1"/>
    <x v="1"/>
    <n v="0.5"/>
    <n v="8.91"/>
    <x v="58"/>
    <x v="0"/>
  </r>
  <r>
    <s v="SOK-43535-680"/>
    <x v="536"/>
    <x v="3"/>
    <s v="April"/>
    <x v="2"/>
    <s v="58443-95866-YO"/>
    <s v="E-M-0.5"/>
    <n v="3"/>
    <x v="654"/>
    <s v="scountjq@nba.com"/>
    <x v="320"/>
    <x v="0"/>
    <x v="1"/>
    <x v="0"/>
    <n v="0.5"/>
    <n v="8.25"/>
    <x v="167"/>
    <x v="0"/>
  </r>
  <r>
    <s v="XUE-87260-201"/>
    <x v="537"/>
    <x v="5"/>
    <s v="February"/>
    <x v="2"/>
    <s v="89646-21249-OH"/>
    <s v="R-M-0.2"/>
    <n v="6"/>
    <x v="655"/>
    <s v="sraglesjr@blogtalkradio.com"/>
    <x v="321"/>
    <x v="0"/>
    <x v="0"/>
    <x v="0"/>
    <n v="0.2"/>
    <n v="2.9849999999999999"/>
    <x v="8"/>
    <x v="0"/>
  </r>
  <r>
    <s v="CZF-40873-691"/>
    <x v="61"/>
    <x v="6"/>
    <s v="June"/>
    <x v="0"/>
    <s v="64988-20636-XQ"/>
    <s v="E-M-0.5"/>
    <n v="2"/>
    <x v="656"/>
    <n v="0"/>
    <x v="217"/>
    <x v="2"/>
    <x v="1"/>
    <x v="0"/>
    <n v="0.5"/>
    <n v="8.25"/>
    <x v="38"/>
    <x v="0"/>
  </r>
  <r>
    <s v="AIA-98989-755"/>
    <x v="242"/>
    <x v="4"/>
    <s v="May"/>
    <x v="3"/>
    <s v="34704-83143-KS"/>
    <s v="R-M-0.2"/>
    <n v="1"/>
    <x v="657"/>
    <s v="sbruunjt@blogtalkradio.com"/>
    <x v="83"/>
    <x v="0"/>
    <x v="0"/>
    <x v="0"/>
    <n v="0.2"/>
    <n v="2.9849999999999999"/>
    <x v="55"/>
    <x v="0"/>
  </r>
  <r>
    <s v="ITZ-21793-986"/>
    <x v="299"/>
    <x v="2"/>
    <s v="June"/>
    <x v="1"/>
    <s v="67388-17544-XX"/>
    <s v="E-D-0.2"/>
    <n v="4"/>
    <x v="658"/>
    <s v="aplluju@dagondesign.com"/>
    <x v="322"/>
    <x v="1"/>
    <x v="1"/>
    <x v="2"/>
    <n v="0.2"/>
    <n v="3.645"/>
    <x v="20"/>
    <x v="0"/>
  </r>
  <r>
    <s v="YOK-93322-608"/>
    <x v="343"/>
    <x v="0"/>
    <s v="November"/>
    <x v="1"/>
    <s v="69411-48470-ID"/>
    <s v="E-L-1"/>
    <n v="6"/>
    <x v="659"/>
    <s v="gcornierjv@techcrunch.com"/>
    <x v="47"/>
    <x v="0"/>
    <x v="1"/>
    <x v="1"/>
    <n v="1"/>
    <n v="14.85"/>
    <x v="146"/>
    <x v="1"/>
  </r>
  <r>
    <s v="LXK-00634-611"/>
    <x v="538"/>
    <x v="6"/>
    <s v="February"/>
    <x v="2"/>
    <s v="94091-86957-HX"/>
    <s v="R-L-1"/>
    <n v="3"/>
    <x v="636"/>
    <s v="jdymokeje@prnewswire.com"/>
    <x v="75"/>
    <x v="1"/>
    <x v="0"/>
    <x v="1"/>
    <n v="1"/>
    <n v="11.95"/>
    <x v="66"/>
    <x v="0"/>
  </r>
  <r>
    <s v="CQW-37388-302"/>
    <x v="539"/>
    <x v="1"/>
    <s v="July"/>
    <x v="0"/>
    <s v="97741-98924-KT"/>
    <s v="A-D-2.5"/>
    <n v="3"/>
    <x v="660"/>
    <s v="wharvisonjx@gizmodo.com"/>
    <x v="11"/>
    <x v="0"/>
    <x v="2"/>
    <x v="2"/>
    <n v="2.5"/>
    <n v="22.884999999999998"/>
    <x v="96"/>
    <x v="1"/>
  </r>
  <r>
    <s v="SPA-79365-334"/>
    <x v="27"/>
    <x v="5"/>
    <s v="June"/>
    <x v="1"/>
    <s v="79857-78167-KO"/>
    <s v="L-D-1"/>
    <n v="3"/>
    <x v="661"/>
    <s v="dheafordjy@twitpic.com"/>
    <x v="299"/>
    <x v="0"/>
    <x v="3"/>
    <x v="2"/>
    <n v="1"/>
    <n v="12.95"/>
    <x v="5"/>
    <x v="0"/>
  </r>
  <r>
    <s v="VPX-08817-517"/>
    <x v="540"/>
    <x v="6"/>
    <s v="November"/>
    <x v="3"/>
    <s v="46963-10322-ZA"/>
    <s v="L-L-1"/>
    <n v="5"/>
    <x v="662"/>
    <s v="gfanthamjz@hexun.com"/>
    <x v="6"/>
    <x v="0"/>
    <x v="3"/>
    <x v="1"/>
    <n v="1"/>
    <n v="15.85"/>
    <x v="180"/>
    <x v="1"/>
  </r>
  <r>
    <s v="PBP-87115-410"/>
    <x v="541"/>
    <x v="5"/>
    <s v="January"/>
    <x v="1"/>
    <s v="93812-74772-MV"/>
    <s v="E-D-0.5"/>
    <n v="5"/>
    <x v="663"/>
    <s v="rcrookshanksk0@unc.edu"/>
    <x v="133"/>
    <x v="0"/>
    <x v="1"/>
    <x v="2"/>
    <n v="0.5"/>
    <n v="7.29"/>
    <x v="114"/>
    <x v="0"/>
  </r>
  <r>
    <s v="SFB-93752-440"/>
    <x v="390"/>
    <x v="6"/>
    <s v="October"/>
    <x v="1"/>
    <s v="48203-23480-UB"/>
    <s v="R-M-0.2"/>
    <n v="3"/>
    <x v="664"/>
    <s v="nleakek1@cmu.edu"/>
    <x v="120"/>
    <x v="0"/>
    <x v="0"/>
    <x v="0"/>
    <n v="0.2"/>
    <n v="2.9849999999999999"/>
    <x v="169"/>
    <x v="0"/>
  </r>
  <r>
    <s v="TBU-65158-068"/>
    <x v="396"/>
    <x v="3"/>
    <s v="February"/>
    <x v="2"/>
    <s v="60357-65386-RD"/>
    <s v="E-D-1"/>
    <n v="2"/>
    <x v="665"/>
    <n v="0"/>
    <x v="127"/>
    <x v="0"/>
    <x v="1"/>
    <x v="2"/>
    <n v="1"/>
    <n v="12.15"/>
    <x v="76"/>
    <x v="0"/>
  </r>
  <r>
    <s v="TEH-08414-216"/>
    <x v="185"/>
    <x v="2"/>
    <s v="October"/>
    <x v="1"/>
    <s v="35099-13971-JI"/>
    <s v="E-M-2.5"/>
    <n v="2"/>
    <x v="666"/>
    <s v="geilhersenk3@networksolutions.com"/>
    <x v="74"/>
    <x v="0"/>
    <x v="1"/>
    <x v="0"/>
    <n v="2.5"/>
    <n v="31.624999999999996"/>
    <x v="40"/>
    <x v="1"/>
  </r>
  <r>
    <s v="MAY-77231-536"/>
    <x v="542"/>
    <x v="1"/>
    <s v="September"/>
    <x v="3"/>
    <s v="01304-59807-OB"/>
    <s v="A-M-0.2"/>
    <n v="2"/>
    <x v="667"/>
    <n v="0"/>
    <x v="15"/>
    <x v="0"/>
    <x v="2"/>
    <x v="0"/>
    <n v="0.2"/>
    <n v="3.375"/>
    <x v="52"/>
    <x v="0"/>
  </r>
  <r>
    <s v="ATY-28980-884"/>
    <x v="117"/>
    <x v="2"/>
    <s v="July"/>
    <x v="3"/>
    <s v="50705-17295-NK"/>
    <s v="A-L-0.2"/>
    <n v="6"/>
    <x v="668"/>
    <s v="caleixok5@globo.com"/>
    <x v="71"/>
    <x v="0"/>
    <x v="2"/>
    <x v="1"/>
    <n v="0.2"/>
    <n v="3.8849999999999998"/>
    <x v="102"/>
    <x v="0"/>
  </r>
  <r>
    <s v="SWP-88281-918"/>
    <x v="543"/>
    <x v="3"/>
    <s v="January"/>
    <x v="2"/>
    <s v="77657-61366-FY"/>
    <s v="L-L-2.5"/>
    <n v="4"/>
    <x v="669"/>
    <n v="0"/>
    <x v="323"/>
    <x v="0"/>
    <x v="3"/>
    <x v="1"/>
    <n v="2.5"/>
    <n v="36.454999999999998"/>
    <x v="43"/>
    <x v="2"/>
  </r>
  <r>
    <s v="VCE-56531-986"/>
    <x v="544"/>
    <x v="5"/>
    <s v="March"/>
    <x v="1"/>
    <s v="57192-13428-PL"/>
    <s v="R-M-0.5"/>
    <n v="5"/>
    <x v="670"/>
    <s v="rtomkowiczk7@bravesites.com"/>
    <x v="324"/>
    <x v="1"/>
    <x v="0"/>
    <x v="0"/>
    <n v="0.5"/>
    <n v="5.97"/>
    <x v="44"/>
    <x v="0"/>
  </r>
  <r>
    <s v="FVV-75700-005"/>
    <x v="545"/>
    <x v="2"/>
    <s v="November"/>
    <x v="3"/>
    <s v="24891-77957-LU"/>
    <s v="E-D-0.5"/>
    <n v="3"/>
    <x v="671"/>
    <s v="rhuscroftk8@jimdo.com"/>
    <x v="76"/>
    <x v="0"/>
    <x v="1"/>
    <x v="2"/>
    <n v="0.5"/>
    <n v="7.29"/>
    <x v="6"/>
    <x v="0"/>
  </r>
  <r>
    <s v="CFZ-53492-600"/>
    <x v="546"/>
    <x v="3"/>
    <s v="March"/>
    <x v="2"/>
    <s v="64896-18468-BT"/>
    <s v="L-M-0.2"/>
    <n v="1"/>
    <x v="672"/>
    <s v="sscurrerk9@flavors.me"/>
    <x v="26"/>
    <x v="2"/>
    <x v="3"/>
    <x v="0"/>
    <n v="0.2"/>
    <n v="4.3650000000000002"/>
    <x v="189"/>
    <x v="0"/>
  </r>
  <r>
    <s v="LDK-71031-121"/>
    <x v="420"/>
    <x v="0"/>
    <s v="January"/>
    <x v="0"/>
    <s v="84761-40784-SV"/>
    <s v="L-L-2.5"/>
    <n v="1"/>
    <x v="673"/>
    <s v="arudramka@prnewswire.com"/>
    <x v="198"/>
    <x v="0"/>
    <x v="3"/>
    <x v="1"/>
    <n v="2.5"/>
    <n v="36.454999999999998"/>
    <x v="133"/>
    <x v="0"/>
  </r>
  <r>
    <s v="EBA-82404-343"/>
    <x v="547"/>
    <x v="5"/>
    <s v="January"/>
    <x v="1"/>
    <s v="20236-42322-CM"/>
    <s v="L-D-0.2"/>
    <n v="4"/>
    <x v="674"/>
    <n v="0"/>
    <x v="325"/>
    <x v="0"/>
    <x v="3"/>
    <x v="2"/>
    <n v="0.2"/>
    <n v="3.8849999999999998"/>
    <x v="42"/>
    <x v="0"/>
  </r>
  <r>
    <s v="USA-42811-560"/>
    <x v="548"/>
    <x v="3"/>
    <s v="April"/>
    <x v="1"/>
    <s v="49671-11547-WG"/>
    <s v="E-L-0.2"/>
    <n v="2"/>
    <x v="675"/>
    <s v="jmahakc@cyberchimps.com"/>
    <x v="76"/>
    <x v="0"/>
    <x v="1"/>
    <x v="1"/>
    <n v="0.2"/>
    <n v="4.4550000000000001"/>
    <x v="161"/>
    <x v="0"/>
  </r>
  <r>
    <s v="SNL-83703-516"/>
    <x v="549"/>
    <x v="5"/>
    <s v="January"/>
    <x v="2"/>
    <s v="57976-33535-WK"/>
    <s v="L-M-2.5"/>
    <n v="3"/>
    <x v="676"/>
    <s v="gclemonkd@networksolutions.com"/>
    <x v="86"/>
    <x v="0"/>
    <x v="3"/>
    <x v="0"/>
    <n v="2.5"/>
    <n v="33.464999999999996"/>
    <x v="64"/>
    <x v="2"/>
  </r>
  <r>
    <s v="SUZ-83036-175"/>
    <x v="550"/>
    <x v="5"/>
    <s v="August"/>
    <x v="0"/>
    <s v="55915-19477-MK"/>
    <s v="R-D-0.2"/>
    <n v="5"/>
    <x v="677"/>
    <n v="0"/>
    <x v="326"/>
    <x v="0"/>
    <x v="0"/>
    <x v="2"/>
    <n v="0.2"/>
    <n v="2.6849999999999996"/>
    <x v="148"/>
    <x v="0"/>
  </r>
  <r>
    <s v="RGM-01187-513"/>
    <x v="551"/>
    <x v="2"/>
    <s v="July"/>
    <x v="2"/>
    <s v="28121-11641-UA"/>
    <s v="E-D-0.2"/>
    <n v="6"/>
    <x v="678"/>
    <s v="bpollinskf@shinystat.com"/>
    <x v="153"/>
    <x v="0"/>
    <x v="1"/>
    <x v="2"/>
    <n v="0.2"/>
    <n v="3.645"/>
    <x v="6"/>
    <x v="0"/>
  </r>
  <r>
    <s v="CZG-01299-952"/>
    <x v="552"/>
    <x v="5"/>
    <s v="February"/>
    <x v="0"/>
    <s v="09540-70637-EV"/>
    <s v="L-D-1"/>
    <n v="2"/>
    <x v="679"/>
    <s v="jtoyekg@pinterest.com"/>
    <x v="104"/>
    <x v="1"/>
    <x v="3"/>
    <x v="2"/>
    <n v="1"/>
    <n v="12.95"/>
    <x v="109"/>
    <x v="0"/>
  </r>
  <r>
    <s v="KLD-88731-484"/>
    <x v="553"/>
    <x v="1"/>
    <s v="September"/>
    <x v="1"/>
    <s v="17775-77072-PP"/>
    <s v="A-M-1"/>
    <n v="5"/>
    <x v="680"/>
    <s v="clinskillkh@sphinn.com"/>
    <x v="159"/>
    <x v="0"/>
    <x v="2"/>
    <x v="0"/>
    <n v="1"/>
    <n v="11.25"/>
    <x v="126"/>
    <x v="1"/>
  </r>
  <r>
    <s v="BQK-38412-229"/>
    <x v="554"/>
    <x v="2"/>
    <s v="December"/>
    <x v="0"/>
    <s v="90392-73338-BC"/>
    <s v="R-L-0.2"/>
    <n v="3"/>
    <x v="681"/>
    <s v="nvigrasski@ezinearticles.com"/>
    <x v="145"/>
    <x v="2"/>
    <x v="0"/>
    <x v="1"/>
    <n v="0.2"/>
    <n v="3.5849999999999995"/>
    <x v="127"/>
    <x v="0"/>
  </r>
  <r>
    <s v="TCX-76953-071"/>
    <x v="555"/>
    <x v="1"/>
    <s v="August"/>
    <x v="1"/>
    <s v="94091-86957-HX"/>
    <s v="E-D-0.2"/>
    <n v="5"/>
    <x v="636"/>
    <s v="jdymokeje@prnewswire.com"/>
    <x v="75"/>
    <x v="1"/>
    <x v="1"/>
    <x v="2"/>
    <n v="0.2"/>
    <n v="3.645"/>
    <x v="94"/>
    <x v="0"/>
  </r>
  <r>
    <s v="LIN-88046-551"/>
    <x v="150"/>
    <x v="1"/>
    <s v="March"/>
    <x v="2"/>
    <s v="10725-45724-CO"/>
    <s v="R-L-0.5"/>
    <n v="4"/>
    <x v="682"/>
    <s v="kcragellkk@google.com"/>
    <x v="319"/>
    <x v="1"/>
    <x v="0"/>
    <x v="1"/>
    <n v="0.5"/>
    <n v="7.169999999999999"/>
    <x v="139"/>
    <x v="0"/>
  </r>
  <r>
    <s v="PMV-54491-220"/>
    <x v="556"/>
    <x v="0"/>
    <s v="April"/>
    <x v="0"/>
    <s v="87242-18006-IR"/>
    <s v="L-M-0.2"/>
    <n v="2"/>
    <x v="683"/>
    <s v="libertkl@huffingtonpost.com"/>
    <x v="304"/>
    <x v="0"/>
    <x v="3"/>
    <x v="0"/>
    <n v="0.2"/>
    <n v="4.3650000000000002"/>
    <x v="31"/>
    <x v="0"/>
  </r>
  <r>
    <s v="SKA-73676-005"/>
    <x v="327"/>
    <x v="0"/>
    <s v="October"/>
    <x v="3"/>
    <s v="36572-91896-PP"/>
    <s v="L-M-1"/>
    <n v="4"/>
    <x v="684"/>
    <s v="rlidgeykm@vimeo.com"/>
    <x v="139"/>
    <x v="0"/>
    <x v="3"/>
    <x v="0"/>
    <n v="1"/>
    <n v="14.55"/>
    <x v="125"/>
    <x v="1"/>
  </r>
  <r>
    <s v="TKH-62197-239"/>
    <x v="557"/>
    <x v="0"/>
    <s v="July"/>
    <x v="3"/>
    <s v="25181-97933-UX"/>
    <s v="A-D-0.5"/>
    <n v="3"/>
    <x v="685"/>
    <s v="tcastagnekn@wikia.com"/>
    <x v="327"/>
    <x v="0"/>
    <x v="2"/>
    <x v="2"/>
    <n v="0.5"/>
    <n v="5.97"/>
    <x v="8"/>
    <x v="0"/>
  </r>
  <r>
    <s v="YXF-57218-272"/>
    <x v="333"/>
    <x v="2"/>
    <s v="March"/>
    <x v="0"/>
    <s v="55374-03175-IA"/>
    <s v="R-M-0.2"/>
    <n v="6"/>
    <x v="686"/>
    <n v="0"/>
    <x v="135"/>
    <x v="0"/>
    <x v="0"/>
    <x v="0"/>
    <n v="0.2"/>
    <n v="2.9849999999999999"/>
    <x v="8"/>
    <x v="0"/>
  </r>
  <r>
    <s v="PKJ-30083-501"/>
    <x v="558"/>
    <x v="3"/>
    <s v="December"/>
    <x v="1"/>
    <s v="76948-43532-JS"/>
    <s v="E-D-0.5"/>
    <n v="2"/>
    <x v="687"/>
    <s v="jhaldenkp@comcast.net"/>
    <x v="328"/>
    <x v="1"/>
    <x v="1"/>
    <x v="2"/>
    <n v="0.5"/>
    <n v="7.29"/>
    <x v="20"/>
    <x v="0"/>
  </r>
  <r>
    <s v="WTT-91832-645"/>
    <x v="559"/>
    <x v="0"/>
    <s v="October"/>
    <x v="0"/>
    <s v="24344-88599-PP"/>
    <s v="A-M-1"/>
    <n v="3"/>
    <x v="688"/>
    <s v="holliffkq@sciencedirect.com"/>
    <x v="329"/>
    <x v="1"/>
    <x v="2"/>
    <x v="0"/>
    <n v="1"/>
    <n v="11.25"/>
    <x v="65"/>
    <x v="0"/>
  </r>
  <r>
    <s v="TRZ-94735-865"/>
    <x v="310"/>
    <x v="5"/>
    <s v="February"/>
    <x v="0"/>
    <s v="54462-58311-YF"/>
    <s v="L-M-0.5"/>
    <n v="4"/>
    <x v="689"/>
    <s v="tquadrikr@opensource.org"/>
    <x v="330"/>
    <x v="1"/>
    <x v="3"/>
    <x v="0"/>
    <n v="0.5"/>
    <n v="8.73"/>
    <x v="190"/>
    <x v="0"/>
  </r>
  <r>
    <s v="UDB-09651-780"/>
    <x v="560"/>
    <x v="3"/>
    <s v="August"/>
    <x v="3"/>
    <s v="90767-92589-LV"/>
    <s v="E-D-0.5"/>
    <n v="2"/>
    <x v="690"/>
    <s v="feshmadeks@umn.edu"/>
    <x v="8"/>
    <x v="0"/>
    <x v="1"/>
    <x v="2"/>
    <n v="0.5"/>
    <n v="7.29"/>
    <x v="20"/>
    <x v="0"/>
  </r>
  <r>
    <s v="EHJ-82097-549"/>
    <x v="561"/>
    <x v="1"/>
    <s v="January"/>
    <x v="1"/>
    <s v="27517-43747-YD"/>
    <s v="R-D-0.2"/>
    <n v="2"/>
    <x v="691"/>
    <s v="moilierkt@paginegialle.it"/>
    <x v="331"/>
    <x v="1"/>
    <x v="0"/>
    <x v="2"/>
    <n v="0.2"/>
    <n v="2.6849999999999996"/>
    <x v="147"/>
    <x v="0"/>
  </r>
  <r>
    <s v="ZFR-79447-696"/>
    <x v="562"/>
    <x v="3"/>
    <s v="March"/>
    <x v="1"/>
    <s v="77828-66867-KH"/>
    <s v="R-M-0.5"/>
    <n v="1"/>
    <x v="692"/>
    <n v="0"/>
    <x v="57"/>
    <x v="0"/>
    <x v="0"/>
    <x v="0"/>
    <n v="0.5"/>
    <n v="5.97"/>
    <x v="9"/>
    <x v="0"/>
  </r>
  <r>
    <s v="NUU-03893-975"/>
    <x v="563"/>
    <x v="2"/>
    <s v="January"/>
    <x v="3"/>
    <s v="41054-59693-XE"/>
    <s v="L-L-0.5"/>
    <n v="2"/>
    <x v="693"/>
    <s v="vshoebothamkv@redcross.org"/>
    <x v="130"/>
    <x v="0"/>
    <x v="3"/>
    <x v="1"/>
    <n v="0.5"/>
    <n v="9.51"/>
    <x v="81"/>
    <x v="0"/>
  </r>
  <r>
    <s v="GVG-59542-307"/>
    <x v="564"/>
    <x v="5"/>
    <s v="July"/>
    <x v="0"/>
    <s v="26314-66792-VP"/>
    <s v="E-M-1"/>
    <n v="2"/>
    <x v="694"/>
    <s v="bsterkekw@biblegateway.com"/>
    <x v="57"/>
    <x v="0"/>
    <x v="1"/>
    <x v="0"/>
    <n v="1"/>
    <n v="13.75"/>
    <x v="3"/>
    <x v="0"/>
  </r>
  <r>
    <s v="YLY-35287-172"/>
    <x v="565"/>
    <x v="3"/>
    <s v="May"/>
    <x v="2"/>
    <s v="69410-04668-MA"/>
    <s v="A-D-0.5"/>
    <n v="5"/>
    <x v="695"/>
    <s v="scaponkx@craigslist.org"/>
    <x v="167"/>
    <x v="0"/>
    <x v="2"/>
    <x v="2"/>
    <n v="0.5"/>
    <n v="5.97"/>
    <x v="44"/>
    <x v="0"/>
  </r>
  <r>
    <s v="DCI-96254-548"/>
    <x v="566"/>
    <x v="5"/>
    <s v="June"/>
    <x v="2"/>
    <s v="94091-86957-HX"/>
    <s v="A-D-0.2"/>
    <n v="6"/>
    <x v="636"/>
    <s v="jdymokeje@prnewswire.com"/>
    <x v="75"/>
    <x v="1"/>
    <x v="2"/>
    <x v="2"/>
    <n v="0.2"/>
    <n v="2.9849999999999999"/>
    <x v="8"/>
    <x v="0"/>
  </r>
  <r>
    <s v="KHZ-26264-253"/>
    <x v="160"/>
    <x v="5"/>
    <s v="July"/>
    <x v="1"/>
    <s v="24972-55878-KX"/>
    <s v="L-L-0.2"/>
    <n v="6"/>
    <x v="696"/>
    <s v="fconstancekz@ifeng.com"/>
    <x v="68"/>
    <x v="0"/>
    <x v="3"/>
    <x v="1"/>
    <n v="0.2"/>
    <n v="4.7549999999999999"/>
    <x v="32"/>
    <x v="0"/>
  </r>
  <r>
    <s v="AAQ-13644-699"/>
    <x v="567"/>
    <x v="2"/>
    <s v="June"/>
    <x v="2"/>
    <s v="46296-42617-OQ"/>
    <s v="R-D-1"/>
    <n v="4"/>
    <x v="697"/>
    <s v="fsulmanl0@washington.edu"/>
    <x v="228"/>
    <x v="0"/>
    <x v="0"/>
    <x v="2"/>
    <n v="1"/>
    <n v="8.9499999999999993"/>
    <x v="191"/>
    <x v="0"/>
  </r>
  <r>
    <s v="LWL-68108-794"/>
    <x v="568"/>
    <x v="5"/>
    <s v="May"/>
    <x v="3"/>
    <s v="44494-89923-UW"/>
    <s v="A-D-0.5"/>
    <n v="3"/>
    <x v="698"/>
    <s v="dhollymanl1@ibm.com"/>
    <x v="332"/>
    <x v="0"/>
    <x v="2"/>
    <x v="2"/>
    <n v="0.5"/>
    <n v="5.97"/>
    <x v="8"/>
    <x v="0"/>
  </r>
  <r>
    <s v="JQT-14347-517"/>
    <x v="569"/>
    <x v="2"/>
    <s v="July"/>
    <x v="0"/>
    <s v="11621-09964-ID"/>
    <s v="R-D-1"/>
    <n v="1"/>
    <x v="699"/>
    <s v="lnardonil2@hao123.com"/>
    <x v="10"/>
    <x v="0"/>
    <x v="0"/>
    <x v="2"/>
    <n v="1"/>
    <n v="8.9499999999999993"/>
    <x v="192"/>
    <x v="0"/>
  </r>
  <r>
    <s v="BMM-86471-923"/>
    <x v="570"/>
    <x v="0"/>
    <s v="October"/>
    <x v="3"/>
    <s v="76319-80715-II"/>
    <s v="L-D-2.5"/>
    <n v="1"/>
    <x v="700"/>
    <s v="dyarhaml3@moonfruit.com"/>
    <x v="333"/>
    <x v="0"/>
    <x v="3"/>
    <x v="2"/>
    <n v="2.5"/>
    <n v="29.784999999999997"/>
    <x v="91"/>
    <x v="0"/>
  </r>
  <r>
    <s v="IXU-67272-326"/>
    <x v="571"/>
    <x v="0"/>
    <s v="December"/>
    <x v="3"/>
    <s v="91654-79216-IC"/>
    <s v="E-L-0.5"/>
    <n v="5"/>
    <x v="701"/>
    <s v="aferreal4@wikia.com"/>
    <x v="116"/>
    <x v="0"/>
    <x v="1"/>
    <x v="1"/>
    <n v="0.5"/>
    <n v="8.91"/>
    <x v="69"/>
    <x v="0"/>
  </r>
  <r>
    <s v="ITE-28312-615"/>
    <x v="139"/>
    <x v="2"/>
    <s v="September"/>
    <x v="0"/>
    <s v="56450-21890-HK"/>
    <s v="E-L-1"/>
    <n v="6"/>
    <x v="702"/>
    <s v="ckendrickl5@webnode.com"/>
    <x v="334"/>
    <x v="0"/>
    <x v="1"/>
    <x v="1"/>
    <n v="1"/>
    <n v="14.85"/>
    <x v="146"/>
    <x v="1"/>
  </r>
  <r>
    <s v="ZHQ-30471-635"/>
    <x v="303"/>
    <x v="3"/>
    <s v="April"/>
    <x v="0"/>
    <s v="40600-58915-WZ"/>
    <s v="L-M-0.5"/>
    <n v="5"/>
    <x v="703"/>
    <s v="sdanilchikl6@mit.edu"/>
    <x v="281"/>
    <x v="2"/>
    <x v="3"/>
    <x v="0"/>
    <n v="0.5"/>
    <n v="8.73"/>
    <x v="34"/>
    <x v="0"/>
  </r>
  <r>
    <s v="LTP-31133-134"/>
    <x v="572"/>
    <x v="1"/>
    <s v="January"/>
    <x v="2"/>
    <s v="66527-94478-PB"/>
    <s v="A-L-0.5"/>
    <n v="3"/>
    <x v="704"/>
    <n v="0"/>
    <x v="57"/>
    <x v="0"/>
    <x v="2"/>
    <x v="1"/>
    <n v="0.5"/>
    <n v="7.77"/>
    <x v="102"/>
    <x v="0"/>
  </r>
  <r>
    <s v="ZVQ-26122-859"/>
    <x v="573"/>
    <x v="0"/>
    <s v="November"/>
    <x v="0"/>
    <s v="77154-45038-IH"/>
    <s v="A-L-2.5"/>
    <n v="6"/>
    <x v="705"/>
    <s v="bfolomkinl8@yolasite.com"/>
    <x v="97"/>
    <x v="0"/>
    <x v="2"/>
    <x v="1"/>
    <n v="2.5"/>
    <n v="29.784999999999997"/>
    <x v="39"/>
    <x v="2"/>
  </r>
  <r>
    <s v="MIU-01481-194"/>
    <x v="574"/>
    <x v="6"/>
    <s v="July"/>
    <x v="0"/>
    <s v="08439-55669-AI"/>
    <s v="R-M-1"/>
    <n v="6"/>
    <x v="706"/>
    <s v="rpursglovel9@biblegateway.com"/>
    <x v="132"/>
    <x v="0"/>
    <x v="0"/>
    <x v="0"/>
    <n v="1"/>
    <n v="9.9499999999999993"/>
    <x v="33"/>
    <x v="1"/>
  </r>
  <r>
    <s v="MIU-01481-194"/>
    <x v="574"/>
    <x v="6"/>
    <s v="July"/>
    <x v="0"/>
    <s v="08439-55669-AI"/>
    <s v="A-L-0.5"/>
    <n v="2"/>
    <x v="706"/>
    <s v="rpursglovel9@biblegateway.com"/>
    <x v="132"/>
    <x v="0"/>
    <x v="2"/>
    <x v="1"/>
    <n v="0.5"/>
    <n v="7.77"/>
    <x v="42"/>
    <x v="0"/>
  </r>
  <r>
    <s v="UEA-72681-629"/>
    <x v="455"/>
    <x v="2"/>
    <s v="March"/>
    <x v="1"/>
    <s v="24972-55878-KX"/>
    <s v="A-L-2.5"/>
    <n v="3"/>
    <x v="696"/>
    <s v="fconstancekz@ifeng.com"/>
    <x v="68"/>
    <x v="0"/>
    <x v="2"/>
    <x v="1"/>
    <n v="2.5"/>
    <n v="29.784999999999997"/>
    <x v="49"/>
    <x v="1"/>
  </r>
  <r>
    <s v="CVE-15042-481"/>
    <x v="575"/>
    <x v="4"/>
    <s v="January"/>
    <x v="2"/>
    <s v="24972-55878-KX"/>
    <s v="R-L-1"/>
    <n v="2"/>
    <x v="696"/>
    <s v="fconstancekz@ifeng.com"/>
    <x v="68"/>
    <x v="0"/>
    <x v="0"/>
    <x v="1"/>
    <n v="1"/>
    <n v="11.95"/>
    <x v="178"/>
    <x v="0"/>
  </r>
  <r>
    <s v="EJA-79176-833"/>
    <x v="576"/>
    <x v="6"/>
    <s v="March"/>
    <x v="3"/>
    <s v="91509-62250-GN"/>
    <s v="R-M-2.5"/>
    <n v="6"/>
    <x v="707"/>
    <s v="deburahld@google.co.jp"/>
    <x v="38"/>
    <x v="2"/>
    <x v="0"/>
    <x v="0"/>
    <n v="2.5"/>
    <n v="22.884999999999998"/>
    <x v="170"/>
    <x v="2"/>
  </r>
  <r>
    <s v="AHQ-40440-522"/>
    <x v="577"/>
    <x v="2"/>
    <s v="September"/>
    <x v="3"/>
    <s v="83833-46106-ZC"/>
    <s v="A-D-1"/>
    <n v="1"/>
    <x v="708"/>
    <s v="mbrimilcombele@cnn.com"/>
    <x v="64"/>
    <x v="0"/>
    <x v="2"/>
    <x v="2"/>
    <n v="1"/>
    <n v="9.9499999999999993"/>
    <x v="138"/>
    <x v="0"/>
  </r>
  <r>
    <s v="TID-21626-411"/>
    <x v="578"/>
    <x v="0"/>
    <s v="January"/>
    <x v="0"/>
    <s v="19383-33606-PW"/>
    <s v="R-L-0.5"/>
    <n v="3"/>
    <x v="709"/>
    <s v="sbollamlf@list-manage.com"/>
    <x v="335"/>
    <x v="0"/>
    <x v="0"/>
    <x v="1"/>
    <n v="0.5"/>
    <n v="7.169999999999999"/>
    <x v="137"/>
    <x v="0"/>
  </r>
  <r>
    <s v="RSR-96390-187"/>
    <x v="579"/>
    <x v="1"/>
    <s v="September"/>
    <x v="1"/>
    <s v="67052-76184-CB"/>
    <s v="E-M-1"/>
    <n v="6"/>
    <x v="710"/>
    <n v="0"/>
    <x v="192"/>
    <x v="0"/>
    <x v="1"/>
    <x v="0"/>
    <n v="1"/>
    <n v="13.75"/>
    <x v="121"/>
    <x v="1"/>
  </r>
  <r>
    <s v="BZE-96093-118"/>
    <x v="91"/>
    <x v="5"/>
    <s v="October"/>
    <x v="1"/>
    <s v="43452-18035-DH"/>
    <s v="L-M-0.2"/>
    <n v="2"/>
    <x v="711"/>
    <s v="afilipczaklh@ning.com"/>
    <x v="66"/>
    <x v="1"/>
    <x v="3"/>
    <x v="0"/>
    <n v="0.2"/>
    <n v="4.3650000000000002"/>
    <x v="31"/>
    <x v="0"/>
  </r>
  <r>
    <s v="LOU-41819-242"/>
    <x v="272"/>
    <x v="0"/>
    <s v="July"/>
    <x v="2"/>
    <s v="88060-50676-MV"/>
    <s v="R-M-1"/>
    <n v="2"/>
    <x v="712"/>
    <n v="0"/>
    <x v="42"/>
    <x v="0"/>
    <x v="0"/>
    <x v="0"/>
    <n v="1"/>
    <n v="9.9499999999999993"/>
    <x v="0"/>
    <x v="0"/>
  </r>
  <r>
    <s v="FND-99527-640"/>
    <x v="65"/>
    <x v="3"/>
    <s v="July"/>
    <x v="1"/>
    <s v="89574-96203-EP"/>
    <s v="E-L-0.5"/>
    <n v="2"/>
    <x v="713"/>
    <s v="relnaughlj@comsenz.com"/>
    <x v="236"/>
    <x v="0"/>
    <x v="1"/>
    <x v="1"/>
    <n v="0.5"/>
    <n v="8.91"/>
    <x v="58"/>
    <x v="0"/>
  </r>
  <r>
    <s v="ASG-27179-958"/>
    <x v="580"/>
    <x v="2"/>
    <s v="December"/>
    <x v="1"/>
    <s v="12607-75113-UV"/>
    <s v="A-M-0.5"/>
    <n v="3"/>
    <x v="714"/>
    <s v="jdeehanlk@about.me"/>
    <x v="68"/>
    <x v="0"/>
    <x v="2"/>
    <x v="0"/>
    <n v="0.5"/>
    <n v="6.75"/>
    <x v="16"/>
    <x v="0"/>
  </r>
  <r>
    <s v="YKX-23510-272"/>
    <x v="581"/>
    <x v="6"/>
    <s v="March"/>
    <x v="0"/>
    <s v="56991-05510-PR"/>
    <s v="A-L-2.5"/>
    <n v="2"/>
    <x v="715"/>
    <s v="jedenll@e-recht24.de"/>
    <x v="336"/>
    <x v="0"/>
    <x v="2"/>
    <x v="1"/>
    <n v="2.5"/>
    <n v="29.784999999999997"/>
    <x v="120"/>
    <x v="1"/>
  </r>
  <r>
    <s v="FSA-98650-921"/>
    <x v="489"/>
    <x v="2"/>
    <s v="February"/>
    <x v="3"/>
    <s v="01841-48191-NL"/>
    <s v="L-L-0.5"/>
    <n v="2"/>
    <x v="716"/>
    <s v="cjewsterlu@moonfruit.com"/>
    <x v="4"/>
    <x v="0"/>
    <x v="3"/>
    <x v="1"/>
    <n v="0.5"/>
    <n v="9.51"/>
    <x v="81"/>
    <x v="0"/>
  </r>
  <r>
    <s v="ZUR-55774-294"/>
    <x v="234"/>
    <x v="1"/>
    <s v="June"/>
    <x v="3"/>
    <s v="33269-10023-CO"/>
    <s v="L-D-1"/>
    <n v="6"/>
    <x v="717"/>
    <s v="usoutherdenln@hao123.com"/>
    <x v="120"/>
    <x v="0"/>
    <x v="3"/>
    <x v="2"/>
    <n v="1"/>
    <n v="12.95"/>
    <x v="17"/>
    <x v="1"/>
  </r>
  <r>
    <s v="FUO-99821-974"/>
    <x v="175"/>
    <x v="4"/>
    <s v="February"/>
    <x v="3"/>
    <s v="31245-81098-PJ"/>
    <s v="E-M-1"/>
    <n v="3"/>
    <x v="718"/>
    <n v="0"/>
    <x v="30"/>
    <x v="0"/>
    <x v="1"/>
    <x v="0"/>
    <n v="1"/>
    <n v="13.75"/>
    <x v="1"/>
    <x v="0"/>
  </r>
  <r>
    <s v="YVH-19865-819"/>
    <x v="582"/>
    <x v="4"/>
    <s v="November"/>
    <x v="0"/>
    <s v="08946-56610-IH"/>
    <s v="L-L-2.5"/>
    <n v="4"/>
    <x v="719"/>
    <s v="lburtenshawlp@shinystat.com"/>
    <x v="227"/>
    <x v="0"/>
    <x v="3"/>
    <x v="1"/>
    <n v="2.5"/>
    <n v="36.454999999999998"/>
    <x v="43"/>
    <x v="2"/>
  </r>
  <r>
    <s v="NNF-47422-501"/>
    <x v="583"/>
    <x v="4"/>
    <s v="March"/>
    <x v="3"/>
    <s v="20260-32948-EB"/>
    <s v="E-L-0.2"/>
    <n v="6"/>
    <x v="720"/>
    <s v="agregorattilq@vistaprint.com"/>
    <x v="337"/>
    <x v="1"/>
    <x v="1"/>
    <x v="1"/>
    <n v="0.2"/>
    <n v="4.4550000000000001"/>
    <x v="149"/>
    <x v="0"/>
  </r>
  <r>
    <s v="RJI-71409-490"/>
    <x v="548"/>
    <x v="3"/>
    <s v="April"/>
    <x v="1"/>
    <s v="31613-41626-KX"/>
    <s v="L-M-0.5"/>
    <n v="5"/>
    <x v="721"/>
    <s v="ccrosterlr@gov.uk"/>
    <x v="47"/>
    <x v="0"/>
    <x v="3"/>
    <x v="0"/>
    <n v="0.5"/>
    <n v="8.73"/>
    <x v="34"/>
    <x v="0"/>
  </r>
  <r>
    <s v="UZL-46108-213"/>
    <x v="584"/>
    <x v="0"/>
    <s v="November"/>
    <x v="1"/>
    <s v="75961-20170-RD"/>
    <s v="L-L-1"/>
    <n v="2"/>
    <x v="722"/>
    <s v="gwhiteheadls@hp.com"/>
    <x v="93"/>
    <x v="0"/>
    <x v="3"/>
    <x v="1"/>
    <n v="1"/>
    <n v="15.85"/>
    <x v="124"/>
    <x v="0"/>
  </r>
  <r>
    <s v="AOX-44467-109"/>
    <x v="64"/>
    <x v="5"/>
    <s v="June"/>
    <x v="1"/>
    <s v="72524-06410-KD"/>
    <s v="A-D-2.5"/>
    <n v="1"/>
    <x v="723"/>
    <s v="hjodrellelt@samsung.com"/>
    <x v="218"/>
    <x v="0"/>
    <x v="2"/>
    <x v="2"/>
    <n v="2.5"/>
    <n v="22.884999999999998"/>
    <x v="156"/>
    <x v="0"/>
  </r>
  <r>
    <s v="TZD-67261-174"/>
    <x v="585"/>
    <x v="0"/>
    <s v="February"/>
    <x v="3"/>
    <s v="01841-48191-NL"/>
    <s v="E-D-2.5"/>
    <n v="1"/>
    <x v="716"/>
    <s v="cjewsterlu@moonfruit.com"/>
    <x v="4"/>
    <x v="0"/>
    <x v="1"/>
    <x v="2"/>
    <n v="2.5"/>
    <n v="27.945"/>
    <x v="140"/>
    <x v="0"/>
  </r>
  <r>
    <s v="TBU-64277-625"/>
    <x v="32"/>
    <x v="3"/>
    <s v="April"/>
    <x v="1"/>
    <s v="98918-34330-GY"/>
    <s v="E-M-1"/>
    <n v="6"/>
    <x v="724"/>
    <n v="0"/>
    <x v="54"/>
    <x v="0"/>
    <x v="1"/>
    <x v="0"/>
    <n v="1"/>
    <n v="13.75"/>
    <x v="121"/>
    <x v="1"/>
  </r>
  <r>
    <s v="TYP-85767-944"/>
    <x v="586"/>
    <x v="2"/>
    <s v="July"/>
    <x v="2"/>
    <s v="51497-50894-WU"/>
    <s v="R-M-2.5"/>
    <n v="2"/>
    <x v="725"/>
    <s v="knottramlw@odnoklassniki.ru"/>
    <x v="338"/>
    <x v="1"/>
    <x v="0"/>
    <x v="0"/>
    <n v="2.5"/>
    <n v="22.884999999999998"/>
    <x v="135"/>
    <x v="0"/>
  </r>
  <r>
    <s v="GTT-73214-334"/>
    <x v="535"/>
    <x v="6"/>
    <s v="January"/>
    <x v="0"/>
    <s v="98636-90072-YE"/>
    <s v="A-L-1"/>
    <n v="6"/>
    <x v="726"/>
    <s v="nbuneylx@jugem.jp"/>
    <x v="8"/>
    <x v="0"/>
    <x v="2"/>
    <x v="1"/>
    <n v="1"/>
    <n v="12.95"/>
    <x v="17"/>
    <x v="1"/>
  </r>
  <r>
    <s v="WAI-89905-069"/>
    <x v="587"/>
    <x v="3"/>
    <s v="February"/>
    <x v="2"/>
    <s v="47011-57815-HJ"/>
    <s v="A-L-0.5"/>
    <n v="3"/>
    <x v="727"/>
    <s v="smcshealy@photobucket.com"/>
    <x v="339"/>
    <x v="0"/>
    <x v="2"/>
    <x v="1"/>
    <n v="0.5"/>
    <n v="7.77"/>
    <x v="102"/>
    <x v="0"/>
  </r>
  <r>
    <s v="OJL-96844-459"/>
    <x v="393"/>
    <x v="6"/>
    <s v="May"/>
    <x v="3"/>
    <s v="61253-98356-VD"/>
    <s v="L-L-0.2"/>
    <n v="5"/>
    <x v="728"/>
    <s v="khuddartlz@about.com"/>
    <x v="113"/>
    <x v="0"/>
    <x v="3"/>
    <x v="1"/>
    <n v="0.2"/>
    <n v="4.7549999999999999"/>
    <x v="29"/>
    <x v="0"/>
  </r>
  <r>
    <s v="VGI-33205-360"/>
    <x v="588"/>
    <x v="0"/>
    <s v="March"/>
    <x v="0"/>
    <s v="96762-10814-DA"/>
    <s v="L-M-0.5"/>
    <n v="6"/>
    <x v="729"/>
    <s v="jgippesm0@cloudflare.com"/>
    <x v="340"/>
    <x v="2"/>
    <x v="3"/>
    <x v="0"/>
    <n v="0.5"/>
    <n v="8.73"/>
    <x v="28"/>
    <x v="1"/>
  </r>
  <r>
    <s v="PCA-14081-576"/>
    <x v="15"/>
    <x v="0"/>
    <s v="June"/>
    <x v="0"/>
    <s v="63112-10870-LC"/>
    <s v="R-L-0.2"/>
    <n v="5"/>
    <x v="730"/>
    <s v="lwhittleseem1@e-recht24.de"/>
    <x v="110"/>
    <x v="0"/>
    <x v="0"/>
    <x v="1"/>
    <n v="0.2"/>
    <n v="3.5849999999999995"/>
    <x v="131"/>
    <x v="0"/>
  </r>
  <r>
    <s v="SCS-67069-962"/>
    <x v="507"/>
    <x v="2"/>
    <s v="June"/>
    <x v="3"/>
    <s v="21403-49423-PD"/>
    <s v="A-L-2.5"/>
    <n v="5"/>
    <x v="731"/>
    <s v="gtrengrovem2@elpais.com"/>
    <x v="341"/>
    <x v="0"/>
    <x v="2"/>
    <x v="1"/>
    <n v="2.5"/>
    <n v="29.784999999999997"/>
    <x v="74"/>
    <x v="2"/>
  </r>
  <r>
    <s v="BDM-03174-485"/>
    <x v="533"/>
    <x v="4"/>
    <s v="March"/>
    <x v="0"/>
    <s v="29581-13303-VB"/>
    <s v="R-L-0.5"/>
    <n v="4"/>
    <x v="732"/>
    <s v="wcalderom3@stumbleupon.com"/>
    <x v="219"/>
    <x v="0"/>
    <x v="0"/>
    <x v="1"/>
    <n v="0.5"/>
    <n v="7.169999999999999"/>
    <x v="139"/>
    <x v="0"/>
  </r>
  <r>
    <s v="UJV-32333-364"/>
    <x v="589"/>
    <x v="2"/>
    <s v="December"/>
    <x v="1"/>
    <s v="86110-83695-YS"/>
    <s v="L-L-0.5"/>
    <n v="1"/>
    <x v="733"/>
    <n v="0"/>
    <x v="193"/>
    <x v="0"/>
    <x v="3"/>
    <x v="1"/>
    <n v="0.5"/>
    <n v="9.51"/>
    <x v="54"/>
    <x v="0"/>
  </r>
  <r>
    <s v="FLI-11493-954"/>
    <x v="590"/>
    <x v="4"/>
    <s v="July"/>
    <x v="2"/>
    <s v="80454-42225-FT"/>
    <s v="A-L-0.5"/>
    <n v="4"/>
    <x v="734"/>
    <s v="jkennicottm5@yahoo.co.jp"/>
    <x v="47"/>
    <x v="0"/>
    <x v="2"/>
    <x v="1"/>
    <n v="0.5"/>
    <n v="7.77"/>
    <x v="113"/>
    <x v="0"/>
  </r>
  <r>
    <s v="IWL-13117-537"/>
    <x v="457"/>
    <x v="1"/>
    <s v="April"/>
    <x v="3"/>
    <s v="29129-60664-KO"/>
    <s v="R-D-0.2"/>
    <n v="3"/>
    <x v="735"/>
    <s v="gruggenm6@nymag.com"/>
    <x v="7"/>
    <x v="0"/>
    <x v="0"/>
    <x v="2"/>
    <n v="0.2"/>
    <n v="2.6849999999999996"/>
    <x v="36"/>
    <x v="0"/>
  </r>
  <r>
    <s v="OAM-76916-748"/>
    <x v="591"/>
    <x v="0"/>
    <s v="January"/>
    <x v="2"/>
    <s v="63025-62939-AN"/>
    <s v="E-D-1"/>
    <n v="3"/>
    <x v="736"/>
    <n v="0"/>
    <x v="41"/>
    <x v="0"/>
    <x v="1"/>
    <x v="2"/>
    <n v="1"/>
    <n v="12.15"/>
    <x v="114"/>
    <x v="0"/>
  </r>
  <r>
    <s v="UMB-11223-710"/>
    <x v="592"/>
    <x v="4"/>
    <s v="February"/>
    <x v="1"/>
    <s v="49012-12987-QT"/>
    <s v="R-D-0.2"/>
    <n v="6"/>
    <x v="737"/>
    <s v="mfrightm8@harvard.edu"/>
    <x v="280"/>
    <x v="1"/>
    <x v="0"/>
    <x v="2"/>
    <n v="0.2"/>
    <n v="2.6849999999999996"/>
    <x v="103"/>
    <x v="0"/>
  </r>
  <r>
    <s v="LXR-09892-726"/>
    <x v="402"/>
    <x v="3"/>
    <s v="July"/>
    <x v="3"/>
    <s v="50924-94200-SQ"/>
    <s v="R-D-2.5"/>
    <n v="2"/>
    <x v="738"/>
    <s v="btartem9@aol.com"/>
    <x v="339"/>
    <x v="0"/>
    <x v="0"/>
    <x v="2"/>
    <n v="2.5"/>
    <n v="20.584999999999997"/>
    <x v="13"/>
    <x v="0"/>
  </r>
  <r>
    <s v="QXX-89943-393"/>
    <x v="593"/>
    <x v="0"/>
    <s v="March"/>
    <x v="3"/>
    <s v="15673-18812-IU"/>
    <s v="R-D-0.2"/>
    <n v="4"/>
    <x v="739"/>
    <s v="ckrzysztofiakma@skyrock.com"/>
    <x v="342"/>
    <x v="0"/>
    <x v="0"/>
    <x v="2"/>
    <n v="0.2"/>
    <n v="2.6849999999999996"/>
    <x v="175"/>
    <x v="0"/>
  </r>
  <r>
    <s v="WVS-57822-366"/>
    <x v="594"/>
    <x v="3"/>
    <s v="May"/>
    <x v="3"/>
    <s v="52151-75971-YY"/>
    <s v="E-M-2.5"/>
    <n v="4"/>
    <x v="740"/>
    <s v="dpenquetmb@diigo.com"/>
    <x v="155"/>
    <x v="0"/>
    <x v="1"/>
    <x v="0"/>
    <n v="2.5"/>
    <n v="31.624999999999996"/>
    <x v="177"/>
    <x v="2"/>
  </r>
  <r>
    <s v="CLJ-23403-689"/>
    <x v="77"/>
    <x v="4"/>
    <s v="April"/>
    <x v="1"/>
    <s v="19413-02045-CG"/>
    <s v="R-L-1"/>
    <n v="2"/>
    <x v="741"/>
    <n v="0"/>
    <x v="176"/>
    <x v="2"/>
    <x v="0"/>
    <x v="1"/>
    <n v="1"/>
    <n v="11.95"/>
    <x v="178"/>
    <x v="0"/>
  </r>
  <r>
    <s v="XNU-83276-288"/>
    <x v="595"/>
    <x v="1"/>
    <s v="June"/>
    <x v="2"/>
    <s v="98185-92775-KT"/>
    <s v="R-M-0.5"/>
    <n v="1"/>
    <x v="742"/>
    <n v="0"/>
    <x v="343"/>
    <x v="0"/>
    <x v="0"/>
    <x v="0"/>
    <n v="0.5"/>
    <n v="5.97"/>
    <x v="9"/>
    <x v="0"/>
  </r>
  <r>
    <s v="YOG-94666-679"/>
    <x v="596"/>
    <x v="6"/>
    <s v="February"/>
    <x v="1"/>
    <s v="86991-53901-AT"/>
    <s v="L-D-0.2"/>
    <n v="2"/>
    <x v="743"/>
    <n v="0"/>
    <x v="44"/>
    <x v="2"/>
    <x v="3"/>
    <x v="2"/>
    <n v="0.2"/>
    <n v="3.8849999999999998"/>
    <x v="41"/>
    <x v="0"/>
  </r>
  <r>
    <s v="KHG-33953-115"/>
    <x v="514"/>
    <x v="3"/>
    <s v="December"/>
    <x v="1"/>
    <s v="78226-97287-JI"/>
    <s v="L-D-0.5"/>
    <n v="3"/>
    <x v="744"/>
    <s v="kferrettimf@huffingtonpost.com"/>
    <x v="232"/>
    <x v="1"/>
    <x v="3"/>
    <x v="2"/>
    <n v="0.5"/>
    <n v="7.77"/>
    <x v="102"/>
    <x v="0"/>
  </r>
  <r>
    <s v="MHD-95615-696"/>
    <x v="54"/>
    <x v="2"/>
    <s v="February"/>
    <x v="3"/>
    <s v="27930-59250-JT"/>
    <s v="R-L-2.5"/>
    <n v="5"/>
    <x v="745"/>
    <n v="0"/>
    <x v="13"/>
    <x v="0"/>
    <x v="0"/>
    <x v="1"/>
    <n v="2.5"/>
    <n v="27.484999999999996"/>
    <x v="187"/>
    <x v="2"/>
  </r>
  <r>
    <s v="HBH-64794-080"/>
    <x v="597"/>
    <x v="3"/>
    <s v="February"/>
    <x v="1"/>
    <s v="40560-18556-YE"/>
    <s v="R-D-0.2"/>
    <n v="3"/>
    <x v="746"/>
    <n v="0"/>
    <x v="87"/>
    <x v="0"/>
    <x v="0"/>
    <x v="2"/>
    <n v="0.2"/>
    <n v="2.6849999999999996"/>
    <x v="36"/>
    <x v="0"/>
  </r>
  <r>
    <s v="CNJ-56058-223"/>
    <x v="105"/>
    <x v="5"/>
    <s v="August"/>
    <x v="3"/>
    <s v="40780-22081-LX"/>
    <s v="L-L-0.5"/>
    <n v="3"/>
    <x v="747"/>
    <s v="abalsdonemi@toplist.cz"/>
    <x v="344"/>
    <x v="0"/>
    <x v="3"/>
    <x v="1"/>
    <n v="0.5"/>
    <n v="9.51"/>
    <x v="32"/>
    <x v="0"/>
  </r>
  <r>
    <s v="KHO-27106-786"/>
    <x v="210"/>
    <x v="4"/>
    <s v="October"/>
    <x v="3"/>
    <s v="01603-43789-TN"/>
    <s v="A-M-1"/>
    <n v="6"/>
    <x v="748"/>
    <s v="bromeramj@list-manage.com"/>
    <x v="345"/>
    <x v="1"/>
    <x v="2"/>
    <x v="0"/>
    <n v="1"/>
    <n v="11.25"/>
    <x v="173"/>
    <x v="1"/>
  </r>
  <r>
    <s v="KHO-27106-786"/>
    <x v="210"/>
    <x v="4"/>
    <s v="October"/>
    <x v="3"/>
    <s v="01603-43789-TN"/>
    <s v="L-D-2.5"/>
    <n v="6"/>
    <x v="748"/>
    <s v="bromeramj@list-manage.com"/>
    <x v="345"/>
    <x v="1"/>
    <x v="3"/>
    <x v="2"/>
    <n v="2.5"/>
    <n v="29.784999999999997"/>
    <x v="39"/>
    <x v="2"/>
  </r>
  <r>
    <s v="YAC-50329-982"/>
    <x v="598"/>
    <x v="5"/>
    <s v="December"/>
    <x v="3"/>
    <s v="75419-92838-TI"/>
    <s v="E-M-2.5"/>
    <n v="1"/>
    <x v="749"/>
    <s v="cbrydeml@tuttocitta.it"/>
    <x v="101"/>
    <x v="0"/>
    <x v="1"/>
    <x v="0"/>
    <n v="2.5"/>
    <n v="31.624999999999996"/>
    <x v="176"/>
    <x v="0"/>
  </r>
  <r>
    <s v="VVL-95291-039"/>
    <x v="360"/>
    <x v="0"/>
    <s v="April"/>
    <x v="0"/>
    <s v="96516-97464-MF"/>
    <s v="E-L-0.2"/>
    <n v="2"/>
    <x v="750"/>
    <s v="senefermm@blog.com"/>
    <x v="41"/>
    <x v="0"/>
    <x v="1"/>
    <x v="1"/>
    <n v="0.2"/>
    <n v="4.4550000000000001"/>
    <x v="161"/>
    <x v="0"/>
  </r>
  <r>
    <s v="VUT-20974-364"/>
    <x v="62"/>
    <x v="3"/>
    <s v="January"/>
    <x v="1"/>
    <s v="90285-56295-PO"/>
    <s v="R-M-0.5"/>
    <n v="6"/>
    <x v="751"/>
    <s v="lhaggerstonemn@independent.co.uk"/>
    <x v="161"/>
    <x v="0"/>
    <x v="0"/>
    <x v="0"/>
    <n v="0.5"/>
    <n v="5.97"/>
    <x v="27"/>
    <x v="0"/>
  </r>
  <r>
    <s v="SFC-34054-213"/>
    <x v="599"/>
    <x v="6"/>
    <s v="March"/>
    <x v="0"/>
    <s v="08100-71102-HQ"/>
    <s v="L-L-0.5"/>
    <n v="4"/>
    <x v="752"/>
    <s v="mgundrymo@omniture.com"/>
    <x v="118"/>
    <x v="1"/>
    <x v="3"/>
    <x v="1"/>
    <n v="0.5"/>
    <n v="9.51"/>
    <x v="82"/>
    <x v="0"/>
  </r>
  <r>
    <s v="UDS-04807-593"/>
    <x v="600"/>
    <x v="2"/>
    <s v="November"/>
    <x v="0"/>
    <s v="84074-28110-OV"/>
    <s v="L-D-0.5"/>
    <n v="2"/>
    <x v="753"/>
    <s v="bwellanmp@cafepress.com"/>
    <x v="73"/>
    <x v="0"/>
    <x v="3"/>
    <x v="2"/>
    <n v="0.5"/>
    <n v="7.77"/>
    <x v="42"/>
    <x v="0"/>
  </r>
  <r>
    <s v="FWE-98471-488"/>
    <x v="601"/>
    <x v="5"/>
    <s v="July"/>
    <x v="2"/>
    <s v="27930-59250-JT"/>
    <s v="L-L-1"/>
    <n v="5"/>
    <x v="745"/>
    <n v="0"/>
    <x v="13"/>
    <x v="0"/>
    <x v="3"/>
    <x v="1"/>
    <n v="1"/>
    <n v="15.85"/>
    <x v="180"/>
    <x v="1"/>
  </r>
  <r>
    <s v="RAU-17060-674"/>
    <x v="602"/>
    <x v="2"/>
    <s v="June"/>
    <x v="3"/>
    <s v="12747-63766-EU"/>
    <s v="L-L-0.2"/>
    <n v="1"/>
    <x v="754"/>
    <s v="catchesonmr@xinhuanet.com"/>
    <x v="41"/>
    <x v="0"/>
    <x v="3"/>
    <x v="1"/>
    <n v="0.2"/>
    <n v="4.7549999999999999"/>
    <x v="7"/>
    <x v="0"/>
  </r>
  <r>
    <s v="AOL-13866-711"/>
    <x v="603"/>
    <x v="0"/>
    <s v="February"/>
    <x v="0"/>
    <s v="83490-88357-LJ"/>
    <s v="E-M-1"/>
    <n v="4"/>
    <x v="755"/>
    <s v="estentonms@google.it"/>
    <x v="79"/>
    <x v="0"/>
    <x v="1"/>
    <x v="0"/>
    <n v="1"/>
    <n v="13.75"/>
    <x v="193"/>
    <x v="1"/>
  </r>
  <r>
    <s v="NOA-79645-377"/>
    <x v="604"/>
    <x v="3"/>
    <s v="November"/>
    <x v="3"/>
    <s v="53729-30320-XZ"/>
    <s v="R-D-0.5"/>
    <n v="5"/>
    <x v="756"/>
    <s v="etrippmt@wp.com"/>
    <x v="137"/>
    <x v="0"/>
    <x v="0"/>
    <x v="2"/>
    <n v="0.5"/>
    <n v="5.3699999999999992"/>
    <x v="51"/>
    <x v="0"/>
  </r>
  <r>
    <s v="KMS-49214-806"/>
    <x v="605"/>
    <x v="5"/>
    <s v="April"/>
    <x v="0"/>
    <s v="50384-52703-LA"/>
    <s v="E-L-2.5"/>
    <n v="4"/>
    <x v="757"/>
    <s v="lmacmanusmu@imdb.com"/>
    <x v="346"/>
    <x v="0"/>
    <x v="1"/>
    <x v="1"/>
    <n v="2.5"/>
    <n v="34.154999999999994"/>
    <x v="56"/>
    <x v="2"/>
  </r>
  <r>
    <s v="ABK-08091-531"/>
    <x v="606"/>
    <x v="2"/>
    <s v="October"/>
    <x v="3"/>
    <s v="53864-36201-FG"/>
    <s v="L-L-1"/>
    <n v="3"/>
    <x v="758"/>
    <s v="tbenediktovichmv@ebay.com"/>
    <x v="347"/>
    <x v="0"/>
    <x v="3"/>
    <x v="1"/>
    <n v="1"/>
    <n v="15.85"/>
    <x v="46"/>
    <x v="0"/>
  </r>
  <r>
    <s v="GPT-67705-953"/>
    <x v="446"/>
    <x v="5"/>
    <s v="November"/>
    <x v="0"/>
    <s v="70631-33225-MZ"/>
    <s v="A-M-0.2"/>
    <n v="5"/>
    <x v="759"/>
    <s v="cbournermw@chronoengine.com"/>
    <x v="63"/>
    <x v="0"/>
    <x v="2"/>
    <x v="0"/>
    <n v="0.2"/>
    <n v="3.375"/>
    <x v="19"/>
    <x v="0"/>
  </r>
  <r>
    <s v="JNA-21450-177"/>
    <x v="18"/>
    <x v="2"/>
    <s v="February"/>
    <x v="2"/>
    <s v="54798-14109-HC"/>
    <s v="A-D-1"/>
    <n v="3"/>
    <x v="760"/>
    <s v="oskermen3@hatena.ne.jp"/>
    <x v="101"/>
    <x v="0"/>
    <x v="2"/>
    <x v="2"/>
    <n v="1"/>
    <n v="9.9499999999999993"/>
    <x v="44"/>
    <x v="0"/>
  </r>
  <r>
    <s v="MPQ-23421-608"/>
    <x v="180"/>
    <x v="6"/>
    <s v="March"/>
    <x v="1"/>
    <s v="08023-52962-ET"/>
    <s v="E-M-0.5"/>
    <n v="5"/>
    <x v="761"/>
    <s v="kheddanmy@icq.com"/>
    <x v="48"/>
    <x v="0"/>
    <x v="1"/>
    <x v="0"/>
    <n v="0.5"/>
    <n v="8.25"/>
    <x v="1"/>
    <x v="0"/>
  </r>
  <r>
    <s v="NLI-63891-565"/>
    <x v="580"/>
    <x v="2"/>
    <s v="December"/>
    <x v="1"/>
    <s v="41899-00283-VK"/>
    <s v="E-M-0.2"/>
    <n v="5"/>
    <x v="762"/>
    <s v="ichartersmz@abc.net.au"/>
    <x v="41"/>
    <x v="0"/>
    <x v="1"/>
    <x v="0"/>
    <n v="0.2"/>
    <n v="4.125"/>
    <x v="132"/>
    <x v="0"/>
  </r>
  <r>
    <s v="HHF-36647-854"/>
    <x v="453"/>
    <x v="2"/>
    <s v="November"/>
    <x v="1"/>
    <s v="39011-18412-GR"/>
    <s v="A-D-2.5"/>
    <n v="6"/>
    <x v="763"/>
    <s v="aroubertn0@tmall.com"/>
    <x v="348"/>
    <x v="0"/>
    <x v="2"/>
    <x v="2"/>
    <n v="2.5"/>
    <n v="22.884999999999998"/>
    <x v="170"/>
    <x v="2"/>
  </r>
  <r>
    <s v="SBN-16537-046"/>
    <x v="259"/>
    <x v="4"/>
    <s v="February"/>
    <x v="3"/>
    <s v="60255-12579-PZ"/>
    <s v="A-D-0.2"/>
    <n v="1"/>
    <x v="764"/>
    <s v="hmairsn1@so-net.ne.jp"/>
    <x v="90"/>
    <x v="0"/>
    <x v="2"/>
    <x v="2"/>
    <n v="0.2"/>
    <n v="2.9849999999999999"/>
    <x v="55"/>
    <x v="0"/>
  </r>
  <r>
    <s v="XZD-44484-632"/>
    <x v="607"/>
    <x v="2"/>
    <s v="August"/>
    <x v="1"/>
    <s v="80541-38332-BP"/>
    <s v="E-M-1"/>
    <n v="2"/>
    <x v="765"/>
    <s v="hrainforthn2@blog.com"/>
    <x v="11"/>
    <x v="0"/>
    <x v="1"/>
    <x v="0"/>
    <n v="1"/>
    <n v="13.75"/>
    <x v="3"/>
    <x v="0"/>
  </r>
  <r>
    <s v="XZD-44484-632"/>
    <x v="607"/>
    <x v="2"/>
    <s v="August"/>
    <x v="1"/>
    <s v="80541-38332-BP"/>
    <s v="A-D-0.2"/>
    <n v="2"/>
    <x v="765"/>
    <s v="hrainforthn2@blog.com"/>
    <x v="11"/>
    <x v="0"/>
    <x v="2"/>
    <x v="2"/>
    <n v="0.2"/>
    <n v="2.9849999999999999"/>
    <x v="9"/>
    <x v="0"/>
  </r>
  <r>
    <s v="IKQ-39946-768"/>
    <x v="385"/>
    <x v="2"/>
    <s v="March"/>
    <x v="1"/>
    <s v="72778-50968-UQ"/>
    <s v="R-M-1"/>
    <n v="6"/>
    <x v="766"/>
    <s v="ijespern4@theglobeandmail.com"/>
    <x v="53"/>
    <x v="0"/>
    <x v="0"/>
    <x v="0"/>
    <n v="1"/>
    <n v="9.9499999999999993"/>
    <x v="33"/>
    <x v="1"/>
  </r>
  <r>
    <s v="KMB-95211-174"/>
    <x v="608"/>
    <x v="2"/>
    <s v="April"/>
    <x v="1"/>
    <s v="23941-30203-MO"/>
    <s v="R-D-2.5"/>
    <n v="4"/>
    <x v="767"/>
    <s v="ldwerryhousen5@gravatar.com"/>
    <x v="57"/>
    <x v="0"/>
    <x v="0"/>
    <x v="2"/>
    <n v="2.5"/>
    <n v="20.584999999999997"/>
    <x v="18"/>
    <x v="1"/>
  </r>
  <r>
    <s v="QWY-99467-368"/>
    <x v="609"/>
    <x v="2"/>
    <s v="November"/>
    <x v="3"/>
    <s v="96434-50068-DZ"/>
    <s v="A-D-2.5"/>
    <n v="1"/>
    <x v="768"/>
    <s v="nbroomern6@examiner.com"/>
    <x v="349"/>
    <x v="0"/>
    <x v="2"/>
    <x v="2"/>
    <n v="2.5"/>
    <n v="22.884999999999998"/>
    <x v="156"/>
    <x v="0"/>
  </r>
  <r>
    <s v="SRG-76791-614"/>
    <x v="147"/>
    <x v="3"/>
    <s v="March"/>
    <x v="1"/>
    <s v="11729-74102-XB"/>
    <s v="E-L-0.5"/>
    <n v="1"/>
    <x v="769"/>
    <s v="kthoumassonn7@bloglovin.com"/>
    <x v="31"/>
    <x v="0"/>
    <x v="1"/>
    <x v="1"/>
    <n v="0.5"/>
    <n v="8.91"/>
    <x v="161"/>
    <x v="0"/>
  </r>
  <r>
    <s v="VSN-94485-621"/>
    <x v="172"/>
    <x v="6"/>
    <s v="October"/>
    <x v="1"/>
    <s v="88116-12604-TE"/>
    <s v="A-D-0.2"/>
    <n v="4"/>
    <x v="770"/>
    <s v="fhabberghamn8@discovery.com"/>
    <x v="125"/>
    <x v="0"/>
    <x v="2"/>
    <x v="2"/>
    <n v="0.2"/>
    <n v="2.9849999999999999"/>
    <x v="22"/>
    <x v="0"/>
  </r>
  <r>
    <s v="UFZ-24348-219"/>
    <x v="610"/>
    <x v="4"/>
    <s v="September"/>
    <x v="0"/>
    <s v="27930-59250-JT"/>
    <s v="L-M-2.5"/>
    <n v="3"/>
    <x v="745"/>
    <n v="0"/>
    <x v="13"/>
    <x v="0"/>
    <x v="3"/>
    <x v="0"/>
    <n v="2.5"/>
    <n v="33.464999999999996"/>
    <x v="64"/>
    <x v="2"/>
  </r>
  <r>
    <s v="UKS-93055-397"/>
    <x v="611"/>
    <x v="1"/>
    <s v="July"/>
    <x v="2"/>
    <s v="13082-41034-PD"/>
    <s v="A-D-2.5"/>
    <n v="5"/>
    <x v="771"/>
    <s v="ravrashinna@tamu.edu"/>
    <x v="41"/>
    <x v="0"/>
    <x v="2"/>
    <x v="2"/>
    <n v="2.5"/>
    <n v="22.884999999999998"/>
    <x v="15"/>
    <x v="2"/>
  </r>
  <r>
    <s v="AVH-56062-335"/>
    <x v="612"/>
    <x v="6"/>
    <s v="November"/>
    <x v="1"/>
    <s v="18082-74419-QH"/>
    <s v="E-M-0.5"/>
    <n v="5"/>
    <x v="772"/>
    <s v="mdoidgenb@etsy.com"/>
    <x v="350"/>
    <x v="0"/>
    <x v="1"/>
    <x v="0"/>
    <n v="0.5"/>
    <n v="8.25"/>
    <x v="1"/>
    <x v="0"/>
  </r>
  <r>
    <s v="HGE-19842-613"/>
    <x v="613"/>
    <x v="0"/>
    <s v="January"/>
    <x v="2"/>
    <s v="49401-45041-ZU"/>
    <s v="R-L-0.5"/>
    <n v="4"/>
    <x v="773"/>
    <s v="jedinboronc@reverbnation.com"/>
    <x v="42"/>
    <x v="0"/>
    <x v="0"/>
    <x v="1"/>
    <n v="0.5"/>
    <n v="7.169999999999999"/>
    <x v="139"/>
    <x v="0"/>
  </r>
  <r>
    <s v="WBA-85905-175"/>
    <x v="611"/>
    <x v="1"/>
    <s v="July"/>
    <x v="2"/>
    <s v="41252-45992-VS"/>
    <s v="L-M-0.2"/>
    <n v="1"/>
    <x v="774"/>
    <s v="ttewelsonnd@cdbaby.com"/>
    <x v="87"/>
    <x v="0"/>
    <x v="3"/>
    <x v="0"/>
    <n v="0.2"/>
    <n v="4.3650000000000002"/>
    <x v="189"/>
    <x v="0"/>
  </r>
  <r>
    <s v="DZI-35365-596"/>
    <x v="493"/>
    <x v="5"/>
    <s v="November"/>
    <x v="1"/>
    <s v="54798-14109-HC"/>
    <s v="E-M-0.2"/>
    <n v="2"/>
    <x v="760"/>
    <s v="oskermen3@hatena.ne.jp"/>
    <x v="101"/>
    <x v="0"/>
    <x v="1"/>
    <x v="0"/>
    <n v="0.2"/>
    <n v="4.125"/>
    <x v="112"/>
    <x v="0"/>
  </r>
  <r>
    <s v="XIR-88982-743"/>
    <x v="614"/>
    <x v="4"/>
    <s v="July"/>
    <x v="1"/>
    <s v="00852-54571-WP"/>
    <s v="E-M-0.2"/>
    <n v="2"/>
    <x v="775"/>
    <s v="ddrewittnf@mapquest.com"/>
    <x v="117"/>
    <x v="0"/>
    <x v="1"/>
    <x v="0"/>
    <n v="0.2"/>
    <n v="4.125"/>
    <x v="112"/>
    <x v="0"/>
  </r>
  <r>
    <s v="VUC-72395-865"/>
    <x v="151"/>
    <x v="0"/>
    <s v="October"/>
    <x v="1"/>
    <s v="13321-57602-GK"/>
    <s v="A-D-0.5"/>
    <n v="6"/>
    <x v="776"/>
    <s v="agladhillng@stanford.edu"/>
    <x v="192"/>
    <x v="0"/>
    <x v="2"/>
    <x v="2"/>
    <n v="0.5"/>
    <n v="5.97"/>
    <x v="27"/>
    <x v="0"/>
  </r>
  <r>
    <s v="BQJ-44755-910"/>
    <x v="489"/>
    <x v="2"/>
    <s v="February"/>
    <x v="3"/>
    <s v="75006-89922-VW"/>
    <s v="E-D-2.5"/>
    <n v="6"/>
    <x v="777"/>
    <s v="mlorineznh@whitehouse.gov"/>
    <x v="98"/>
    <x v="0"/>
    <x v="1"/>
    <x v="2"/>
    <n v="2.5"/>
    <n v="27.945"/>
    <x v="164"/>
    <x v="2"/>
  </r>
  <r>
    <s v="JKC-64636-831"/>
    <x v="615"/>
    <x v="5"/>
    <s v="July"/>
    <x v="2"/>
    <s v="52098-80103-FD"/>
    <s v="A-M-2.5"/>
    <n v="2"/>
    <x v="778"/>
    <n v="0"/>
    <x v="227"/>
    <x v="0"/>
    <x v="2"/>
    <x v="0"/>
    <n v="2.5"/>
    <n v="25.874999999999996"/>
    <x v="95"/>
    <x v="1"/>
  </r>
  <r>
    <s v="ZKI-78561-066"/>
    <x v="616"/>
    <x v="5"/>
    <s v="September"/>
    <x v="1"/>
    <s v="60121-12432-VU"/>
    <s v="A-D-0.2"/>
    <n v="3"/>
    <x v="779"/>
    <s v="mvannj@wikipedia.org"/>
    <x v="351"/>
    <x v="0"/>
    <x v="2"/>
    <x v="2"/>
    <n v="0.2"/>
    <n v="2.9849999999999999"/>
    <x v="169"/>
    <x v="0"/>
  </r>
  <r>
    <s v="IMP-12563-728"/>
    <x v="578"/>
    <x v="0"/>
    <s v="January"/>
    <x v="0"/>
    <s v="68346-14810-UA"/>
    <s v="E-L-0.5"/>
    <n v="6"/>
    <x v="780"/>
    <n v="0"/>
    <x v="67"/>
    <x v="0"/>
    <x v="1"/>
    <x v="1"/>
    <n v="0.5"/>
    <n v="8.91"/>
    <x v="119"/>
    <x v="1"/>
  </r>
  <r>
    <s v="MZL-81126-390"/>
    <x v="617"/>
    <x v="5"/>
    <s v="March"/>
    <x v="2"/>
    <s v="48464-99723-HK"/>
    <s v="A-L-0.2"/>
    <n v="6"/>
    <x v="781"/>
    <s v="jethelstonnl@creativecommons.org"/>
    <x v="352"/>
    <x v="0"/>
    <x v="2"/>
    <x v="1"/>
    <n v="0.2"/>
    <n v="3.8849999999999998"/>
    <x v="102"/>
    <x v="0"/>
  </r>
  <r>
    <s v="MZL-81126-390"/>
    <x v="617"/>
    <x v="5"/>
    <s v="March"/>
    <x v="2"/>
    <s v="48464-99723-HK"/>
    <s v="A-M-0.2"/>
    <n v="2"/>
    <x v="781"/>
    <s v="jethelstonnl@creativecommons.org"/>
    <x v="352"/>
    <x v="0"/>
    <x v="2"/>
    <x v="0"/>
    <n v="0.2"/>
    <n v="3.375"/>
    <x v="52"/>
    <x v="0"/>
  </r>
  <r>
    <s v="TVF-57766-608"/>
    <x v="155"/>
    <x v="5"/>
    <s v="March"/>
    <x v="3"/>
    <s v="88420-46464-XE"/>
    <s v="L-D-0.5"/>
    <n v="1"/>
    <x v="782"/>
    <s v="peberznn@woothemes.com"/>
    <x v="231"/>
    <x v="0"/>
    <x v="3"/>
    <x v="2"/>
    <n v="0.5"/>
    <n v="7.77"/>
    <x v="41"/>
    <x v="0"/>
  </r>
  <r>
    <s v="RUX-37995-892"/>
    <x v="461"/>
    <x v="4"/>
    <s v="November"/>
    <x v="1"/>
    <s v="37762-09530-MP"/>
    <s v="L-D-2.5"/>
    <n v="4"/>
    <x v="783"/>
    <s v="bgaishno@altervista.org"/>
    <x v="79"/>
    <x v="0"/>
    <x v="3"/>
    <x v="2"/>
    <n v="2.5"/>
    <n v="29.784999999999997"/>
    <x v="129"/>
    <x v="2"/>
  </r>
  <r>
    <s v="AVK-76526-953"/>
    <x v="87"/>
    <x v="0"/>
    <s v="March"/>
    <x v="1"/>
    <s v="47268-50127-XY"/>
    <s v="A-D-1"/>
    <n v="2"/>
    <x v="784"/>
    <s v="ldantonnp@miitbeian.gov.cn"/>
    <x v="87"/>
    <x v="0"/>
    <x v="2"/>
    <x v="2"/>
    <n v="1"/>
    <n v="9.9499999999999993"/>
    <x v="0"/>
    <x v="0"/>
  </r>
  <r>
    <s v="RIU-02231-623"/>
    <x v="618"/>
    <x v="5"/>
    <s v="November"/>
    <x v="1"/>
    <s v="25544-84179-QC"/>
    <s v="R-L-0.5"/>
    <n v="5"/>
    <x v="785"/>
    <s v="smorrallnq@answers.com"/>
    <x v="27"/>
    <x v="0"/>
    <x v="0"/>
    <x v="1"/>
    <n v="0.5"/>
    <n v="7.169999999999999"/>
    <x v="66"/>
    <x v="0"/>
  </r>
  <r>
    <s v="WFK-99317-827"/>
    <x v="619"/>
    <x v="6"/>
    <s v="June"/>
    <x v="0"/>
    <s v="32058-76765-ZL"/>
    <s v="L-D-2.5"/>
    <n v="3"/>
    <x v="786"/>
    <s v="dcrownshawnr@photobucket.com"/>
    <x v="311"/>
    <x v="0"/>
    <x v="3"/>
    <x v="2"/>
    <n v="2.5"/>
    <n v="29.784999999999997"/>
    <x v="49"/>
    <x v="1"/>
  </r>
  <r>
    <s v="SFD-00372-284"/>
    <x v="440"/>
    <x v="6"/>
    <s v="July"/>
    <x v="3"/>
    <s v="54798-14109-HC"/>
    <s v="L-M-0.2"/>
    <n v="2"/>
    <x v="760"/>
    <s v="oskermen3@hatena.ne.jp"/>
    <x v="101"/>
    <x v="0"/>
    <x v="3"/>
    <x v="0"/>
    <n v="0.2"/>
    <n v="4.3650000000000002"/>
    <x v="31"/>
    <x v="0"/>
  </r>
  <r>
    <s v="SXC-62166-515"/>
    <x v="489"/>
    <x v="2"/>
    <s v="February"/>
    <x v="3"/>
    <s v="69171-65646-UC"/>
    <s v="R-L-2.5"/>
    <n v="5"/>
    <x v="787"/>
    <s v="jreddochnt@sun.com"/>
    <x v="344"/>
    <x v="0"/>
    <x v="0"/>
    <x v="1"/>
    <n v="2.5"/>
    <n v="27.484999999999996"/>
    <x v="187"/>
    <x v="2"/>
  </r>
  <r>
    <s v="YIE-87008-621"/>
    <x v="620"/>
    <x v="4"/>
    <s v="June"/>
    <x v="0"/>
    <s v="22503-52799-MI"/>
    <s v="L-M-0.5"/>
    <n v="4"/>
    <x v="788"/>
    <s v="stitleynu@whitehouse.gov"/>
    <x v="97"/>
    <x v="0"/>
    <x v="3"/>
    <x v="0"/>
    <n v="0.5"/>
    <n v="8.73"/>
    <x v="190"/>
    <x v="0"/>
  </r>
  <r>
    <s v="HRM-94548-288"/>
    <x v="621"/>
    <x v="6"/>
    <s v="September"/>
    <x v="0"/>
    <s v="08934-65581-ZI"/>
    <s v="A-L-2.5"/>
    <n v="6"/>
    <x v="789"/>
    <s v="rsimaonv@simplemachines.org"/>
    <x v="321"/>
    <x v="0"/>
    <x v="2"/>
    <x v="1"/>
    <n v="2.5"/>
    <n v="29.784999999999997"/>
    <x v="39"/>
    <x v="2"/>
  </r>
  <r>
    <s v="UJG-34731-295"/>
    <x v="374"/>
    <x v="0"/>
    <s v="May"/>
    <x v="2"/>
    <s v="15764-22559-ZT"/>
    <s v="A-M-2.5"/>
    <n v="1"/>
    <x v="790"/>
    <n v="0"/>
    <x v="269"/>
    <x v="0"/>
    <x v="2"/>
    <x v="0"/>
    <n v="2.5"/>
    <n v="25.874999999999996"/>
    <x v="145"/>
    <x v="0"/>
  </r>
  <r>
    <s v="TWD-70988-853"/>
    <x v="345"/>
    <x v="5"/>
    <s v="December"/>
    <x v="0"/>
    <s v="87519-68847-ZG"/>
    <s v="L-D-1"/>
    <n v="6"/>
    <x v="791"/>
    <s v="nchisholmnx@example.com"/>
    <x v="203"/>
    <x v="0"/>
    <x v="3"/>
    <x v="2"/>
    <n v="1"/>
    <n v="12.95"/>
    <x v="17"/>
    <x v="1"/>
  </r>
  <r>
    <s v="CIX-22904-641"/>
    <x v="622"/>
    <x v="5"/>
    <s v="September"/>
    <x v="0"/>
    <s v="78012-56878-UB"/>
    <s v="R-M-1"/>
    <n v="1"/>
    <x v="792"/>
    <s v="goatsny@live.com"/>
    <x v="6"/>
    <x v="0"/>
    <x v="0"/>
    <x v="0"/>
    <n v="1"/>
    <n v="9.9499999999999993"/>
    <x v="138"/>
    <x v="0"/>
  </r>
  <r>
    <s v="DLV-65840-759"/>
    <x v="623"/>
    <x v="5"/>
    <s v="May"/>
    <x v="2"/>
    <s v="77192-72145-RG"/>
    <s v="L-M-1"/>
    <n v="2"/>
    <x v="793"/>
    <s v="mbirkinnz@java.com"/>
    <x v="218"/>
    <x v="0"/>
    <x v="3"/>
    <x v="0"/>
    <n v="1"/>
    <n v="14.55"/>
    <x v="194"/>
    <x v="0"/>
  </r>
  <r>
    <s v="RXN-55491-201"/>
    <x v="354"/>
    <x v="3"/>
    <s v="October"/>
    <x v="0"/>
    <s v="86071-79238-CX"/>
    <s v="R-L-0.2"/>
    <n v="6"/>
    <x v="794"/>
    <s v="rpysono0@constantcontact.com"/>
    <x v="328"/>
    <x v="1"/>
    <x v="0"/>
    <x v="1"/>
    <n v="0.2"/>
    <n v="3.5849999999999995"/>
    <x v="137"/>
    <x v="0"/>
  </r>
  <r>
    <s v="UHK-63283-868"/>
    <x v="624"/>
    <x v="6"/>
    <s v="April"/>
    <x v="2"/>
    <s v="16809-16936-WF"/>
    <s v="A-M-0.5"/>
    <n v="1"/>
    <x v="795"/>
    <s v="mmacconnechieo9@reuters.com"/>
    <x v="27"/>
    <x v="0"/>
    <x v="2"/>
    <x v="0"/>
    <n v="0.5"/>
    <n v="6.75"/>
    <x v="52"/>
    <x v="0"/>
  </r>
  <r>
    <s v="PJC-31401-893"/>
    <x v="561"/>
    <x v="1"/>
    <s v="January"/>
    <x v="1"/>
    <s v="11212-69985-ZJ"/>
    <s v="A-D-0.5"/>
    <n v="3"/>
    <x v="796"/>
    <s v="rtreachero2@usa.gov"/>
    <x v="353"/>
    <x v="1"/>
    <x v="2"/>
    <x v="2"/>
    <n v="0.5"/>
    <n v="5.97"/>
    <x v="8"/>
    <x v="0"/>
  </r>
  <r>
    <s v="HHO-79903-185"/>
    <x v="42"/>
    <x v="2"/>
    <s v="August"/>
    <x v="2"/>
    <s v="53893-01719-CL"/>
    <s v="A-L-2.5"/>
    <n v="1"/>
    <x v="797"/>
    <s v="bfattorinio3@quantcast.com"/>
    <x v="354"/>
    <x v="1"/>
    <x v="2"/>
    <x v="1"/>
    <n v="2.5"/>
    <n v="29.784999999999997"/>
    <x v="91"/>
    <x v="0"/>
  </r>
  <r>
    <s v="YWM-07310-594"/>
    <x v="267"/>
    <x v="4"/>
    <s v="March"/>
    <x v="0"/>
    <s v="66028-99867-WJ"/>
    <s v="E-M-0.5"/>
    <n v="5"/>
    <x v="798"/>
    <s v="mpalleskeo4@nyu.edu"/>
    <x v="171"/>
    <x v="0"/>
    <x v="1"/>
    <x v="0"/>
    <n v="0.5"/>
    <n v="8.25"/>
    <x v="1"/>
    <x v="0"/>
  </r>
  <r>
    <s v="FHD-94983-982"/>
    <x v="625"/>
    <x v="5"/>
    <s v="January"/>
    <x v="3"/>
    <s v="62839-56723-CH"/>
    <s v="R-M-0.5"/>
    <n v="3"/>
    <x v="799"/>
    <n v="0"/>
    <x v="155"/>
    <x v="0"/>
    <x v="0"/>
    <x v="0"/>
    <n v="0.5"/>
    <n v="5.97"/>
    <x v="8"/>
    <x v="0"/>
  </r>
  <r>
    <s v="WQK-10857-119"/>
    <x v="616"/>
    <x v="5"/>
    <s v="September"/>
    <x v="1"/>
    <s v="96849-52854-CR"/>
    <s v="E-D-0.5"/>
    <n v="1"/>
    <x v="800"/>
    <s v="fantcliffeo6@amazon.co.jp"/>
    <x v="22"/>
    <x v="1"/>
    <x v="1"/>
    <x v="2"/>
    <n v="0.5"/>
    <n v="7.29"/>
    <x v="35"/>
    <x v="0"/>
  </r>
  <r>
    <s v="DXA-50313-073"/>
    <x v="626"/>
    <x v="2"/>
    <s v="August"/>
    <x v="0"/>
    <s v="19755-55847-VW"/>
    <s v="E-L-1"/>
    <n v="2"/>
    <x v="801"/>
    <s v="pmatignono7@harvard.edu"/>
    <x v="355"/>
    <x v="2"/>
    <x v="1"/>
    <x v="1"/>
    <n v="1"/>
    <n v="14.85"/>
    <x v="195"/>
    <x v="0"/>
  </r>
  <r>
    <s v="ONW-00560-570"/>
    <x v="52"/>
    <x v="3"/>
    <s v="February"/>
    <x v="0"/>
    <s v="32900-82606-BO"/>
    <s v="A-M-1"/>
    <n v="2"/>
    <x v="802"/>
    <s v="cweondo8@theglobeandmail.com"/>
    <x v="228"/>
    <x v="0"/>
    <x v="2"/>
    <x v="0"/>
    <n v="1"/>
    <n v="11.25"/>
    <x v="122"/>
    <x v="0"/>
  </r>
  <r>
    <s v="BRJ-19414-277"/>
    <x v="622"/>
    <x v="5"/>
    <s v="September"/>
    <x v="0"/>
    <s v="16809-16936-WF"/>
    <s v="R-M-0.2"/>
    <n v="4"/>
    <x v="795"/>
    <s v="mmacconnechieo9@reuters.com"/>
    <x v="27"/>
    <x v="0"/>
    <x v="0"/>
    <x v="0"/>
    <n v="0.2"/>
    <n v="2.9849999999999999"/>
    <x v="22"/>
    <x v="0"/>
  </r>
  <r>
    <s v="MIQ-16322-908"/>
    <x v="627"/>
    <x v="4"/>
    <s v="August"/>
    <x v="0"/>
    <s v="20118-28138-QD"/>
    <s v="A-L-1"/>
    <n v="2"/>
    <x v="803"/>
    <s v="jskentelberyoa@paypal.com"/>
    <x v="13"/>
    <x v="0"/>
    <x v="2"/>
    <x v="1"/>
    <n v="1"/>
    <n v="12.95"/>
    <x v="109"/>
    <x v="0"/>
  </r>
  <r>
    <s v="MVO-39328-830"/>
    <x v="628"/>
    <x v="2"/>
    <s v="February"/>
    <x v="1"/>
    <s v="84057-45461-AH"/>
    <s v="L-M-0.5"/>
    <n v="5"/>
    <x v="804"/>
    <s v="ocomberob@goo.gl"/>
    <x v="82"/>
    <x v="1"/>
    <x v="3"/>
    <x v="0"/>
    <n v="0.5"/>
    <n v="8.73"/>
    <x v="34"/>
    <x v="0"/>
  </r>
  <r>
    <s v="MVO-39328-830"/>
    <x v="628"/>
    <x v="2"/>
    <s v="February"/>
    <x v="1"/>
    <s v="84057-45461-AH"/>
    <s v="A-L-0.5"/>
    <n v="6"/>
    <x v="804"/>
    <s v="ocomberob@goo.gl"/>
    <x v="82"/>
    <x v="1"/>
    <x v="2"/>
    <x v="1"/>
    <n v="0.5"/>
    <n v="7.77"/>
    <x v="162"/>
    <x v="0"/>
  </r>
  <r>
    <s v="NTJ-88319-746"/>
    <x v="629"/>
    <x v="5"/>
    <s v="August"/>
    <x v="1"/>
    <s v="90882-88130-KQ"/>
    <s v="L-L-0.5"/>
    <n v="3"/>
    <x v="805"/>
    <s v="ztramelod@netlog.com"/>
    <x v="55"/>
    <x v="0"/>
    <x v="3"/>
    <x v="1"/>
    <n v="0.5"/>
    <n v="9.51"/>
    <x v="32"/>
    <x v="0"/>
  </r>
  <r>
    <s v="LCY-24377-948"/>
    <x v="630"/>
    <x v="2"/>
    <s v="May"/>
    <x v="1"/>
    <s v="21617-79890-DD"/>
    <s v="R-L-2.5"/>
    <n v="1"/>
    <x v="806"/>
    <n v="0"/>
    <x v="208"/>
    <x v="0"/>
    <x v="0"/>
    <x v="1"/>
    <n v="2.5"/>
    <n v="27.484999999999996"/>
    <x v="142"/>
    <x v="0"/>
  </r>
  <r>
    <s v="FWD-85967-769"/>
    <x v="631"/>
    <x v="2"/>
    <s v="June"/>
    <x v="0"/>
    <s v="20256-54689-LO"/>
    <s v="E-D-0.2"/>
    <n v="3"/>
    <x v="807"/>
    <n v="0"/>
    <x v="19"/>
    <x v="0"/>
    <x v="1"/>
    <x v="2"/>
    <n v="0.2"/>
    <n v="3.645"/>
    <x v="47"/>
    <x v="0"/>
  </r>
  <r>
    <s v="KTO-53793-109"/>
    <x v="229"/>
    <x v="0"/>
    <s v="November"/>
    <x v="0"/>
    <s v="17572-27091-AA"/>
    <s v="R-L-0.2"/>
    <n v="2"/>
    <x v="808"/>
    <s v="chatfullog@ebay.com"/>
    <x v="356"/>
    <x v="0"/>
    <x v="0"/>
    <x v="1"/>
    <n v="0.2"/>
    <n v="3.5849999999999995"/>
    <x v="53"/>
    <x v="0"/>
  </r>
  <r>
    <s v="OCK-89033-348"/>
    <x v="632"/>
    <x v="1"/>
    <s v="March"/>
    <x v="1"/>
    <s v="82300-88786-UE"/>
    <s v="A-L-0.2"/>
    <n v="6"/>
    <x v="809"/>
    <n v="0"/>
    <x v="332"/>
    <x v="0"/>
    <x v="2"/>
    <x v="1"/>
    <n v="0.2"/>
    <n v="3.8849999999999998"/>
    <x v="102"/>
    <x v="0"/>
  </r>
  <r>
    <s v="GPZ-36017-366"/>
    <x v="633"/>
    <x v="3"/>
    <s v="July"/>
    <x v="0"/>
    <s v="65732-22589-OW"/>
    <s v="A-D-2.5"/>
    <n v="5"/>
    <x v="810"/>
    <s v="kmarrisonoq@dropbox.com"/>
    <x v="29"/>
    <x v="0"/>
    <x v="2"/>
    <x v="2"/>
    <n v="2.5"/>
    <n v="22.884999999999998"/>
    <x v="15"/>
    <x v="2"/>
  </r>
  <r>
    <s v="BZP-33213-637"/>
    <x v="95"/>
    <x v="5"/>
    <s v="May"/>
    <x v="3"/>
    <s v="77175-09826-SF"/>
    <s v="A-M-2.5"/>
    <n v="3"/>
    <x v="811"/>
    <s v="lagnolooj@pinterest.com"/>
    <x v="134"/>
    <x v="0"/>
    <x v="2"/>
    <x v="0"/>
    <n v="2.5"/>
    <n v="25.874999999999996"/>
    <x v="57"/>
    <x v="1"/>
  </r>
  <r>
    <s v="WFH-21507-708"/>
    <x v="521"/>
    <x v="3"/>
    <s v="April"/>
    <x v="3"/>
    <s v="07237-32539-NB"/>
    <s v="R-D-0.5"/>
    <n v="1"/>
    <x v="812"/>
    <s v="dkiddyok@fda.gov"/>
    <x v="74"/>
    <x v="0"/>
    <x v="0"/>
    <x v="2"/>
    <n v="0.5"/>
    <n v="5.3699999999999992"/>
    <x v="147"/>
    <x v="0"/>
  </r>
  <r>
    <s v="HST-96923-073"/>
    <x v="76"/>
    <x v="0"/>
    <s v="July"/>
    <x v="0"/>
    <s v="54722-76431-EX"/>
    <s v="R-D-2.5"/>
    <n v="6"/>
    <x v="813"/>
    <s v="hpetroulisol@state.tx.us"/>
    <x v="357"/>
    <x v="1"/>
    <x v="0"/>
    <x v="2"/>
    <n v="2.5"/>
    <n v="20.584999999999997"/>
    <x v="99"/>
    <x v="2"/>
  </r>
  <r>
    <s v="ENN-79947-323"/>
    <x v="634"/>
    <x v="0"/>
    <s v="November"/>
    <x v="1"/>
    <s v="67847-82662-TE"/>
    <s v="L-M-0.5"/>
    <n v="2"/>
    <x v="814"/>
    <s v="mschollom@taobao.com"/>
    <x v="204"/>
    <x v="0"/>
    <x v="3"/>
    <x v="0"/>
    <n v="0.5"/>
    <n v="8.73"/>
    <x v="92"/>
    <x v="0"/>
  </r>
  <r>
    <s v="BHA-47429-889"/>
    <x v="635"/>
    <x v="4"/>
    <s v="June"/>
    <x v="3"/>
    <s v="51114-51191-EW"/>
    <s v="E-L-0.2"/>
    <n v="3"/>
    <x v="815"/>
    <s v="kfersonon@g.co"/>
    <x v="351"/>
    <x v="0"/>
    <x v="1"/>
    <x v="1"/>
    <n v="0.2"/>
    <n v="4.4550000000000001"/>
    <x v="77"/>
    <x v="0"/>
  </r>
  <r>
    <s v="SZY-63017-318"/>
    <x v="636"/>
    <x v="5"/>
    <s v="April"/>
    <x v="1"/>
    <s v="91809-58808-TV"/>
    <s v="A-L-0.2"/>
    <n v="2"/>
    <x v="816"/>
    <s v="bkellowayoo@omniture.com"/>
    <x v="204"/>
    <x v="0"/>
    <x v="2"/>
    <x v="1"/>
    <n v="0.2"/>
    <n v="3.8849999999999998"/>
    <x v="41"/>
    <x v="0"/>
  </r>
  <r>
    <s v="LCU-93317-340"/>
    <x v="637"/>
    <x v="3"/>
    <s v="June"/>
    <x v="0"/>
    <s v="84996-26826-DK"/>
    <s v="R-D-0.2"/>
    <n v="1"/>
    <x v="817"/>
    <s v="soliffeop@yellowbook.com"/>
    <x v="168"/>
    <x v="0"/>
    <x v="0"/>
    <x v="2"/>
    <n v="0.2"/>
    <n v="2.6849999999999996"/>
    <x v="97"/>
    <x v="0"/>
  </r>
  <r>
    <s v="UOM-71431-481"/>
    <x v="182"/>
    <x v="4"/>
    <s v="March"/>
    <x v="2"/>
    <s v="65732-22589-OW"/>
    <s v="R-D-2.5"/>
    <n v="1"/>
    <x v="810"/>
    <s v="kmarrisonoq@dropbox.com"/>
    <x v="29"/>
    <x v="0"/>
    <x v="0"/>
    <x v="2"/>
    <n v="2.5"/>
    <n v="20.584999999999997"/>
    <x v="123"/>
    <x v="0"/>
  </r>
  <r>
    <s v="PJH-42618-877"/>
    <x v="479"/>
    <x v="0"/>
    <s v="September"/>
    <x v="1"/>
    <s v="93676-95250-XJ"/>
    <s v="A-D-2.5"/>
    <n v="5"/>
    <x v="818"/>
    <s v="cdolohuntyor@dailymail.co.uk"/>
    <x v="236"/>
    <x v="0"/>
    <x v="2"/>
    <x v="2"/>
    <n v="2.5"/>
    <n v="22.884999999999998"/>
    <x v="15"/>
    <x v="2"/>
  </r>
  <r>
    <s v="XED-90333-402"/>
    <x v="638"/>
    <x v="1"/>
    <s v="June"/>
    <x v="0"/>
    <s v="28300-14355-GF"/>
    <s v="E-M-0.2"/>
    <n v="5"/>
    <x v="819"/>
    <s v="pvasilenkoos@addtoany.com"/>
    <x v="229"/>
    <x v="2"/>
    <x v="1"/>
    <x v="0"/>
    <n v="0.2"/>
    <n v="4.125"/>
    <x v="132"/>
    <x v="0"/>
  </r>
  <r>
    <s v="IKK-62234-199"/>
    <x v="639"/>
    <x v="0"/>
    <s v="March"/>
    <x v="2"/>
    <s v="91190-84826-IQ"/>
    <s v="L-L-0.5"/>
    <n v="6"/>
    <x v="820"/>
    <s v="rschankelborgot@ameblo.jp"/>
    <x v="291"/>
    <x v="0"/>
    <x v="3"/>
    <x v="1"/>
    <n v="0.5"/>
    <n v="9.51"/>
    <x v="30"/>
    <x v="1"/>
  </r>
  <r>
    <s v="KAW-95195-329"/>
    <x v="640"/>
    <x v="4"/>
    <s v="July"/>
    <x v="3"/>
    <s v="34570-99384-AF"/>
    <s v="R-D-2.5"/>
    <n v="4"/>
    <x v="821"/>
    <n v="0"/>
    <x v="358"/>
    <x v="1"/>
    <x v="0"/>
    <x v="2"/>
    <n v="2.5"/>
    <n v="20.584999999999997"/>
    <x v="18"/>
    <x v="1"/>
  </r>
  <r>
    <s v="QDO-57268-842"/>
    <x v="612"/>
    <x v="6"/>
    <s v="November"/>
    <x v="1"/>
    <s v="57808-90533-UE"/>
    <s v="E-M-2.5"/>
    <n v="5"/>
    <x v="822"/>
    <n v="0"/>
    <x v="15"/>
    <x v="0"/>
    <x v="1"/>
    <x v="0"/>
    <n v="2.5"/>
    <n v="31.624999999999996"/>
    <x v="196"/>
    <x v="2"/>
  </r>
  <r>
    <s v="IIZ-24416-212"/>
    <x v="641"/>
    <x v="3"/>
    <s v="May"/>
    <x v="1"/>
    <s v="76060-30540-LB"/>
    <s v="R-D-0.5"/>
    <n v="6"/>
    <x v="823"/>
    <s v="bcargenow@geocities.jp"/>
    <x v="208"/>
    <x v="0"/>
    <x v="0"/>
    <x v="2"/>
    <n v="0.5"/>
    <n v="5.3699999999999992"/>
    <x v="111"/>
    <x v="0"/>
  </r>
  <r>
    <s v="AWP-11469-510"/>
    <x v="36"/>
    <x v="4"/>
    <s v="April"/>
    <x v="3"/>
    <s v="76730-63769-ND"/>
    <s v="E-D-1"/>
    <n v="2"/>
    <x v="824"/>
    <s v="rsticklerox@printfriendly.com"/>
    <x v="38"/>
    <x v="2"/>
    <x v="1"/>
    <x v="2"/>
    <n v="1"/>
    <n v="12.15"/>
    <x v="76"/>
    <x v="0"/>
  </r>
  <r>
    <s v="KXA-27983-918"/>
    <x v="642"/>
    <x v="5"/>
    <s v="September"/>
    <x v="3"/>
    <s v="96042-27290-EQ"/>
    <s v="R-L-0.5"/>
    <n v="5"/>
    <x v="825"/>
    <n v="0"/>
    <x v="359"/>
    <x v="0"/>
    <x v="0"/>
    <x v="1"/>
    <n v="0.5"/>
    <n v="7.169999999999999"/>
    <x v="66"/>
    <x v="0"/>
  </r>
  <r>
    <s v="VKQ-39009-292"/>
    <x v="219"/>
    <x v="5"/>
    <s v="November"/>
    <x v="1"/>
    <s v="57808-90533-UE"/>
    <s v="L-M-1"/>
    <n v="5"/>
    <x v="822"/>
    <n v="0"/>
    <x v="15"/>
    <x v="0"/>
    <x v="3"/>
    <x v="0"/>
    <n v="1"/>
    <n v="14.55"/>
    <x v="45"/>
    <x v="1"/>
  </r>
  <r>
    <s v="PDB-98743-282"/>
    <x v="643"/>
    <x v="6"/>
    <s v="January"/>
    <x v="2"/>
    <s v="51940-02669-OR"/>
    <s v="L-L-1"/>
    <n v="3"/>
    <x v="826"/>
    <n v="0"/>
    <x v="360"/>
    <x v="1"/>
    <x v="3"/>
    <x v="1"/>
    <n v="1"/>
    <n v="15.85"/>
    <x v="46"/>
    <x v="0"/>
  </r>
  <r>
    <s v="SXW-34014-556"/>
    <x v="644"/>
    <x v="1"/>
    <s v="January"/>
    <x v="1"/>
    <s v="99144-98314-GN"/>
    <s v="R-L-0.2"/>
    <n v="1"/>
    <x v="827"/>
    <s v="djevonp1@ibm.com"/>
    <x v="13"/>
    <x v="0"/>
    <x v="0"/>
    <x v="1"/>
    <n v="0.2"/>
    <n v="3.5849999999999995"/>
    <x v="60"/>
    <x v="0"/>
  </r>
  <r>
    <s v="QOJ-38788-727"/>
    <x v="136"/>
    <x v="3"/>
    <s v="June"/>
    <x v="0"/>
    <s v="16358-63919-CE"/>
    <s v="E-M-2.5"/>
    <n v="5"/>
    <x v="828"/>
    <s v="hrannerp2@omniture.com"/>
    <x v="159"/>
    <x v="0"/>
    <x v="1"/>
    <x v="0"/>
    <n v="2.5"/>
    <n v="31.624999999999996"/>
    <x v="196"/>
    <x v="2"/>
  </r>
  <r>
    <s v="TGF-38649-658"/>
    <x v="645"/>
    <x v="6"/>
    <s v="March"/>
    <x v="3"/>
    <s v="67743-54817-UT"/>
    <s v="L-M-0.5"/>
    <n v="2"/>
    <x v="829"/>
    <s v="bimriep3@addtoany.com"/>
    <x v="74"/>
    <x v="0"/>
    <x v="3"/>
    <x v="0"/>
    <n v="0.5"/>
    <n v="8.73"/>
    <x v="92"/>
    <x v="0"/>
  </r>
  <r>
    <s v="EAI-25194-209"/>
    <x v="646"/>
    <x v="2"/>
    <s v="September"/>
    <x v="1"/>
    <s v="44601-51441-BH"/>
    <s v="A-L-2.5"/>
    <n v="5"/>
    <x v="830"/>
    <s v="dsopperp4@eventbrite.com"/>
    <x v="50"/>
    <x v="0"/>
    <x v="2"/>
    <x v="1"/>
    <n v="2.5"/>
    <n v="29.784999999999997"/>
    <x v="74"/>
    <x v="2"/>
  </r>
  <r>
    <s v="IJK-34441-720"/>
    <x v="647"/>
    <x v="2"/>
    <s v="April"/>
    <x v="0"/>
    <s v="97201-58870-WB"/>
    <s v="A-M-0.5"/>
    <n v="6"/>
    <x v="831"/>
    <n v="0"/>
    <x v="87"/>
    <x v="0"/>
    <x v="2"/>
    <x v="0"/>
    <n v="0.5"/>
    <n v="6.75"/>
    <x v="61"/>
    <x v="0"/>
  </r>
  <r>
    <s v="ZMC-00336-619"/>
    <x v="591"/>
    <x v="0"/>
    <s v="January"/>
    <x v="2"/>
    <s v="19849-12926-QF"/>
    <s v="A-M-0.5"/>
    <n v="4"/>
    <x v="832"/>
    <s v="lledgleyp6@de.vu"/>
    <x v="111"/>
    <x v="0"/>
    <x v="2"/>
    <x v="0"/>
    <n v="0.5"/>
    <n v="6.75"/>
    <x v="25"/>
    <x v="0"/>
  </r>
  <r>
    <s v="UPX-54529-618"/>
    <x v="648"/>
    <x v="2"/>
    <s v="September"/>
    <x v="1"/>
    <s v="40535-56770-UM"/>
    <s v="L-D-1"/>
    <n v="3"/>
    <x v="833"/>
    <s v="tmenaryp7@phoca.cz"/>
    <x v="12"/>
    <x v="0"/>
    <x v="3"/>
    <x v="2"/>
    <n v="1"/>
    <n v="12.95"/>
    <x v="5"/>
    <x v="0"/>
  </r>
  <r>
    <s v="DLX-01059-899"/>
    <x v="191"/>
    <x v="3"/>
    <s v="January"/>
    <x v="3"/>
    <s v="74940-09646-MU"/>
    <s v="R-L-1"/>
    <n v="5"/>
    <x v="834"/>
    <s v="gciccottip8@so-net.ne.jp"/>
    <x v="13"/>
    <x v="0"/>
    <x v="0"/>
    <x v="1"/>
    <n v="1"/>
    <n v="11.95"/>
    <x v="143"/>
    <x v="1"/>
  </r>
  <r>
    <s v="MEK-85120-243"/>
    <x v="649"/>
    <x v="5"/>
    <s v="March"/>
    <x v="2"/>
    <s v="06623-54610-HC"/>
    <s v="R-L-0.2"/>
    <n v="3"/>
    <x v="835"/>
    <n v="0"/>
    <x v="285"/>
    <x v="0"/>
    <x v="0"/>
    <x v="1"/>
    <n v="0.2"/>
    <n v="3.5849999999999995"/>
    <x v="127"/>
    <x v="0"/>
  </r>
  <r>
    <s v="NFI-37188-246"/>
    <x v="553"/>
    <x v="1"/>
    <s v="September"/>
    <x v="1"/>
    <s v="89490-75361-AF"/>
    <s v="A-D-2.5"/>
    <n v="4"/>
    <x v="836"/>
    <s v="wjallinpa@pcworld.com"/>
    <x v="35"/>
    <x v="0"/>
    <x v="2"/>
    <x v="2"/>
    <n v="2.5"/>
    <n v="22.884999999999998"/>
    <x v="21"/>
    <x v="1"/>
  </r>
  <r>
    <s v="BXH-62195-013"/>
    <x v="584"/>
    <x v="0"/>
    <s v="November"/>
    <x v="1"/>
    <s v="94526-79230-GZ"/>
    <s v="A-M-1"/>
    <n v="4"/>
    <x v="837"/>
    <s v="mbogeypb@thetimes.co.uk"/>
    <x v="41"/>
    <x v="0"/>
    <x v="2"/>
    <x v="0"/>
    <n v="1"/>
    <n v="11.25"/>
    <x v="157"/>
    <x v="0"/>
  </r>
  <r>
    <s v="YLK-78851-470"/>
    <x v="650"/>
    <x v="1"/>
    <s v="September"/>
    <x v="0"/>
    <s v="58559-08254-UY"/>
    <s v="R-M-2.5"/>
    <n v="6"/>
    <x v="838"/>
    <n v="0"/>
    <x v="140"/>
    <x v="0"/>
    <x v="0"/>
    <x v="0"/>
    <n v="2.5"/>
    <n v="22.884999999999998"/>
    <x v="170"/>
    <x v="2"/>
  </r>
  <r>
    <s v="DXY-76225-633"/>
    <x v="121"/>
    <x v="0"/>
    <s v="July"/>
    <x v="1"/>
    <s v="88574-37083-WX"/>
    <s v="A-M-0.5"/>
    <n v="1"/>
    <x v="839"/>
    <s v="mcobbledickpd@ucsd.edu"/>
    <x v="31"/>
    <x v="0"/>
    <x v="2"/>
    <x v="0"/>
    <n v="0.5"/>
    <n v="6.75"/>
    <x v="52"/>
    <x v="0"/>
  </r>
  <r>
    <s v="UHP-24614-199"/>
    <x v="472"/>
    <x v="6"/>
    <s v="March"/>
    <x v="2"/>
    <s v="67953-79896-AC"/>
    <s v="A-M-1"/>
    <n v="4"/>
    <x v="840"/>
    <s v="alewrype@whitehouse.gov"/>
    <x v="124"/>
    <x v="0"/>
    <x v="2"/>
    <x v="0"/>
    <n v="1"/>
    <n v="11.25"/>
    <x v="157"/>
    <x v="0"/>
  </r>
  <r>
    <s v="HBY-35655-049"/>
    <x v="594"/>
    <x v="3"/>
    <s v="May"/>
    <x v="3"/>
    <s v="69207-93422-CQ"/>
    <s v="E-D-2.5"/>
    <n v="3"/>
    <x v="841"/>
    <s v="ihesselpf@ox.ac.uk"/>
    <x v="361"/>
    <x v="0"/>
    <x v="1"/>
    <x v="2"/>
    <n v="2.5"/>
    <n v="27.945"/>
    <x v="171"/>
    <x v="1"/>
  </r>
  <r>
    <s v="DCE-22886-861"/>
    <x v="89"/>
    <x v="3"/>
    <s v="April"/>
    <x v="1"/>
    <s v="56060-17602-RG"/>
    <s v="E-D-0.2"/>
    <n v="1"/>
    <x v="842"/>
    <n v="0"/>
    <x v="244"/>
    <x v="1"/>
    <x v="1"/>
    <x v="2"/>
    <n v="0.2"/>
    <n v="3.645"/>
    <x v="186"/>
    <x v="0"/>
  </r>
  <r>
    <s v="QTG-93823-843"/>
    <x v="651"/>
    <x v="1"/>
    <s v="January"/>
    <x v="2"/>
    <s v="46859-14212-FI"/>
    <s v="A-M-0.5"/>
    <n v="1"/>
    <x v="843"/>
    <s v="csorrellph@amazon.com"/>
    <x v="184"/>
    <x v="2"/>
    <x v="2"/>
    <x v="0"/>
    <n v="0.5"/>
    <n v="6.75"/>
    <x v="52"/>
    <x v="0"/>
  </r>
  <r>
    <s v="QTG-93823-843"/>
    <x v="651"/>
    <x v="1"/>
    <s v="January"/>
    <x v="2"/>
    <s v="46859-14212-FI"/>
    <s v="E-D-0.5"/>
    <n v="3"/>
    <x v="843"/>
    <s v="csorrellph@amazon.com"/>
    <x v="184"/>
    <x v="2"/>
    <x v="1"/>
    <x v="2"/>
    <n v="0.5"/>
    <n v="7.29"/>
    <x v="6"/>
    <x v="0"/>
  </r>
  <r>
    <s v="WFT-16178-396"/>
    <x v="249"/>
    <x v="1"/>
    <s v="December"/>
    <x v="3"/>
    <s v="33555-01585-RP"/>
    <s v="R-D-0.2"/>
    <n v="5"/>
    <x v="844"/>
    <s v="qheavysidepj@unc.edu"/>
    <x v="193"/>
    <x v="0"/>
    <x v="0"/>
    <x v="2"/>
    <n v="0.2"/>
    <n v="2.6849999999999996"/>
    <x v="148"/>
    <x v="0"/>
  </r>
  <r>
    <s v="ERC-54560-934"/>
    <x v="652"/>
    <x v="3"/>
    <s v="May"/>
    <x v="2"/>
    <s v="11932-85629-CU"/>
    <s v="R-D-2.5"/>
    <n v="6"/>
    <x v="845"/>
    <s v="hreuvenpk@whitehouse.gov"/>
    <x v="16"/>
    <x v="0"/>
    <x v="0"/>
    <x v="2"/>
    <n v="2.5"/>
    <n v="20.584999999999997"/>
    <x v="99"/>
    <x v="2"/>
  </r>
  <r>
    <s v="RUK-78200-416"/>
    <x v="653"/>
    <x v="5"/>
    <s v="November"/>
    <x v="1"/>
    <s v="36192-07175-XC"/>
    <s v="L-D-0.2"/>
    <n v="2"/>
    <x v="846"/>
    <s v="mattwoolpl@nba.com"/>
    <x v="111"/>
    <x v="0"/>
    <x v="3"/>
    <x v="2"/>
    <n v="0.2"/>
    <n v="3.8849999999999998"/>
    <x v="41"/>
    <x v="0"/>
  </r>
  <r>
    <s v="KHK-13105-388"/>
    <x v="177"/>
    <x v="2"/>
    <s v="April"/>
    <x v="2"/>
    <s v="46242-54946-ZW"/>
    <s v="A-M-1"/>
    <n v="6"/>
    <x v="847"/>
    <n v="0"/>
    <x v="325"/>
    <x v="0"/>
    <x v="2"/>
    <x v="0"/>
    <n v="1"/>
    <n v="11.25"/>
    <x v="173"/>
    <x v="1"/>
  </r>
  <r>
    <s v="NJR-03699-189"/>
    <x v="22"/>
    <x v="5"/>
    <s v="October"/>
    <x v="0"/>
    <s v="95152-82155-VQ"/>
    <s v="E-D-2.5"/>
    <n v="1"/>
    <x v="848"/>
    <s v="gwynespn@dagondesign.com"/>
    <x v="79"/>
    <x v="0"/>
    <x v="1"/>
    <x v="2"/>
    <n v="2.5"/>
    <n v="27.945"/>
    <x v="140"/>
    <x v="0"/>
  </r>
  <r>
    <s v="PJV-20427-019"/>
    <x v="508"/>
    <x v="6"/>
    <s v="September"/>
    <x v="1"/>
    <s v="13404-39127-WQ"/>
    <s v="A-L-2.5"/>
    <n v="3"/>
    <x v="849"/>
    <s v="cmaccourtpo@amazon.com"/>
    <x v="327"/>
    <x v="0"/>
    <x v="2"/>
    <x v="1"/>
    <n v="2.5"/>
    <n v="29.784999999999997"/>
    <x v="49"/>
    <x v="1"/>
  </r>
  <r>
    <s v="UGK-07613-982"/>
    <x v="654"/>
    <x v="0"/>
    <s v="July"/>
    <x v="2"/>
    <s v="57808-90533-UE"/>
    <s v="A-M-0.5"/>
    <n v="3"/>
    <x v="822"/>
    <n v="0"/>
    <x v="15"/>
    <x v="0"/>
    <x v="2"/>
    <x v="0"/>
    <n v="0.5"/>
    <n v="6.75"/>
    <x v="16"/>
    <x v="0"/>
  </r>
  <r>
    <s v="OLA-68289-577"/>
    <x v="524"/>
    <x v="5"/>
    <s v="June"/>
    <x v="3"/>
    <s v="40226-52317-IO"/>
    <s v="A-M-0.5"/>
    <n v="5"/>
    <x v="850"/>
    <s v="ewilsonepq@eepurl.com"/>
    <x v="41"/>
    <x v="0"/>
    <x v="2"/>
    <x v="0"/>
    <n v="0.5"/>
    <n v="6.75"/>
    <x v="65"/>
    <x v="0"/>
  </r>
  <r>
    <s v="TNR-84447-052"/>
    <x v="655"/>
    <x v="1"/>
    <s v="January"/>
    <x v="0"/>
    <s v="34419-18068-AG"/>
    <s v="E-D-2.5"/>
    <n v="4"/>
    <x v="851"/>
    <s v="dduffiepr@time.com"/>
    <x v="12"/>
    <x v="0"/>
    <x v="1"/>
    <x v="2"/>
    <n v="2.5"/>
    <n v="27.945"/>
    <x v="150"/>
    <x v="2"/>
  </r>
  <r>
    <s v="FBZ-64200-586"/>
    <x v="523"/>
    <x v="5"/>
    <s v="July"/>
    <x v="2"/>
    <s v="51738-61457-RS"/>
    <s v="E-M-2.5"/>
    <n v="2"/>
    <x v="852"/>
    <s v="mmatiasekps@ucoz.ru"/>
    <x v="15"/>
    <x v="0"/>
    <x v="1"/>
    <x v="0"/>
    <n v="2.5"/>
    <n v="31.624999999999996"/>
    <x v="40"/>
    <x v="1"/>
  </r>
  <r>
    <s v="OBN-66334-505"/>
    <x v="656"/>
    <x v="3"/>
    <s v="November"/>
    <x v="3"/>
    <s v="86757-52367-ON"/>
    <s v="E-L-0.2"/>
    <n v="2"/>
    <x v="853"/>
    <s v="jcamillopt@shinystat.com"/>
    <x v="41"/>
    <x v="0"/>
    <x v="1"/>
    <x v="1"/>
    <n v="0.2"/>
    <n v="4.4550000000000001"/>
    <x v="161"/>
    <x v="0"/>
  </r>
  <r>
    <s v="NXM-89323-646"/>
    <x v="657"/>
    <x v="2"/>
    <s v="March"/>
    <x v="0"/>
    <s v="28158-93383-CK"/>
    <s v="E-D-1"/>
    <n v="1"/>
    <x v="854"/>
    <s v="kphilbrickpu@cdc.gov"/>
    <x v="41"/>
    <x v="0"/>
    <x v="1"/>
    <x v="2"/>
    <n v="1"/>
    <n v="12.15"/>
    <x v="87"/>
    <x v="0"/>
  </r>
  <r>
    <s v="NHI-23264-055"/>
    <x v="658"/>
    <x v="5"/>
    <s v="February"/>
    <x v="2"/>
    <s v="44799-09711-XW"/>
    <s v="A-D-0.5"/>
    <n v="4"/>
    <x v="855"/>
    <n v="0"/>
    <x v="311"/>
    <x v="0"/>
    <x v="2"/>
    <x v="2"/>
    <n v="0.5"/>
    <n v="5.97"/>
    <x v="86"/>
    <x v="0"/>
  </r>
  <r>
    <s v="EQH-53569-934"/>
    <x v="659"/>
    <x v="5"/>
    <s v="October"/>
    <x v="3"/>
    <s v="53667-91553-LT"/>
    <s v="E-M-1"/>
    <n v="4"/>
    <x v="856"/>
    <s v="bsillispw@istockphoto.com"/>
    <x v="218"/>
    <x v="0"/>
    <x v="1"/>
    <x v="0"/>
    <n v="1"/>
    <n v="13.75"/>
    <x v="193"/>
    <x v="1"/>
  </r>
  <r>
    <s v="XKK-06692-189"/>
    <x v="558"/>
    <x v="3"/>
    <s v="December"/>
    <x v="1"/>
    <s v="86579-92122-OC"/>
    <s v="R-D-1"/>
    <n v="3"/>
    <x v="857"/>
    <n v="0"/>
    <x v="101"/>
    <x v="0"/>
    <x v="0"/>
    <x v="2"/>
    <n v="1"/>
    <n v="8.9499999999999993"/>
    <x v="166"/>
    <x v="0"/>
  </r>
  <r>
    <s v="BYP-16005-016"/>
    <x v="660"/>
    <x v="6"/>
    <s v="August"/>
    <x v="1"/>
    <s v="01474-63436-TP"/>
    <s v="R-M-2.5"/>
    <n v="5"/>
    <x v="858"/>
    <s v="rcuttspy@techcrunch.com"/>
    <x v="356"/>
    <x v="0"/>
    <x v="0"/>
    <x v="0"/>
    <n v="2.5"/>
    <n v="22.884999999999998"/>
    <x v="15"/>
    <x v="2"/>
  </r>
  <r>
    <s v="LWS-13938-905"/>
    <x v="661"/>
    <x v="1"/>
    <s v="November"/>
    <x v="3"/>
    <s v="90533-82440-EE"/>
    <s v="A-M-2.5"/>
    <n v="6"/>
    <x v="859"/>
    <s v="mdelvespz@nature.com"/>
    <x v="124"/>
    <x v="0"/>
    <x v="2"/>
    <x v="0"/>
    <n v="2.5"/>
    <n v="25.874999999999996"/>
    <x v="71"/>
    <x v="2"/>
  </r>
  <r>
    <s v="OLH-95722-362"/>
    <x v="662"/>
    <x v="6"/>
    <s v="October"/>
    <x v="1"/>
    <s v="48553-69225-VX"/>
    <s v="L-D-0.5"/>
    <n v="3"/>
    <x v="860"/>
    <s v="dgrittonq0@nydailynews.com"/>
    <x v="148"/>
    <x v="0"/>
    <x v="3"/>
    <x v="2"/>
    <n v="0.5"/>
    <n v="7.77"/>
    <x v="102"/>
    <x v="0"/>
  </r>
  <r>
    <s v="OLH-95722-362"/>
    <x v="662"/>
    <x v="6"/>
    <s v="October"/>
    <x v="1"/>
    <s v="48553-69225-VX"/>
    <s v="R-M-2.5"/>
    <n v="4"/>
    <x v="860"/>
    <s v="dgrittonq0@nydailynews.com"/>
    <x v="148"/>
    <x v="0"/>
    <x v="0"/>
    <x v="0"/>
    <n v="2.5"/>
    <n v="22.884999999999998"/>
    <x v="21"/>
    <x v="1"/>
  </r>
  <r>
    <s v="KCW-50949-318"/>
    <x v="184"/>
    <x v="3"/>
    <s v="December"/>
    <x v="0"/>
    <s v="52374-27313-IV"/>
    <s v="E-L-1"/>
    <n v="5"/>
    <x v="861"/>
    <s v="dgutq2@umich.edu"/>
    <x v="13"/>
    <x v="0"/>
    <x v="1"/>
    <x v="1"/>
    <n v="1"/>
    <n v="14.85"/>
    <x v="159"/>
    <x v="1"/>
  </r>
  <r>
    <s v="JGZ-16947-591"/>
    <x v="663"/>
    <x v="5"/>
    <s v="February"/>
    <x v="1"/>
    <s v="14264-41252-SL"/>
    <s v="L-L-0.2"/>
    <n v="6"/>
    <x v="862"/>
    <s v="wpummeryq3@topsy.com"/>
    <x v="362"/>
    <x v="0"/>
    <x v="3"/>
    <x v="1"/>
    <n v="0.2"/>
    <n v="4.7549999999999999"/>
    <x v="32"/>
    <x v="0"/>
  </r>
  <r>
    <s v="LXS-63326-144"/>
    <x v="334"/>
    <x v="6"/>
    <s v="May"/>
    <x v="1"/>
    <s v="35367-50483-AR"/>
    <s v="R-L-0.5"/>
    <n v="2"/>
    <x v="863"/>
    <s v="gsiudaq4@nytimes.com"/>
    <x v="41"/>
    <x v="0"/>
    <x v="0"/>
    <x v="1"/>
    <n v="0.5"/>
    <n v="7.169999999999999"/>
    <x v="79"/>
    <x v="0"/>
  </r>
  <r>
    <s v="CZG-86544-655"/>
    <x v="664"/>
    <x v="4"/>
    <s v="April"/>
    <x v="2"/>
    <s v="69443-77665-QW"/>
    <s v="A-L-0.5"/>
    <n v="2"/>
    <x v="864"/>
    <s v="hcrowneq5@wufoo.com"/>
    <x v="363"/>
    <x v="1"/>
    <x v="2"/>
    <x v="1"/>
    <n v="0.5"/>
    <n v="7.77"/>
    <x v="42"/>
    <x v="0"/>
  </r>
  <r>
    <s v="WFV-88138-247"/>
    <x v="24"/>
    <x v="4"/>
    <s v="September"/>
    <x v="1"/>
    <s v="63411-51758-QC"/>
    <s v="R-L-1"/>
    <n v="3"/>
    <x v="865"/>
    <s v="vpawseyq6@tiny.cc"/>
    <x v="126"/>
    <x v="0"/>
    <x v="0"/>
    <x v="1"/>
    <n v="1"/>
    <n v="11.95"/>
    <x v="66"/>
    <x v="0"/>
  </r>
  <r>
    <s v="RFG-28227-288"/>
    <x v="12"/>
    <x v="5"/>
    <s v="June"/>
    <x v="2"/>
    <s v="68605-21835-UF"/>
    <s v="A-L-0.5"/>
    <n v="6"/>
    <x v="866"/>
    <s v="awaterhouseq7@istockphoto.com"/>
    <x v="212"/>
    <x v="0"/>
    <x v="2"/>
    <x v="1"/>
    <n v="0.5"/>
    <n v="7.77"/>
    <x v="162"/>
    <x v="0"/>
  </r>
  <r>
    <s v="QAK-77286-758"/>
    <x v="105"/>
    <x v="5"/>
    <s v="August"/>
    <x v="3"/>
    <s v="34786-30419-XY"/>
    <s v="R-L-0.5"/>
    <n v="5"/>
    <x v="867"/>
    <s v="fhaughianq8@1688.com"/>
    <x v="174"/>
    <x v="0"/>
    <x v="0"/>
    <x v="1"/>
    <n v="0.5"/>
    <n v="7.169999999999999"/>
    <x v="66"/>
    <x v="0"/>
  </r>
  <r>
    <s v="CZD-56716-840"/>
    <x v="665"/>
    <x v="0"/>
    <s v="February"/>
    <x v="0"/>
    <s v="15456-29250-RU"/>
    <s v="L-D-2.5"/>
    <n v="4"/>
    <x v="868"/>
    <n v="0"/>
    <x v="87"/>
    <x v="0"/>
    <x v="3"/>
    <x v="2"/>
    <n v="2.5"/>
    <n v="29.784999999999997"/>
    <x v="129"/>
    <x v="2"/>
  </r>
  <r>
    <s v="UBI-59229-277"/>
    <x v="44"/>
    <x v="1"/>
    <s v="September"/>
    <x v="0"/>
    <s v="00886-35803-FG"/>
    <s v="L-D-0.5"/>
    <n v="3"/>
    <x v="869"/>
    <n v="0"/>
    <x v="38"/>
    <x v="0"/>
    <x v="3"/>
    <x v="2"/>
    <n v="0.5"/>
    <n v="7.77"/>
    <x v="102"/>
    <x v="0"/>
  </r>
  <r>
    <s v="WJJ-37489-898"/>
    <x v="171"/>
    <x v="0"/>
    <s v="April"/>
    <x v="1"/>
    <s v="31599-82152-AD"/>
    <s v="A-M-1"/>
    <n v="1"/>
    <x v="870"/>
    <s v="rfaltinqb@topsy.com"/>
    <x v="105"/>
    <x v="1"/>
    <x v="2"/>
    <x v="0"/>
    <n v="1"/>
    <n v="11.25"/>
    <x v="23"/>
    <x v="0"/>
  </r>
  <r>
    <s v="ORX-57454-917"/>
    <x v="328"/>
    <x v="3"/>
    <s v="September"/>
    <x v="1"/>
    <s v="76209-39601-ZR"/>
    <s v="E-D-2.5"/>
    <n v="3"/>
    <x v="871"/>
    <s v="gcheekeqc@sitemeter.com"/>
    <x v="282"/>
    <x v="2"/>
    <x v="1"/>
    <x v="2"/>
    <n v="2.5"/>
    <n v="27.945"/>
    <x v="171"/>
    <x v="1"/>
  </r>
  <r>
    <s v="GRB-68838-629"/>
    <x v="648"/>
    <x v="2"/>
    <s v="September"/>
    <x v="1"/>
    <s v="15064-65241-HB"/>
    <s v="R-L-2.5"/>
    <n v="4"/>
    <x v="872"/>
    <s v="grattqd@phpbb.com"/>
    <x v="364"/>
    <x v="1"/>
    <x v="0"/>
    <x v="1"/>
    <n v="2.5"/>
    <n v="27.484999999999996"/>
    <x v="108"/>
    <x v="2"/>
  </r>
  <r>
    <s v="SHT-04865-419"/>
    <x v="666"/>
    <x v="6"/>
    <s v="May"/>
    <x v="2"/>
    <s v="69215-90789-DL"/>
    <s v="R-L-0.2"/>
    <n v="4"/>
    <x v="873"/>
    <n v="0"/>
    <x v="325"/>
    <x v="0"/>
    <x v="0"/>
    <x v="1"/>
    <n v="0.2"/>
    <n v="3.5849999999999995"/>
    <x v="79"/>
    <x v="0"/>
  </r>
  <r>
    <s v="UQI-28177-865"/>
    <x v="577"/>
    <x v="2"/>
    <s v="September"/>
    <x v="3"/>
    <s v="04317-46176-TB"/>
    <s v="R-L-0.2"/>
    <n v="6"/>
    <x v="874"/>
    <s v="ieberleinqf@hc360.com"/>
    <x v="225"/>
    <x v="0"/>
    <x v="0"/>
    <x v="1"/>
    <n v="0.2"/>
    <n v="3.5849999999999995"/>
    <x v="137"/>
    <x v="0"/>
  </r>
  <r>
    <s v="OIB-13664-879"/>
    <x v="114"/>
    <x v="5"/>
    <s v="August"/>
    <x v="1"/>
    <s v="04713-57765-KR"/>
    <s v="A-M-1"/>
    <n v="2"/>
    <x v="875"/>
    <s v="jdrengqg@uiuc.edu"/>
    <x v="363"/>
    <x v="1"/>
    <x v="2"/>
    <x v="0"/>
    <n v="1"/>
    <n v="11.25"/>
    <x v="122"/>
    <x v="0"/>
  </r>
  <r>
    <s v="PJS-30996-485"/>
    <x v="4"/>
    <x v="2"/>
    <s v="January"/>
    <x v="2"/>
    <s v="86579-92122-OC"/>
    <s v="A-L-0.2"/>
    <n v="1"/>
    <x v="857"/>
    <n v="0"/>
    <x v="101"/>
    <x v="0"/>
    <x v="2"/>
    <x v="1"/>
    <n v="0.2"/>
    <n v="3.8849999999999998"/>
    <x v="84"/>
    <x v="0"/>
  </r>
  <r>
    <s v="HEL-86709-449"/>
    <x v="667"/>
    <x v="2"/>
    <s v="June"/>
    <x v="2"/>
    <s v="86579-92122-OC"/>
    <s v="E-D-2.5"/>
    <n v="1"/>
    <x v="857"/>
    <n v="0"/>
    <x v="101"/>
    <x v="0"/>
    <x v="1"/>
    <x v="2"/>
    <n v="2.5"/>
    <n v="27.945"/>
    <x v="140"/>
    <x v="0"/>
  </r>
  <r>
    <s v="NCH-55389-562"/>
    <x v="110"/>
    <x v="4"/>
    <s v="April"/>
    <x v="0"/>
    <s v="86579-92122-OC"/>
    <s v="E-L-2.5"/>
    <n v="5"/>
    <x v="857"/>
    <n v="0"/>
    <x v="101"/>
    <x v="0"/>
    <x v="1"/>
    <x v="1"/>
    <n v="2.5"/>
    <n v="34.154999999999994"/>
    <x v="11"/>
    <x v="2"/>
  </r>
  <r>
    <s v="NCH-55389-562"/>
    <x v="110"/>
    <x v="4"/>
    <s v="April"/>
    <x v="0"/>
    <s v="86579-92122-OC"/>
    <s v="R-L-2.5"/>
    <n v="2"/>
    <x v="857"/>
    <n v="0"/>
    <x v="101"/>
    <x v="0"/>
    <x v="0"/>
    <x v="1"/>
    <n v="2.5"/>
    <n v="27.484999999999996"/>
    <x v="4"/>
    <x v="1"/>
  </r>
  <r>
    <s v="NCH-55389-562"/>
    <x v="110"/>
    <x v="4"/>
    <s v="April"/>
    <x v="0"/>
    <s v="86579-92122-OC"/>
    <s v="E-L-1"/>
    <n v="1"/>
    <x v="857"/>
    <n v="0"/>
    <x v="101"/>
    <x v="0"/>
    <x v="1"/>
    <x v="1"/>
    <n v="1"/>
    <n v="14.85"/>
    <x v="151"/>
    <x v="0"/>
  </r>
  <r>
    <s v="NCH-55389-562"/>
    <x v="110"/>
    <x v="4"/>
    <s v="April"/>
    <x v="0"/>
    <s v="86579-92122-OC"/>
    <s v="A-L-0.2"/>
    <n v="2"/>
    <x v="857"/>
    <n v="0"/>
    <x v="101"/>
    <x v="0"/>
    <x v="2"/>
    <x v="1"/>
    <n v="0.2"/>
    <n v="3.8849999999999998"/>
    <x v="41"/>
    <x v="0"/>
  </r>
  <r>
    <s v="GUG-45603-775"/>
    <x v="668"/>
    <x v="6"/>
    <s v="February"/>
    <x v="2"/>
    <s v="40959-32642-DN"/>
    <s v="L-L-0.2"/>
    <n v="5"/>
    <x v="876"/>
    <s v="rstrathernqn@devhub.com"/>
    <x v="28"/>
    <x v="0"/>
    <x v="3"/>
    <x v="1"/>
    <n v="0.2"/>
    <n v="4.7549999999999999"/>
    <x v="29"/>
    <x v="0"/>
  </r>
  <r>
    <s v="KJB-98240-098"/>
    <x v="422"/>
    <x v="6"/>
    <s v="January"/>
    <x v="2"/>
    <s v="77746-08153-PM"/>
    <s v="L-L-1"/>
    <n v="5"/>
    <x v="877"/>
    <s v="cmiguelqo@exblog.jp"/>
    <x v="365"/>
    <x v="0"/>
    <x v="3"/>
    <x v="1"/>
    <n v="1"/>
    <n v="15.85"/>
    <x v="180"/>
    <x v="1"/>
  </r>
  <r>
    <s v="JMS-48374-462"/>
    <x v="669"/>
    <x v="3"/>
    <s v="November"/>
    <x v="3"/>
    <s v="49667-96708-JL"/>
    <s v="A-D-2.5"/>
    <n v="2"/>
    <x v="878"/>
    <n v="0"/>
    <x v="140"/>
    <x v="0"/>
    <x v="2"/>
    <x v="2"/>
    <n v="2.5"/>
    <n v="22.884999999999998"/>
    <x v="135"/>
    <x v="0"/>
  </r>
  <r>
    <s v="YIT-15877-117"/>
    <x v="670"/>
    <x v="1"/>
    <s v="April"/>
    <x v="2"/>
    <s v="24155-79322-EQ"/>
    <s v="R-D-1"/>
    <n v="1"/>
    <x v="879"/>
    <s v="mrocksqq@exblog.jp"/>
    <x v="366"/>
    <x v="1"/>
    <x v="0"/>
    <x v="2"/>
    <n v="1"/>
    <n v="8.9499999999999993"/>
    <x v="192"/>
    <x v="0"/>
  </r>
  <r>
    <s v="YVK-82679-655"/>
    <x v="341"/>
    <x v="0"/>
    <s v="January"/>
    <x v="1"/>
    <s v="95342-88311-SF"/>
    <s v="R-M-0.5"/>
    <n v="4"/>
    <x v="880"/>
    <s v="yburrellsqr@vinaora.com"/>
    <x v="193"/>
    <x v="0"/>
    <x v="0"/>
    <x v="0"/>
    <n v="0.5"/>
    <n v="5.97"/>
    <x v="86"/>
    <x v="0"/>
  </r>
  <r>
    <s v="TYH-81940-054"/>
    <x v="671"/>
    <x v="5"/>
    <s v="February"/>
    <x v="3"/>
    <s v="69374-08133-RI"/>
    <s v="E-L-0.2"/>
    <n v="5"/>
    <x v="881"/>
    <s v="cgoodrumqs@goodreads.com"/>
    <x v="236"/>
    <x v="0"/>
    <x v="1"/>
    <x v="1"/>
    <n v="0.2"/>
    <n v="4.4550000000000001"/>
    <x v="110"/>
    <x v="0"/>
  </r>
  <r>
    <s v="HTY-30660-254"/>
    <x v="672"/>
    <x v="3"/>
    <s v="September"/>
    <x v="0"/>
    <s v="83844-95908-RX"/>
    <s v="R-M-1"/>
    <n v="3"/>
    <x v="882"/>
    <s v="jjefferysqt@blog.com"/>
    <x v="6"/>
    <x v="0"/>
    <x v="0"/>
    <x v="0"/>
    <n v="1"/>
    <n v="9.9499999999999993"/>
    <x v="44"/>
    <x v="0"/>
  </r>
  <r>
    <s v="GPW-43956-761"/>
    <x v="673"/>
    <x v="4"/>
    <s v="January"/>
    <x v="0"/>
    <s v="09667-09231-YM"/>
    <s v="E-L-0.5"/>
    <n v="6"/>
    <x v="883"/>
    <s v="bwardellqu@adobe.com"/>
    <x v="130"/>
    <x v="0"/>
    <x v="1"/>
    <x v="1"/>
    <n v="0.5"/>
    <n v="8.91"/>
    <x v="119"/>
    <x v="1"/>
  </r>
  <r>
    <s v="DWY-56352-412"/>
    <x v="674"/>
    <x v="2"/>
    <s v="February"/>
    <x v="1"/>
    <s v="55427-08059-DF"/>
    <s v="R-D-0.2"/>
    <n v="1"/>
    <x v="884"/>
    <s v="zwalisiakqv@ucsd.edu"/>
    <x v="367"/>
    <x v="1"/>
    <x v="0"/>
    <x v="2"/>
    <n v="0.2"/>
    <n v="2.6849999999999996"/>
    <x v="97"/>
    <x v="0"/>
  </r>
  <r>
    <s v="PUH-55647-976"/>
    <x v="675"/>
    <x v="5"/>
    <s v="March"/>
    <x v="2"/>
    <s v="06624-54037-BQ"/>
    <s v="R-M-0.2"/>
    <n v="2"/>
    <x v="885"/>
    <s v="wleopoldqw@blogspot.com"/>
    <x v="368"/>
    <x v="0"/>
    <x v="0"/>
    <x v="0"/>
    <n v="0.2"/>
    <n v="2.9849999999999999"/>
    <x v="9"/>
    <x v="0"/>
  </r>
  <r>
    <s v="DTB-71371-705"/>
    <x v="539"/>
    <x v="1"/>
    <s v="July"/>
    <x v="0"/>
    <s v="48544-90737-AZ"/>
    <s v="L-D-1"/>
    <n v="1"/>
    <x v="886"/>
    <s v="cshaldersqx@cisco.com"/>
    <x v="120"/>
    <x v="0"/>
    <x v="3"/>
    <x v="2"/>
    <n v="1"/>
    <n v="12.95"/>
    <x v="2"/>
    <x v="0"/>
  </r>
  <r>
    <s v="ZDC-64769-740"/>
    <x v="676"/>
    <x v="4"/>
    <s v="September"/>
    <x v="0"/>
    <s v="79463-01597-FQ"/>
    <s v="E-M-0.5"/>
    <n v="1"/>
    <x v="887"/>
    <n v="0"/>
    <x v="279"/>
    <x v="0"/>
    <x v="1"/>
    <x v="0"/>
    <n v="0.5"/>
    <n v="8.25"/>
    <x v="112"/>
    <x v="0"/>
  </r>
  <r>
    <s v="TED-81959-419"/>
    <x v="677"/>
    <x v="3"/>
    <s v="August"/>
    <x v="0"/>
    <s v="27702-50024-XC"/>
    <s v="A-L-2.5"/>
    <n v="5"/>
    <x v="888"/>
    <s v="nfurberqz@jugem.jp"/>
    <x v="57"/>
    <x v="0"/>
    <x v="2"/>
    <x v="1"/>
    <n v="2.5"/>
    <n v="29.784999999999997"/>
    <x v="74"/>
    <x v="2"/>
  </r>
  <r>
    <s v="FDO-25756-141"/>
    <x v="629"/>
    <x v="5"/>
    <s v="August"/>
    <x v="1"/>
    <s v="57360-46846-NS"/>
    <s v="A-L-2.5"/>
    <n v="3"/>
    <x v="889"/>
    <n v="0"/>
    <x v="324"/>
    <x v="1"/>
    <x v="2"/>
    <x v="1"/>
    <n v="2.5"/>
    <n v="29.784999999999997"/>
    <x v="49"/>
    <x v="1"/>
  </r>
  <r>
    <s v="HKN-31467-517"/>
    <x v="662"/>
    <x v="6"/>
    <s v="October"/>
    <x v="1"/>
    <s v="84045-66771-SL"/>
    <s v="L-M-1"/>
    <n v="6"/>
    <x v="890"/>
    <s v="ckeaver1@ucoz.com"/>
    <x v="48"/>
    <x v="0"/>
    <x v="3"/>
    <x v="0"/>
    <n v="1"/>
    <n v="14.55"/>
    <x v="75"/>
    <x v="1"/>
  </r>
  <r>
    <s v="POF-29666-012"/>
    <x v="102"/>
    <x v="3"/>
    <s v="April"/>
    <x v="0"/>
    <s v="46885-00260-TL"/>
    <s v="R-D-0.5"/>
    <n v="1"/>
    <x v="891"/>
    <s v="sroseboroughr2@virginia.edu"/>
    <x v="174"/>
    <x v="0"/>
    <x v="0"/>
    <x v="2"/>
    <n v="0.5"/>
    <n v="5.3699999999999992"/>
    <x v="147"/>
    <x v="0"/>
  </r>
  <r>
    <s v="IRX-59256-644"/>
    <x v="678"/>
    <x v="1"/>
    <s v="December"/>
    <x v="1"/>
    <s v="96446-62142-EN"/>
    <s v="A-D-0.2"/>
    <n v="3"/>
    <x v="892"/>
    <s v="ckingwellr3@squarespace.com"/>
    <x v="369"/>
    <x v="1"/>
    <x v="2"/>
    <x v="2"/>
    <n v="0.2"/>
    <n v="2.9849999999999999"/>
    <x v="169"/>
    <x v="0"/>
  </r>
  <r>
    <s v="LTN-89139-350"/>
    <x v="679"/>
    <x v="0"/>
    <s v="June"/>
    <x v="0"/>
    <s v="07756-71018-GU"/>
    <s v="R-L-2.5"/>
    <n v="5"/>
    <x v="893"/>
    <s v="kcantor4@gmpg.org"/>
    <x v="51"/>
    <x v="0"/>
    <x v="0"/>
    <x v="1"/>
    <n v="2.5"/>
    <n v="27.484999999999996"/>
    <x v="187"/>
    <x v="2"/>
  </r>
  <r>
    <s v="TXF-79780-017"/>
    <x v="112"/>
    <x v="5"/>
    <s v="July"/>
    <x v="3"/>
    <s v="92048-47813-QB"/>
    <s v="R-L-1"/>
    <n v="5"/>
    <x v="894"/>
    <s v="mblakemorer5@nsw.gov.au"/>
    <x v="279"/>
    <x v="0"/>
    <x v="0"/>
    <x v="1"/>
    <n v="1"/>
    <n v="11.95"/>
    <x v="143"/>
    <x v="1"/>
  </r>
  <r>
    <s v="ALM-80762-974"/>
    <x v="55"/>
    <x v="3"/>
    <s v="March"/>
    <x v="3"/>
    <s v="84045-66771-SL"/>
    <s v="A-L-0.5"/>
    <n v="3"/>
    <x v="890"/>
    <s v="ckeaver1@ucoz.com"/>
    <x v="48"/>
    <x v="0"/>
    <x v="2"/>
    <x v="1"/>
    <n v="0.5"/>
    <n v="7.77"/>
    <x v="102"/>
    <x v="0"/>
  </r>
  <r>
    <s v="NXF-15738-707"/>
    <x v="680"/>
    <x v="6"/>
    <s v="January"/>
    <x v="3"/>
    <s v="28699-16256-XV"/>
    <s v="R-D-0.5"/>
    <n v="2"/>
    <x v="895"/>
    <n v="0"/>
    <x v="370"/>
    <x v="0"/>
    <x v="0"/>
    <x v="2"/>
    <n v="0.5"/>
    <n v="5.3699999999999992"/>
    <x v="175"/>
    <x v="0"/>
  </r>
  <r>
    <s v="MVV-19034-198"/>
    <x v="94"/>
    <x v="6"/>
    <s v="May"/>
    <x v="3"/>
    <s v="98476-63654-CG"/>
    <s v="E-D-2.5"/>
    <n v="6"/>
    <x v="896"/>
    <n v="0"/>
    <x v="238"/>
    <x v="0"/>
    <x v="1"/>
    <x v="2"/>
    <n v="2.5"/>
    <n v="27.945"/>
    <x v="164"/>
    <x v="2"/>
  </r>
  <r>
    <s v="KUX-19632-830"/>
    <x v="160"/>
    <x v="5"/>
    <s v="July"/>
    <x v="1"/>
    <s v="55409-07759-YG"/>
    <s v="E-D-0.2"/>
    <n v="6"/>
    <x v="897"/>
    <s v="cbernardotr9@wix.com"/>
    <x v="371"/>
    <x v="0"/>
    <x v="1"/>
    <x v="2"/>
    <n v="0.2"/>
    <n v="3.645"/>
    <x v="6"/>
    <x v="0"/>
  </r>
  <r>
    <s v="SNZ-44595-152"/>
    <x v="681"/>
    <x v="2"/>
    <s v="August"/>
    <x v="2"/>
    <s v="06136-65250-PG"/>
    <s v="R-L-1"/>
    <n v="2"/>
    <x v="898"/>
    <s v="kkemeryra@t.co"/>
    <x v="177"/>
    <x v="0"/>
    <x v="0"/>
    <x v="1"/>
    <n v="1"/>
    <n v="11.95"/>
    <x v="178"/>
    <x v="0"/>
  </r>
  <r>
    <s v="GQA-37241-629"/>
    <x v="502"/>
    <x v="1"/>
    <s v="January"/>
    <x v="3"/>
    <s v="08405-33165-BS"/>
    <s v="A-M-0.2"/>
    <n v="2"/>
    <x v="899"/>
    <s v="fparlotrb@forbes.com"/>
    <x v="61"/>
    <x v="0"/>
    <x v="2"/>
    <x v="0"/>
    <n v="0.2"/>
    <n v="3.375"/>
    <x v="52"/>
    <x v="0"/>
  </r>
  <r>
    <s v="WVV-79948-067"/>
    <x v="682"/>
    <x v="3"/>
    <s v="January"/>
    <x v="1"/>
    <s v="66070-30559-WI"/>
    <s v="E-M-2.5"/>
    <n v="1"/>
    <x v="900"/>
    <s v="rcheakrc@tripadvisor.com"/>
    <x v="372"/>
    <x v="1"/>
    <x v="1"/>
    <x v="0"/>
    <n v="2.5"/>
    <n v="31.624999999999996"/>
    <x v="176"/>
    <x v="0"/>
  </r>
  <r>
    <s v="LHX-81117-166"/>
    <x v="683"/>
    <x v="2"/>
    <s v="December"/>
    <x v="1"/>
    <s v="01282-28364-RZ"/>
    <s v="R-L-1"/>
    <n v="4"/>
    <x v="901"/>
    <s v="kogeneayrd@utexas.edu"/>
    <x v="24"/>
    <x v="0"/>
    <x v="0"/>
    <x v="1"/>
    <n v="1"/>
    <n v="11.95"/>
    <x v="62"/>
    <x v="0"/>
  </r>
  <r>
    <s v="GCD-75444-320"/>
    <x v="594"/>
    <x v="3"/>
    <s v="May"/>
    <x v="3"/>
    <s v="51277-93873-RP"/>
    <s v="L-M-2.5"/>
    <n v="1"/>
    <x v="902"/>
    <s v="cayrere@symantec.com"/>
    <x v="373"/>
    <x v="0"/>
    <x v="3"/>
    <x v="0"/>
    <n v="2.5"/>
    <n v="33.464999999999996"/>
    <x v="116"/>
    <x v="0"/>
  </r>
  <r>
    <s v="SGA-30059-217"/>
    <x v="389"/>
    <x v="4"/>
    <s v="February"/>
    <x v="1"/>
    <s v="84405-83364-DG"/>
    <s v="A-D-0.5"/>
    <n v="5"/>
    <x v="903"/>
    <s v="lkynetonrf@macromedia.com"/>
    <x v="258"/>
    <x v="2"/>
    <x v="2"/>
    <x v="2"/>
    <n v="0.5"/>
    <n v="5.97"/>
    <x v="44"/>
    <x v="0"/>
  </r>
  <r>
    <s v="GNL-98714-885"/>
    <x v="583"/>
    <x v="4"/>
    <s v="March"/>
    <x v="3"/>
    <s v="83731-53280-YC"/>
    <s v="R-M-1"/>
    <n v="3"/>
    <x v="904"/>
    <n v="0"/>
    <x v="374"/>
    <x v="2"/>
    <x v="0"/>
    <x v="0"/>
    <n v="1"/>
    <n v="9.9499999999999993"/>
    <x v="44"/>
    <x v="0"/>
  </r>
  <r>
    <s v="OQA-93249-841"/>
    <x v="647"/>
    <x v="2"/>
    <s v="April"/>
    <x v="0"/>
    <s v="03917-13632-KC"/>
    <s v="A-M-2.5"/>
    <n v="6"/>
    <x v="905"/>
    <n v="0"/>
    <x v="10"/>
    <x v="0"/>
    <x v="2"/>
    <x v="0"/>
    <n v="2.5"/>
    <n v="25.874999999999996"/>
    <x v="71"/>
    <x v="2"/>
  </r>
  <r>
    <s v="DUV-12075-132"/>
    <x v="366"/>
    <x v="3"/>
    <s v="June"/>
    <x v="2"/>
    <s v="62494-09113-RP"/>
    <s v="E-D-0.2"/>
    <n v="5"/>
    <x v="906"/>
    <n v="0"/>
    <x v="321"/>
    <x v="0"/>
    <x v="1"/>
    <x v="2"/>
    <n v="0.2"/>
    <n v="3.645"/>
    <x v="94"/>
    <x v="0"/>
  </r>
  <r>
    <s v="DUV-12075-132"/>
    <x v="366"/>
    <x v="3"/>
    <s v="June"/>
    <x v="2"/>
    <s v="62494-09113-RP"/>
    <s v="L-D-0.5"/>
    <n v="2"/>
    <x v="906"/>
    <n v="0"/>
    <x v="321"/>
    <x v="0"/>
    <x v="3"/>
    <x v="2"/>
    <n v="0.5"/>
    <n v="7.77"/>
    <x v="42"/>
    <x v="0"/>
  </r>
  <r>
    <s v="KPO-24942-184"/>
    <x v="684"/>
    <x v="6"/>
    <s v="March"/>
    <x v="1"/>
    <s v="70567-65133-CN"/>
    <s v="L-L-2.5"/>
    <n v="3"/>
    <x v="907"/>
    <n v="0"/>
    <x v="248"/>
    <x v="1"/>
    <x v="3"/>
    <x v="1"/>
    <n v="2.5"/>
    <n v="36.454999999999998"/>
    <x v="63"/>
    <x v="2"/>
  </r>
  <r>
    <s v="SRJ-79353-838"/>
    <x v="506"/>
    <x v="6"/>
    <s v="December"/>
    <x v="1"/>
    <s v="77869-81373-AY"/>
    <s v="A-L-1"/>
    <n v="6"/>
    <x v="908"/>
    <n v="0"/>
    <x v="11"/>
    <x v="0"/>
    <x v="2"/>
    <x v="1"/>
    <n v="1"/>
    <n v="12.95"/>
    <x v="17"/>
    <x v="1"/>
  </r>
  <r>
    <s v="XBV-40336-071"/>
    <x v="685"/>
    <x v="1"/>
    <s v="February"/>
    <x v="1"/>
    <s v="38536-98293-JZ"/>
    <s v="A-D-0.2"/>
    <n v="3"/>
    <x v="909"/>
    <n v="0"/>
    <x v="243"/>
    <x v="1"/>
    <x v="2"/>
    <x v="2"/>
    <n v="0.2"/>
    <n v="2.9849999999999999"/>
    <x v="169"/>
    <x v="0"/>
  </r>
  <r>
    <s v="RLM-96511-467"/>
    <x v="191"/>
    <x v="3"/>
    <s v="January"/>
    <x v="3"/>
    <s v="43014-53743-XK"/>
    <s v="R-L-2.5"/>
    <n v="1"/>
    <x v="910"/>
    <s v="jtewelsonrn@samsung.com"/>
    <x v="68"/>
    <x v="0"/>
    <x v="0"/>
    <x v="1"/>
    <n v="2.5"/>
    <n v="27.484999999999996"/>
    <x v="142"/>
    <x v="0"/>
  </r>
  <r>
    <s v="AEZ-13242-456"/>
    <x v="686"/>
    <x v="1"/>
    <s v="May"/>
    <x v="2"/>
    <s v="62494-09113-RP"/>
    <s v="R-M-0.5"/>
    <n v="5"/>
    <x v="906"/>
    <n v="0"/>
    <x v="321"/>
    <x v="0"/>
    <x v="0"/>
    <x v="0"/>
    <n v="0.5"/>
    <n v="5.97"/>
    <x v="44"/>
    <x v="0"/>
  </r>
  <r>
    <s v="UME-75640-698"/>
    <x v="687"/>
    <x v="2"/>
    <s v="October"/>
    <x v="0"/>
    <s v="62494-09113-RP"/>
    <s v="A-M-0.5"/>
    <n v="4"/>
    <x v="906"/>
    <n v="0"/>
    <x v="321"/>
    <x v="0"/>
    <x v="2"/>
    <x v="0"/>
    <n v="0.5"/>
    <n v="6.75"/>
    <x v="25"/>
    <x v="0"/>
  </r>
  <r>
    <s v="GJC-66474-557"/>
    <x v="629"/>
    <x v="5"/>
    <s v="August"/>
    <x v="1"/>
    <s v="64965-78386-MY"/>
    <s v="A-D-1"/>
    <n v="1"/>
    <x v="911"/>
    <s v="njennyrq@bigcartel.com"/>
    <x v="127"/>
    <x v="0"/>
    <x v="2"/>
    <x v="2"/>
    <n v="1"/>
    <n v="9.9499999999999993"/>
    <x v="138"/>
    <x v="0"/>
  </r>
  <r>
    <s v="IRV-20769-219"/>
    <x v="688"/>
    <x v="0"/>
    <s v="October"/>
    <x v="3"/>
    <s v="77131-58092-GE"/>
    <s v="E-M-0.2"/>
    <n v="3"/>
    <x v="912"/>
    <n v="0"/>
    <x v="282"/>
    <x v="2"/>
    <x v="1"/>
    <x v="0"/>
    <n v="0.2"/>
    <n v="4.125"/>
    <x v="2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4AB91-483E-47CA-BDB4-C02E7B8512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E9" firstHeaderRow="1" firstDataRow="2" firstDataCol="1"/>
  <pivotFields count="21">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8">
        <item x="6"/>
        <item x="3"/>
        <item x="5"/>
        <item x="1"/>
        <item x="0"/>
        <item x="2"/>
        <item x="4"/>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items count="4">
        <item x="1"/>
        <item x="2"/>
        <item x="0"/>
        <item t="default"/>
      </items>
    </pivotField>
    <pivotField axis="axisRow" showAll="0">
      <items count="5">
        <item x="2"/>
        <item x="1"/>
        <item x="3"/>
        <item x="0"/>
        <item t="default"/>
      </items>
    </pivotField>
    <pivotField showAll="0">
      <items count="4">
        <item x="2"/>
        <item x="1"/>
        <item x="0"/>
        <item t="default"/>
      </items>
    </pivotField>
    <pivotField showAll="0"/>
    <pivotField showAll="0"/>
    <pivotField dataField="1"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axis="axisCol" showAll="0">
      <items count="4">
        <item x="2"/>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17"/>
  </colFields>
  <colItems count="4">
    <i>
      <x/>
    </i>
    <i>
      <x v="1"/>
    </i>
    <i>
      <x v="2"/>
    </i>
    <i t="grand">
      <x/>
    </i>
  </colItems>
  <dataFields count="1">
    <dataField name="Sum of Sales" fld="16" baseField="0" baseItem="0"/>
  </dataFields>
  <chartFormats count="7">
    <chartFormat chart="1" format="0" series="1">
      <pivotArea type="data" outline="0" fieldPosition="0">
        <references count="1">
          <reference field="4294967294" count="1" selected="0">
            <x v="0"/>
          </reference>
        </references>
      </pivotArea>
    </chartFormat>
    <chartFormat chart="1" format="197" series="1">
      <pivotArea type="data" outline="0" fieldPosition="0">
        <references count="2">
          <reference field="4294967294" count="1" selected="0">
            <x v="0"/>
          </reference>
          <reference field="17" count="1" selected="0">
            <x v="1"/>
          </reference>
        </references>
      </pivotArea>
    </chartFormat>
    <chartFormat chart="1" format="198" series="1">
      <pivotArea type="data" outline="0" fieldPosition="0">
        <references count="2">
          <reference field="4294967294" count="1" selected="0">
            <x v="0"/>
          </reference>
          <reference field="17" count="1" selected="0">
            <x v="2"/>
          </reference>
        </references>
      </pivotArea>
    </chartFormat>
    <chartFormat chart="1" format="199" series="1">
      <pivotArea type="data" outline="0" fieldPosition="0">
        <references count="2">
          <reference field="4294967294" count="1" selected="0">
            <x v="0"/>
          </reference>
          <reference field="17" count="1" selected="0">
            <x v="0"/>
          </reference>
        </references>
      </pivotArea>
    </chartFormat>
    <chartFormat chart="13" format="203" series="1">
      <pivotArea type="data" outline="0" fieldPosition="0">
        <references count="2">
          <reference field="4294967294" count="1" selected="0">
            <x v="0"/>
          </reference>
          <reference field="17" count="1" selected="0">
            <x v="0"/>
          </reference>
        </references>
      </pivotArea>
    </chartFormat>
    <chartFormat chart="13" format="204" series="1">
      <pivotArea type="data" outline="0" fieldPosition="0">
        <references count="2">
          <reference field="4294967294" count="1" selected="0">
            <x v="0"/>
          </reference>
          <reference field="17" count="1" selected="0">
            <x v="1"/>
          </reference>
        </references>
      </pivotArea>
    </chartFormat>
    <chartFormat chart="13" format="205" series="1">
      <pivotArea type="data" outline="0" fieldPosition="0">
        <references count="2">
          <reference field="4294967294" count="1" selected="0">
            <x v="0"/>
          </reference>
          <reference field="1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A73211-C921-4617-B600-D653202AB34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F9" firstHeaderRow="1" firstDataRow="2" firstDataCol="1"/>
  <pivotFields count="21">
    <pivotField showAll="0"/>
    <pivotField axis="axisRow"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8">
        <item x="6"/>
        <item x="3"/>
        <item x="5"/>
        <item x="1"/>
        <item x="0"/>
        <item x="2"/>
        <item x="4"/>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items count="4">
        <item x="1"/>
        <item x="2"/>
        <item x="0"/>
        <item t="default"/>
      </items>
    </pivotField>
    <pivotField axis="axisCol" showAll="0">
      <items count="5">
        <item x="2"/>
        <item x="1"/>
        <item x="3"/>
        <item x="0"/>
        <item t="default"/>
      </items>
    </pivotField>
    <pivotField showAll="0">
      <items count="4">
        <item x="2"/>
        <item x="1"/>
        <item x="0"/>
        <item t="default"/>
      </items>
    </pivotField>
    <pivotField showAll="0"/>
    <pivotField showAll="0"/>
    <pivotField dataField="1" showAll="0"/>
    <pivotField showAll="0">
      <items count="4">
        <item x="2"/>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0"/>
    <field x="19"/>
    <field x="18"/>
    <field x="1"/>
  </rowFields>
  <rowItems count="5">
    <i>
      <x v="1"/>
    </i>
    <i>
      <x v="2"/>
    </i>
    <i>
      <x v="3"/>
    </i>
    <i>
      <x v="4"/>
    </i>
    <i t="grand">
      <x/>
    </i>
  </rowItems>
  <colFields count="1">
    <field x="12"/>
  </colFields>
  <colItems count="5">
    <i>
      <x/>
    </i>
    <i>
      <x v="1"/>
    </i>
    <i>
      <x v="2"/>
    </i>
    <i>
      <x v="3"/>
    </i>
    <i t="grand">
      <x/>
    </i>
  </colItems>
  <dataFields count="1">
    <dataField name="Sum of Sales" fld="16" baseField="0" baseItem="0"/>
  </dataFields>
  <chartFormats count="9">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2">
          <reference field="4294967294" count="1" selected="0">
            <x v="0"/>
          </reference>
          <reference field="12" count="1" selected="0">
            <x v="3"/>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10" format="9" series="1">
      <pivotArea type="data" outline="0" fieldPosition="0">
        <references count="2">
          <reference field="4294967294" count="1" selected="0">
            <x v="0"/>
          </reference>
          <reference field="12" count="1" selected="0">
            <x v="0"/>
          </reference>
        </references>
      </pivotArea>
    </chartFormat>
    <chartFormat chart="10" format="10" series="1">
      <pivotArea type="data" outline="0" fieldPosition="0">
        <references count="2">
          <reference field="4294967294" count="1" selected="0">
            <x v="0"/>
          </reference>
          <reference field="12" count="1" selected="0">
            <x v="1"/>
          </reference>
        </references>
      </pivotArea>
    </chartFormat>
    <chartFormat chart="10" format="11" series="1">
      <pivotArea type="data" outline="0" fieldPosition="0">
        <references count="2">
          <reference field="4294967294" count="1" selected="0">
            <x v="0"/>
          </reference>
          <reference field="12" count="1" selected="0">
            <x v="2"/>
          </reference>
        </references>
      </pivotArea>
    </chartFormat>
    <chartFormat chart="10" format="12" series="1">
      <pivotArea type="data" outline="0" fieldPosition="0">
        <references count="2">
          <reference field="4294967294" count="1" selected="0">
            <x v="0"/>
          </reference>
          <reference field="12"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F5ADE2-0E00-4975-9E92-A7F5D0C709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21">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axis="axisRow" showAll="0">
      <items count="8">
        <item x="6"/>
        <item x="3"/>
        <item x="5"/>
        <item x="1"/>
        <item x="0"/>
        <item x="2"/>
        <item x="4"/>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4">
        <item x="2"/>
        <item x="1"/>
        <item x="0"/>
        <item t="default"/>
      </items>
    </pivotField>
    <pivotField showAll="0"/>
    <pivotField showAll="0"/>
    <pivotField dataField="1" showAll="0"/>
    <pivotField showAll="0">
      <items count="4">
        <item x="2"/>
        <item x="0"/>
        <item x="1"/>
        <item t="default"/>
      </items>
    </pivotField>
    <pivotField showAll="0" defaultSubtotal="0"/>
    <pivotField showAll="0" defaultSubtota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Average of Sales" fld="16" subtotal="average"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64197C-385C-4EDB-B6E9-DDC8E86A9A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1">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8">
        <item x="6"/>
        <item x="3"/>
        <item x="5"/>
        <item x="1"/>
        <item x="0"/>
        <item x="2"/>
        <item x="4"/>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4">
        <item x="2"/>
        <item x="1"/>
        <item x="0"/>
        <item t="default"/>
      </items>
    </pivotField>
    <pivotField showAll="0"/>
    <pivotField showAll="0"/>
    <pivotField dataField="1" showAll="0"/>
    <pivotField axis="axisRow" showAll="0">
      <items count="4">
        <item x="2"/>
        <item x="0"/>
        <item x="1"/>
        <item t="default"/>
      </items>
    </pivotField>
    <pivotField showAll="0" defaultSubtotal="0"/>
    <pivotField showAll="0" defaultSubtotal="0"/>
    <pivotField showAll="0" defaultSubtotal="0">
      <items count="6">
        <item x="0"/>
        <item x="1"/>
        <item x="2"/>
        <item x="3"/>
        <item x="4"/>
        <item x="5"/>
      </items>
    </pivotField>
  </pivotFields>
  <rowFields count="1">
    <field x="17"/>
  </rowFields>
  <rowItems count="4">
    <i>
      <x/>
    </i>
    <i>
      <x v="1"/>
    </i>
    <i>
      <x v="2"/>
    </i>
    <i t="grand">
      <x/>
    </i>
  </rowItems>
  <colItems count="1">
    <i/>
  </colItems>
  <dataFields count="1">
    <dataField name="Sum of Sales" fld="16" baseField="0" baseItem="0"/>
  </dataFields>
  <chartFormats count="8">
    <chartFormat chart="1"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7" count="1" selected="0">
            <x v="0"/>
          </reference>
        </references>
      </pivotArea>
    </chartFormat>
    <chartFormat chart="9" format="7">
      <pivotArea type="data" outline="0" fieldPosition="0">
        <references count="2">
          <reference field="4294967294" count="1" selected="0">
            <x v="0"/>
          </reference>
          <reference field="17" count="1" selected="0">
            <x v="1"/>
          </reference>
        </references>
      </pivotArea>
    </chartFormat>
    <chartFormat chart="9" format="8">
      <pivotArea type="data" outline="0" fieldPosition="0">
        <references count="2">
          <reference field="4294967294" count="1" selected="0">
            <x v="0"/>
          </reference>
          <reference field="17" count="1" selected="0">
            <x v="2"/>
          </reference>
        </references>
      </pivotArea>
    </chartFormat>
    <chartFormat chart="1" format="1">
      <pivotArea type="data" outline="0" fieldPosition="0">
        <references count="2">
          <reference field="4294967294" count="1" selected="0">
            <x v="0"/>
          </reference>
          <reference field="17" count="1" selected="0">
            <x v="1"/>
          </reference>
        </references>
      </pivotArea>
    </chartFormat>
    <chartFormat chart="1" format="4">
      <pivotArea type="data" outline="0" fieldPosition="0">
        <references count="2">
          <reference field="4294967294" count="1" selected="0">
            <x v="0"/>
          </reference>
          <reference field="17" count="1" selected="0">
            <x v="0"/>
          </reference>
        </references>
      </pivotArea>
    </chartFormat>
    <chartFormat chart="1" format="5">
      <pivotArea type="data" outline="0" fieldPosition="0">
        <references count="2">
          <reference field="4294967294" count="1" selected="0">
            <x v="0"/>
          </reference>
          <reference field="1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8EB0AA-137B-4B36-974E-8E7E0C0A13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1">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8">
        <item x="6"/>
        <item x="3"/>
        <item x="5"/>
        <item x="1"/>
        <item x="0"/>
        <item x="2"/>
        <item x="4"/>
        <item t="default"/>
      </items>
    </pivotField>
    <pivotField showAll="0"/>
    <pivotField showAll="0">
      <items count="5">
        <item x="0"/>
        <item x="3"/>
        <item x="1"/>
        <item x="2"/>
        <item t="default"/>
      </items>
    </pivotField>
    <pivotField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axis="axisRow" showAll="0">
      <items count="4">
        <item x="2"/>
        <item x="1"/>
        <item x="0"/>
        <item t="default"/>
      </items>
    </pivotField>
    <pivotField showAll="0"/>
    <pivotField showAll="0"/>
    <pivotField dataField="1" showAll="0"/>
    <pivotField showAll="0">
      <items count="4">
        <item x="2"/>
        <item x="0"/>
        <item x="1"/>
        <item t="default"/>
      </items>
    </pivotField>
    <pivotField showAll="0" defaultSubtotal="0"/>
    <pivotField showAll="0" defaultSubtotal="0"/>
    <pivotField showAll="0" defaultSubtotal="0">
      <items count="6">
        <item x="0"/>
        <item x="1"/>
        <item x="2"/>
        <item x="3"/>
        <item x="4"/>
        <item x="5"/>
      </items>
    </pivotField>
  </pivotFields>
  <rowFields count="1">
    <field x="13"/>
  </rowFields>
  <rowItems count="4">
    <i>
      <x/>
    </i>
    <i>
      <x v="1"/>
    </i>
    <i>
      <x v="2"/>
    </i>
    <i t="grand">
      <x/>
    </i>
  </rowItems>
  <colItems count="1">
    <i/>
  </colItems>
  <dataFields count="1">
    <dataField name="Sum of Sales" fld="16" baseField="0" baseItem="0"/>
  </dataFields>
  <chartFormats count="12">
    <chartFormat chart="1"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3" count="1" selected="0">
            <x v="0"/>
          </reference>
        </references>
      </pivotArea>
    </chartFormat>
    <chartFormat chart="10" format="3">
      <pivotArea type="data" outline="0" fieldPosition="0">
        <references count="2">
          <reference field="4294967294" count="1" selected="0">
            <x v="0"/>
          </reference>
          <reference field="13" count="1" selected="0">
            <x v="1"/>
          </reference>
        </references>
      </pivotArea>
    </chartFormat>
    <chartFormat chart="10" format="4">
      <pivotArea type="data" outline="0" fieldPosition="0">
        <references count="2">
          <reference field="4294967294" count="1" selected="0">
            <x v="0"/>
          </reference>
          <reference field="13"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3" count="1" selected="0">
            <x v="0"/>
          </reference>
        </references>
      </pivotArea>
    </chartFormat>
    <chartFormat chart="11" format="7">
      <pivotArea type="data" outline="0" fieldPosition="0">
        <references count="2">
          <reference field="4294967294" count="1" selected="0">
            <x v="0"/>
          </reference>
          <reference field="13" count="1" selected="0">
            <x v="1"/>
          </reference>
        </references>
      </pivotArea>
    </chartFormat>
    <chartFormat chart="11" format="8">
      <pivotArea type="data" outline="0" fieldPosition="0">
        <references count="2">
          <reference field="4294967294" count="1" selected="0">
            <x v="0"/>
          </reference>
          <reference field="13" count="1" selected="0">
            <x v="2"/>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4B44EF-A0AE-45E2-B228-5D510E09B2F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1">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8">
        <item x="6"/>
        <item x="3"/>
        <item x="5"/>
        <item x="1"/>
        <item x="0"/>
        <item x="2"/>
        <item x="4"/>
        <item t="default"/>
      </items>
    </pivotField>
    <pivotField showAll="0"/>
    <pivotField showAll="0">
      <items count="5">
        <item x="0"/>
        <item x="3"/>
        <item x="1"/>
        <item x="2"/>
        <item t="default"/>
      </items>
    </pivotField>
    <pivotField showAll="0"/>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1"/>
        <item x="2"/>
        <item x="0"/>
        <item t="default"/>
      </items>
    </pivotField>
    <pivotField showAll="0">
      <items count="5">
        <item x="2"/>
        <item x="1"/>
        <item x="3"/>
        <item x="0"/>
        <item t="default"/>
      </items>
    </pivotField>
    <pivotField showAll="0">
      <items count="4">
        <item x="2"/>
        <item x="1"/>
        <item x="0"/>
        <item t="default"/>
      </items>
    </pivotField>
    <pivotField showAll="0"/>
    <pivotField showAll="0"/>
    <pivotField dataField="1" showAll="0"/>
    <pivotField showAll="0">
      <items count="4">
        <item x="2"/>
        <item x="0"/>
        <item x="1"/>
        <item t="default"/>
      </items>
    </pivotField>
    <pivotField showAll="0" defaultSubtotal="0"/>
    <pivotField showAll="0" defaultSubtotal="0"/>
    <pivotField showAll="0" defaultSubtotal="0">
      <items count="6">
        <item x="0"/>
        <item x="1"/>
        <item x="2"/>
        <item x="3"/>
        <item x="4"/>
        <item x="5"/>
      </items>
    </pivotField>
  </pivotFields>
  <rowFields count="1">
    <field x="8"/>
  </rowFields>
  <rowItems count="6">
    <i>
      <x v="28"/>
    </i>
    <i>
      <x v="125"/>
    </i>
    <i>
      <x v="831"/>
    </i>
    <i>
      <x v="646"/>
    </i>
    <i>
      <x v="255"/>
    </i>
    <i t="grand">
      <x/>
    </i>
  </rowItems>
  <colItems count="1">
    <i/>
  </colItems>
  <dataFields count="1">
    <dataField name="Sum of Sales" fld="16"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8C3EDB-54FD-433F-843D-20136FF78C5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1">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8">
        <item x="6"/>
        <item x="3"/>
        <item x="5"/>
        <item x="1"/>
        <item x="0"/>
        <item x="2"/>
        <item x="4"/>
        <item t="default"/>
      </items>
    </pivotField>
    <pivotField showAll="0"/>
    <pivotField showAll="0">
      <items count="5">
        <item x="0"/>
        <item x="3"/>
        <item x="1"/>
        <item x="2"/>
        <item t="default"/>
      </items>
    </pivotField>
    <pivotField showAll="0"/>
    <pivotField showAll="0"/>
    <pivotField showAll="0"/>
    <pivotField showAll="0"/>
    <pivotField showAll="0"/>
    <pivotField axis="axisRow" showAll="0" measureFilter="1" sortType="descending">
      <items count="37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106"/>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items count="5">
        <item x="2"/>
        <item x="1"/>
        <item x="3"/>
        <item x="0"/>
        <item t="default"/>
      </items>
    </pivotField>
    <pivotField showAll="0">
      <items count="4">
        <item x="2"/>
        <item x="1"/>
        <item x="0"/>
        <item t="default"/>
      </items>
    </pivotField>
    <pivotField showAll="0"/>
    <pivotField showAll="0"/>
    <pivotField dataField="1" showAll="0"/>
    <pivotField showAll="0">
      <items count="4">
        <item x="2"/>
        <item x="0"/>
        <item x="1"/>
        <item t="default"/>
      </items>
    </pivotField>
    <pivotField showAll="0" defaultSubtotal="0"/>
    <pivotField showAll="0" defaultSubtotal="0"/>
    <pivotField showAll="0" defaultSubtotal="0">
      <items count="6">
        <item x="0"/>
        <item x="1"/>
        <item x="2"/>
        <item x="3"/>
        <item x="4"/>
        <item x="5"/>
      </items>
    </pivotField>
  </pivotFields>
  <rowFields count="1">
    <field x="10"/>
  </rowFields>
  <rowItems count="6">
    <i>
      <x v="359"/>
    </i>
    <i>
      <x v="160"/>
    </i>
    <i>
      <x v="340"/>
    </i>
    <i>
      <x v="250"/>
    </i>
    <i>
      <x v="295"/>
    </i>
    <i t="grand">
      <x/>
    </i>
  </rowItems>
  <colItems count="1">
    <i/>
  </colItems>
  <dataFields count="1">
    <dataField name="Sum of Sales" fld="1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7AE87C-32DC-481E-AF25-090FE4262E1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pivotFields count="21">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8">
        <item x="6"/>
        <item x="3"/>
        <item x="5"/>
        <item x="1"/>
        <item x="0"/>
        <item x="2"/>
        <item x="4"/>
        <item t="default"/>
      </items>
    </pivotField>
    <pivotField showAll="0"/>
    <pivotField showAll="0">
      <items count="5">
        <item x="0"/>
        <item x="3"/>
        <item x="1"/>
        <item x="2"/>
        <item t="default"/>
      </items>
    </pivotField>
    <pivotField showAll="0"/>
    <pivotField showAll="0"/>
    <pivotField dataField="1" showAll="0"/>
    <pivotField showAll="0"/>
    <pivotField showAll="0"/>
    <pivotField showAll="0"/>
    <pivotField showAll="0">
      <items count="4">
        <item x="1"/>
        <item x="2"/>
        <item x="0"/>
        <item t="default"/>
      </items>
    </pivotField>
    <pivotField axis="axisRow" showAll="0">
      <items count="5">
        <item x="2"/>
        <item x="1"/>
        <item x="3"/>
        <item x="0"/>
        <item t="default"/>
      </items>
    </pivotField>
    <pivotField showAll="0">
      <items count="4">
        <item x="2"/>
        <item x="1"/>
        <item x="0"/>
        <item t="default"/>
      </items>
    </pivotField>
    <pivotField showAll="0"/>
    <pivotField showAll="0"/>
    <pivotField dataField="1" showAll="0"/>
    <pivotField showAll="0">
      <items count="4">
        <item x="2"/>
        <item x="0"/>
        <item x="1"/>
        <item t="default"/>
      </items>
    </pivotField>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2"/>
  </colFields>
  <colItems count="2">
    <i>
      <x/>
    </i>
    <i i="1">
      <x v="1"/>
    </i>
  </colItems>
  <dataFields count="2">
    <dataField name="Sum of Sales" fld="16" baseField="0" baseItem="0"/>
    <dataField name="Sum of Quantity" fld="7" baseField="0" baseItem="0"/>
  </dataFields>
  <chartFormats count="2">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C611E641-9984-4B59-9AFA-2627CC8994AE}" sourceName="Weekday">
  <pivotTables>
    <pivotTable tabId="19" name="PivotTable2"/>
    <pivotTable tabId="20" name="PivotTable3"/>
    <pivotTable tabId="25" name="PivotTable8"/>
    <pivotTable tabId="18" name="PivotTable1"/>
    <pivotTable tabId="22" name="PivotTable5"/>
    <pivotTable tabId="21" name="PivotTable4"/>
    <pivotTable tabId="24" name="PivotTable7"/>
    <pivotTable tabId="23" name="PivotTable6"/>
  </pivotTables>
  <data>
    <tabular pivotCacheId="586731484">
      <items count="7">
        <i x="6" s="1"/>
        <i x="3" s="1"/>
        <i x="5"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EDD78CE-85F9-4ED2-8AA6-58B85B0E811E}" sourceName="Year">
  <pivotTables>
    <pivotTable tabId="19" name="PivotTable2"/>
    <pivotTable tabId="20" name="PivotTable3"/>
    <pivotTable tabId="25" name="PivotTable8"/>
    <pivotTable tabId="18" name="PivotTable1"/>
    <pivotTable tabId="22" name="PivotTable5"/>
    <pivotTable tabId="21" name="PivotTable4"/>
    <pivotTable tabId="24" name="PivotTable7"/>
    <pivotTable tabId="23" name="PivotTable6"/>
  </pivotTables>
  <data>
    <tabular pivotCacheId="586731484">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3A4373-016B-4CCA-A467-C9D7C99CFC28}" sourceName="Country">
  <pivotTables>
    <pivotTable tabId="19" name="PivotTable2"/>
    <pivotTable tabId="20" name="PivotTable3"/>
    <pivotTable tabId="25" name="PivotTable8"/>
    <pivotTable tabId="18" name="PivotTable1"/>
    <pivotTable tabId="22" name="PivotTable5"/>
    <pivotTable tabId="21" name="PivotTable4"/>
    <pivotTable tabId="24" name="PivotTable7"/>
    <pivotTable tabId="23" name="PivotTable6"/>
  </pivotTables>
  <data>
    <tabular pivotCacheId="58673148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64BE8816-06DA-46D7-A8CB-451AC725E695}" sourceName="Coffee Type">
  <pivotTables>
    <pivotTable tabId="19" name="PivotTable2"/>
    <pivotTable tabId="20" name="PivotTable3"/>
    <pivotTable tabId="25" name="PivotTable8"/>
    <pivotTable tabId="18" name="PivotTable1"/>
    <pivotTable tabId="22" name="PivotTable5"/>
    <pivotTable tabId="21" name="PivotTable4"/>
    <pivotTable tabId="24" name="PivotTable7"/>
    <pivotTable tabId="23" name="PivotTable6"/>
  </pivotTables>
  <data>
    <tabular pivotCacheId="586731484">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5E06CB8D-59C0-4EDD-BB1C-F31D4FB90A12}" sourceName="Roast Type">
  <pivotTables>
    <pivotTable tabId="19" name="PivotTable2"/>
    <pivotTable tabId="20" name="PivotTable3"/>
    <pivotTable tabId="25" name="PivotTable8"/>
    <pivotTable tabId="18" name="PivotTable1"/>
    <pivotTable tabId="22" name="PivotTable5"/>
    <pivotTable tabId="21" name="PivotTable4"/>
    <pivotTable tabId="24" name="PivotTable7"/>
    <pivotTable tabId="23" name="PivotTable6"/>
  </pivotTables>
  <data>
    <tabular pivotCacheId="586731484">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ategory" xr10:uid="{A4A616A0-3307-478E-A701-22A7A57B6563}" sourceName="Sales Category">
  <pivotTables>
    <pivotTable tabId="19" name="PivotTable2"/>
    <pivotTable tabId="20" name="PivotTable3"/>
    <pivotTable tabId="25" name="PivotTable8"/>
    <pivotTable tabId="18" name="PivotTable1"/>
    <pivotTable tabId="22" name="PivotTable5"/>
    <pivotTable tabId="21" name="PivotTable4"/>
    <pivotTable tabId="24" name="PivotTable7"/>
    <pivotTable tabId="23" name="PivotTable6"/>
  </pivotTables>
  <data>
    <tabular pivotCacheId="58673148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 xr10:uid="{0CCC5E07-0D60-4D3D-811E-58E0C06A74DB}" cache="Slicer_Weekday" caption="Weekday" rowHeight="241300"/>
  <slicer name="Year" xr10:uid="{16D846D2-EBCF-429E-8059-DAC2F2CFBCE2}" cache="Slicer_Year" caption="Year" rowHeight="241300"/>
  <slicer name="Country" xr10:uid="{96C9DBA3-865C-4F5E-90AF-DF9F5FB16B8E}" cache="Slicer_Country" caption="Country" rowHeight="241300"/>
  <slicer name="Coffee Type" xr10:uid="{C83A1B75-58FC-4C09-B605-EF580925F4C9}" cache="Slicer_Coffee_Type" caption="Coffee Type" rowHeight="241300"/>
  <slicer name="Roast Type" xr10:uid="{A4DF1BEA-9A7B-46D0-9C20-28434C212C61}" cache="Slicer_Roast_Type" caption="Roast Type" rowHeight="241300"/>
  <slicer name="Sales Category" xr10:uid="{89AF3B6E-109B-4D88-924A-9A4FE7F6A1EE}" cache="Slicer_Sales_Category" caption="Sales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68BC7-0387-42A8-B719-9098CD013D40}" name="Table1" displayName="Table1" ref="A1:R1001" totalsRowShown="0" headerRowDxfId="11">
  <autoFilter ref="A1:R1001" xr:uid="{97968BC7-0387-42A8-B719-9098CD013D40}"/>
  <tableColumns count="18">
    <tableColumn id="1" xr3:uid="{CB1DC402-0CBD-4FA4-9802-EC8ED307D6EB}" name="Order ID" dataDxfId="10"/>
    <tableColumn id="2" xr3:uid="{AB58436E-637E-4E58-8312-32D0CA0B7BBF}" name="Order Date" dataDxfId="9"/>
    <tableColumn id="3" xr3:uid="{8C49B403-FF94-4960-A847-EA841B61532F}" name="Weekday" dataDxfId="8">
      <calculatedColumnFormula>TEXT(B2,"DDDD")</calculatedColumnFormula>
    </tableColumn>
    <tableColumn id="4" xr3:uid="{758438EB-2154-4E8B-819F-2E2F95AA8F90}" name="Month" dataDxfId="7">
      <calculatedColumnFormula>TEXT(B2,"MMMM")</calculatedColumnFormula>
    </tableColumn>
    <tableColumn id="5" xr3:uid="{3F9B9A9A-1554-456B-977F-E6195E65E803}" name="Year" dataDxfId="6">
      <calculatedColumnFormula>TEXT(B2,"YYYY")</calculatedColumnFormula>
    </tableColumn>
    <tableColumn id="6" xr3:uid="{80539249-EDF2-41BA-9E27-EA830E86AC83}" name="Customer ID" dataDxfId="5"/>
    <tableColumn id="7" xr3:uid="{7939676B-9427-423A-8172-47FA27587729}" name="Product ID"/>
    <tableColumn id="8" xr3:uid="{22B0A1FA-84A4-426C-99B7-E60E747773FC}" name="Quantity" dataDxfId="4"/>
    <tableColumn id="9" xr3:uid="{EB5D4F60-E95F-4D3C-A243-43904C94FA7C}" name="Customer Name" dataDxfId="3">
      <calculatedColumnFormula>_xlfn.XLOOKUP(F2,customers!A:A,customers!B:B)</calculatedColumnFormula>
    </tableColumn>
    <tableColumn id="10" xr3:uid="{25ECB48A-6E28-45AF-AF9D-D122D11B3AA2}" name="Email" dataDxfId="2">
      <calculatedColumnFormula>_xlfn.XLOOKUP(F2,customers!A:A,customers!C:C)</calculatedColumnFormula>
    </tableColumn>
    <tableColumn id="11" xr3:uid="{378C08D7-76D6-45C0-87DA-CAA70B2C77B0}" name="city" dataDxfId="1">
      <calculatedColumnFormula>_xlfn.XLOOKUP(F2,customers!A:A,customers!F:F)</calculatedColumnFormula>
    </tableColumn>
    <tableColumn id="12" xr3:uid="{73F3D4BF-6113-4549-ABA8-5FC12B540C65}" name="Country" dataDxfId="0">
      <calculatedColumnFormula>_xlfn.XLOOKUP(F2,customers!A:A,customers!G:G)</calculatedColumnFormula>
    </tableColumn>
    <tableColumn id="13" xr3:uid="{F1B6742F-80B3-4C7B-8216-B3BA778EB414}" name="Coffee Type">
      <calculatedColumnFormula>_xlfn.XLOOKUP(G2,products!A:A,products!B:B)</calculatedColumnFormula>
    </tableColumn>
    <tableColumn id="14" xr3:uid="{314ED1E3-4219-493F-A7C2-90600C49AFD4}" name="Roast Type">
      <calculatedColumnFormula>_xlfn.XLOOKUP(G2,products!A:A,products!C:C)</calculatedColumnFormula>
    </tableColumn>
    <tableColumn id="15" xr3:uid="{19B20C73-60AC-4DF6-B8F6-7CCA93EB11D2}" name="Size">
      <calculatedColumnFormula>_xlfn.XLOOKUP(G2,products!A:A,products!D:D)</calculatedColumnFormula>
    </tableColumn>
    <tableColumn id="16" xr3:uid="{7F0CC868-044E-4F6F-A2D4-B1167661AF00}" name="Unit Price">
      <calculatedColumnFormula>_xlfn.XLOOKUP(G2,products!A:A,products!E:E)</calculatedColumnFormula>
    </tableColumn>
    <tableColumn id="17" xr3:uid="{282ECEAE-0187-4AFE-BB82-32ED5A5F7F1F}" name="Sales">
      <calculatedColumnFormula>P2*H2</calculatedColumnFormula>
    </tableColumn>
    <tableColumn id="18" xr3:uid="{52EF2314-9FE2-4CFD-AB39-E594A0684CAA}" name="Sales Category">
      <calculatedColumnFormula array="1">_xlfn.IFS(Q2&lt;=50,"low sales",Q2&lt;=100,"medium sales",Q2&gt;100,"High 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5C23-D261-4AAB-ACAF-B5983ADC2561}">
  <dimension ref="A1"/>
  <sheetViews>
    <sheetView tabSelected="1" topLeftCell="A3" zoomScale="61" zoomScaleNormal="95" workbookViewId="0">
      <selection activeCell="AA22" sqref="AA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C0F47-530B-4ED1-952F-827385390F36}">
  <dimension ref="A3:E9"/>
  <sheetViews>
    <sheetView zoomScale="85" zoomScaleNormal="85" workbookViewId="0">
      <selection activeCell="E19" sqref="E19"/>
    </sheetView>
  </sheetViews>
  <sheetFormatPr defaultRowHeight="14.5" x14ac:dyDescent="0.35"/>
  <cols>
    <col min="1" max="1" width="12.36328125" bestFit="1" customWidth="1"/>
    <col min="2" max="2" width="15.26953125" bestFit="1" customWidth="1"/>
    <col min="3" max="3" width="8.81640625" bestFit="1" customWidth="1"/>
    <col min="4" max="4" width="12.26953125" bestFit="1" customWidth="1"/>
    <col min="5" max="5" width="10.7265625" bestFit="1" customWidth="1"/>
    <col min="6" max="6" width="5.81640625" bestFit="1" customWidth="1"/>
    <col min="7" max="7" width="6.81640625" bestFit="1" customWidth="1"/>
    <col min="8" max="9" width="5.81640625" bestFit="1" customWidth="1"/>
    <col min="10" max="10" width="6.81640625" bestFit="1" customWidth="1"/>
    <col min="11" max="12" width="5.81640625" bestFit="1" customWidth="1"/>
    <col min="13" max="13" width="4.81640625" bestFit="1" customWidth="1"/>
    <col min="14" max="15" width="5.81640625" bestFit="1" customWidth="1"/>
    <col min="16" max="17" width="6.81640625" bestFit="1" customWidth="1"/>
    <col min="18" max="18" width="5.81640625" bestFit="1" customWidth="1"/>
    <col min="19" max="19" width="6.81640625" bestFit="1" customWidth="1"/>
    <col min="20" max="20" width="5.81640625" bestFit="1" customWidth="1"/>
    <col min="21" max="21" width="4.81640625" bestFit="1" customWidth="1"/>
    <col min="22" max="22" width="6.81640625" bestFit="1" customWidth="1"/>
    <col min="23" max="25" width="5.81640625" bestFit="1" customWidth="1"/>
    <col min="26" max="27" width="6.81640625" bestFit="1" customWidth="1"/>
    <col min="28" max="28" width="5.81640625" bestFit="1" customWidth="1"/>
    <col min="29" max="30" width="6.81640625" bestFit="1" customWidth="1"/>
    <col min="31" max="31" width="5.81640625" bestFit="1" customWidth="1"/>
    <col min="32" max="32" width="6.81640625" bestFit="1" customWidth="1"/>
    <col min="33" max="33" width="5.81640625" bestFit="1" customWidth="1"/>
    <col min="34" max="36" width="6.81640625" bestFit="1" customWidth="1"/>
    <col min="37" max="37" width="4.81640625" bestFit="1" customWidth="1"/>
    <col min="38" max="38" width="5.81640625" bestFit="1" customWidth="1"/>
    <col min="39" max="40" width="6.81640625" bestFit="1" customWidth="1"/>
    <col min="41" max="41" width="5.81640625" bestFit="1" customWidth="1"/>
    <col min="42" max="42" width="6.81640625" bestFit="1" customWidth="1"/>
    <col min="43" max="43" width="5.81640625" bestFit="1" customWidth="1"/>
    <col min="44" max="44" width="6.81640625" bestFit="1" customWidth="1"/>
    <col min="45" max="46" width="5.81640625" bestFit="1" customWidth="1"/>
    <col min="47" max="47" width="6.81640625" bestFit="1" customWidth="1"/>
    <col min="48" max="48" width="5.81640625" bestFit="1" customWidth="1"/>
    <col min="49" max="49" width="6.81640625" bestFit="1" customWidth="1"/>
    <col min="50" max="50" width="5.81640625" bestFit="1" customWidth="1"/>
    <col min="51" max="51" width="6.81640625" bestFit="1" customWidth="1"/>
    <col min="52" max="52" width="4.81640625" bestFit="1" customWidth="1"/>
    <col min="53" max="55" width="6.81640625" bestFit="1" customWidth="1"/>
    <col min="56" max="56" width="5.81640625" bestFit="1" customWidth="1"/>
    <col min="57" max="57" width="6.81640625" bestFit="1" customWidth="1"/>
    <col min="58" max="58" width="4.81640625" bestFit="1" customWidth="1"/>
    <col min="59" max="59" width="5.81640625" bestFit="1" customWidth="1"/>
    <col min="60" max="61" width="6.81640625" bestFit="1" customWidth="1"/>
    <col min="62" max="63" width="5.81640625" bestFit="1" customWidth="1"/>
    <col min="64" max="65" width="6.81640625" bestFit="1" customWidth="1"/>
    <col min="66" max="66" width="7.81640625" bestFit="1" customWidth="1"/>
    <col min="67" max="67" width="4.81640625" bestFit="1" customWidth="1"/>
    <col min="68" max="68" width="6.81640625" bestFit="1" customWidth="1"/>
    <col min="69" max="69" width="5.81640625" bestFit="1" customWidth="1"/>
    <col min="70" max="71" width="6.81640625" bestFit="1" customWidth="1"/>
    <col min="72" max="72" width="4.81640625" bestFit="1" customWidth="1"/>
    <col min="73" max="74" width="5.81640625" bestFit="1" customWidth="1"/>
    <col min="75" max="75" width="6.81640625" bestFit="1" customWidth="1"/>
    <col min="76" max="76" width="5.81640625" bestFit="1" customWidth="1"/>
    <col min="77" max="79" width="6.81640625" bestFit="1" customWidth="1"/>
    <col min="80" max="80" width="5.81640625" bestFit="1" customWidth="1"/>
    <col min="81" max="81" width="3.81640625" bestFit="1" customWidth="1"/>
    <col min="82" max="82" width="6.81640625" bestFit="1" customWidth="1"/>
    <col min="83" max="83" width="4.81640625" bestFit="1" customWidth="1"/>
    <col min="84" max="84" width="7.81640625" bestFit="1" customWidth="1"/>
    <col min="85" max="86" width="6.81640625" bestFit="1" customWidth="1"/>
    <col min="87" max="87" width="4.81640625" bestFit="1" customWidth="1"/>
    <col min="88" max="88" width="5.81640625" bestFit="1" customWidth="1"/>
    <col min="89" max="89" width="4.81640625" bestFit="1" customWidth="1"/>
    <col min="90" max="93" width="6.81640625" bestFit="1" customWidth="1"/>
    <col min="94" max="94" width="4.81640625" bestFit="1" customWidth="1"/>
    <col min="95" max="95" width="5.81640625" bestFit="1" customWidth="1"/>
    <col min="96" max="96" width="2.81640625" bestFit="1" customWidth="1"/>
    <col min="97" max="99" width="6.81640625" bestFit="1" customWidth="1"/>
    <col min="100" max="100" width="5.81640625" bestFit="1" customWidth="1"/>
    <col min="101" max="101" width="6.81640625" bestFit="1" customWidth="1"/>
    <col min="102" max="102" width="4.81640625" bestFit="1" customWidth="1"/>
    <col min="103" max="104" width="6.81640625" bestFit="1" customWidth="1"/>
    <col min="105" max="105" width="5.81640625" bestFit="1" customWidth="1"/>
    <col min="106" max="108" width="6.81640625" bestFit="1" customWidth="1"/>
    <col min="109" max="110" width="5.81640625" bestFit="1" customWidth="1"/>
    <col min="111" max="112" width="6.81640625" bestFit="1" customWidth="1"/>
    <col min="113" max="117" width="5.81640625" bestFit="1" customWidth="1"/>
    <col min="118" max="118" width="3.81640625" bestFit="1" customWidth="1"/>
    <col min="119" max="121" width="6.81640625" bestFit="1" customWidth="1"/>
    <col min="122" max="124" width="4.81640625" bestFit="1" customWidth="1"/>
    <col min="125" max="125" width="5.81640625" bestFit="1" customWidth="1"/>
    <col min="126" max="126" width="6.81640625" bestFit="1" customWidth="1"/>
    <col min="127" max="127" width="5.81640625" bestFit="1" customWidth="1"/>
    <col min="128" max="129" width="6.81640625" bestFit="1" customWidth="1"/>
    <col min="130" max="130" width="5.81640625" bestFit="1" customWidth="1"/>
    <col min="131" max="131" width="6.81640625" bestFit="1" customWidth="1"/>
    <col min="132" max="132" width="3.81640625" bestFit="1" customWidth="1"/>
    <col min="133" max="133" width="6.81640625" bestFit="1" customWidth="1"/>
    <col min="134" max="134" width="5.81640625" bestFit="1" customWidth="1"/>
    <col min="135" max="135" width="6.81640625" bestFit="1" customWidth="1"/>
    <col min="136" max="137" width="5.81640625" bestFit="1" customWidth="1"/>
    <col min="138" max="138" width="6.81640625" bestFit="1" customWidth="1"/>
    <col min="139" max="141" width="5.81640625" bestFit="1" customWidth="1"/>
    <col min="142" max="143" width="6.81640625" bestFit="1" customWidth="1"/>
    <col min="144" max="145" width="5.81640625" bestFit="1" customWidth="1"/>
    <col min="146" max="146" width="6.81640625" bestFit="1" customWidth="1"/>
    <col min="147" max="147" width="5.81640625" bestFit="1" customWidth="1"/>
    <col min="148" max="148" width="6.81640625" bestFit="1" customWidth="1"/>
    <col min="149" max="149" width="7.81640625" bestFit="1" customWidth="1"/>
    <col min="150" max="153" width="5.81640625" bestFit="1" customWidth="1"/>
    <col min="154" max="156" width="6.81640625" bestFit="1" customWidth="1"/>
    <col min="157" max="157" width="5.81640625" bestFit="1" customWidth="1"/>
    <col min="158" max="160" width="6.81640625" bestFit="1" customWidth="1"/>
    <col min="161" max="161" width="4.81640625" bestFit="1" customWidth="1"/>
    <col min="162" max="162" width="6.81640625" bestFit="1" customWidth="1"/>
    <col min="163" max="164" width="5.81640625" bestFit="1" customWidth="1"/>
    <col min="165" max="165" width="7.81640625" bestFit="1" customWidth="1"/>
    <col min="166" max="167" width="6.81640625" bestFit="1" customWidth="1"/>
    <col min="168" max="168" width="5.81640625" bestFit="1" customWidth="1"/>
    <col min="169" max="171" width="7.81640625" bestFit="1" customWidth="1"/>
    <col min="172" max="172" width="5.81640625" bestFit="1" customWidth="1"/>
    <col min="173" max="173" width="7.81640625" bestFit="1" customWidth="1"/>
    <col min="174" max="175" width="6.81640625" bestFit="1" customWidth="1"/>
    <col min="176" max="176" width="8.81640625" bestFit="1" customWidth="1"/>
    <col min="177" max="178" width="6.81640625" bestFit="1" customWidth="1"/>
    <col min="179" max="179" width="5.81640625" bestFit="1" customWidth="1"/>
    <col min="180" max="180" width="7.81640625" bestFit="1" customWidth="1"/>
    <col min="181" max="183" width="6.81640625" bestFit="1" customWidth="1"/>
    <col min="184" max="185" width="7.81640625" bestFit="1" customWidth="1"/>
    <col min="186" max="186" width="6.81640625" bestFit="1" customWidth="1"/>
    <col min="187" max="187" width="8.81640625" bestFit="1" customWidth="1"/>
    <col min="188" max="189" width="7.81640625" bestFit="1" customWidth="1"/>
    <col min="190" max="191" width="6.81640625" bestFit="1" customWidth="1"/>
    <col min="192" max="194" width="7.81640625" bestFit="1" customWidth="1"/>
    <col min="195" max="196" width="6.81640625" bestFit="1" customWidth="1"/>
    <col min="197" max="197" width="7.81640625" bestFit="1" customWidth="1"/>
    <col min="198" max="198" width="6.81640625" bestFit="1" customWidth="1"/>
    <col min="199" max="199" width="10.7265625" bestFit="1" customWidth="1"/>
  </cols>
  <sheetData>
    <row r="3" spans="1:5" x14ac:dyDescent="0.35">
      <c r="A3" s="4" t="s">
        <v>6203</v>
      </c>
      <c r="B3" s="4" t="s">
        <v>6204</v>
      </c>
    </row>
    <row r="4" spans="1:5" x14ac:dyDescent="0.35">
      <c r="A4" s="4" t="s">
        <v>6201</v>
      </c>
      <c r="B4" t="s">
        <v>6220</v>
      </c>
      <c r="C4" t="s">
        <v>6205</v>
      </c>
      <c r="D4" t="s">
        <v>6219</v>
      </c>
      <c r="E4" t="s">
        <v>6202</v>
      </c>
    </row>
    <row r="5" spans="1:5" x14ac:dyDescent="0.35">
      <c r="A5" s="5" t="s">
        <v>6193</v>
      </c>
      <c r="B5">
        <v>4605.0600000000013</v>
      </c>
      <c r="C5">
        <v>4006.2849999999985</v>
      </c>
      <c r="D5">
        <v>3157.15</v>
      </c>
      <c r="E5">
        <v>11768.494999999999</v>
      </c>
    </row>
    <row r="6" spans="1:5" x14ac:dyDescent="0.35">
      <c r="A6" s="5" t="s">
        <v>6194</v>
      </c>
      <c r="B6">
        <v>4645.1949999999988</v>
      </c>
      <c r="C6">
        <v>3635.1749999999988</v>
      </c>
      <c r="D6">
        <v>4026.0700000000006</v>
      </c>
      <c r="E6">
        <v>12306.439999999999</v>
      </c>
    </row>
    <row r="7" spans="1:5" x14ac:dyDescent="0.35">
      <c r="A7" s="5" t="s">
        <v>6195</v>
      </c>
      <c r="B7">
        <v>4524.5600000000004</v>
      </c>
      <c r="C7">
        <v>3984.9850000000015</v>
      </c>
      <c r="D7">
        <v>3544.5299999999988</v>
      </c>
      <c r="E7">
        <v>12054.075000000001</v>
      </c>
    </row>
    <row r="8" spans="1:5" x14ac:dyDescent="0.35">
      <c r="A8" s="5" t="s">
        <v>6192</v>
      </c>
      <c r="B8">
        <v>2596.0099999999998</v>
      </c>
      <c r="C8">
        <v>3916.1349999999993</v>
      </c>
      <c r="D8">
        <v>2493.1</v>
      </c>
      <c r="E8">
        <v>9005.244999999999</v>
      </c>
    </row>
    <row r="9" spans="1:5" x14ac:dyDescent="0.35">
      <c r="A9" s="5" t="s">
        <v>6202</v>
      </c>
      <c r="B9">
        <v>16370.825000000003</v>
      </c>
      <c r="C9">
        <v>15542.579999999998</v>
      </c>
      <c r="D9">
        <v>13220.85</v>
      </c>
      <c r="E9">
        <v>45134.25499999999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F6EBF-B079-416A-86FA-105D309A1157}">
  <dimension ref="A3:F9"/>
  <sheetViews>
    <sheetView workbookViewId="0">
      <selection activeCell="I22" sqref="I22"/>
    </sheetView>
  </sheetViews>
  <sheetFormatPr defaultRowHeight="14.5" x14ac:dyDescent="0.35"/>
  <cols>
    <col min="1" max="1" width="12.36328125" bestFit="1" customWidth="1"/>
    <col min="2" max="2" width="15.26953125" bestFit="1" customWidth="1"/>
    <col min="3" max="3" width="8.81640625" bestFit="1" customWidth="1"/>
    <col min="4" max="4" width="9.81640625" bestFit="1" customWidth="1"/>
    <col min="5" max="5" width="8.81640625" bestFit="1" customWidth="1"/>
    <col min="6" max="6" width="10.7265625" bestFit="1" customWidth="1"/>
  </cols>
  <sheetData>
    <row r="3" spans="1:6" x14ac:dyDescent="0.35">
      <c r="A3" s="4" t="s">
        <v>6203</v>
      </c>
      <c r="B3" s="4" t="s">
        <v>6204</v>
      </c>
    </row>
    <row r="4" spans="1:6" x14ac:dyDescent="0.35">
      <c r="A4" s="4" t="s">
        <v>6201</v>
      </c>
      <c r="B4" t="s">
        <v>6193</v>
      </c>
      <c r="C4" t="s">
        <v>6194</v>
      </c>
      <c r="D4" t="s">
        <v>6195</v>
      </c>
      <c r="E4" t="s">
        <v>6192</v>
      </c>
      <c r="F4" t="s">
        <v>6202</v>
      </c>
    </row>
    <row r="5" spans="1:6" x14ac:dyDescent="0.35">
      <c r="A5" s="5" t="s">
        <v>6206</v>
      </c>
      <c r="B5">
        <v>2926.63</v>
      </c>
      <c r="C5">
        <v>3481.46</v>
      </c>
      <c r="D5">
        <v>3378.0049999999987</v>
      </c>
      <c r="E5">
        <v>2401.0700000000006</v>
      </c>
      <c r="F5">
        <v>12187.165000000001</v>
      </c>
    </row>
    <row r="6" spans="1:6" x14ac:dyDescent="0.35">
      <c r="A6" s="5" t="s">
        <v>6207</v>
      </c>
      <c r="B6">
        <v>3356.415</v>
      </c>
      <c r="C6">
        <v>3663.4100000000008</v>
      </c>
      <c r="D6">
        <v>2604.4550000000004</v>
      </c>
      <c r="E6">
        <v>2493.2649999999994</v>
      </c>
      <c r="F6">
        <v>12117.545</v>
      </c>
    </row>
    <row r="7" spans="1:6" x14ac:dyDescent="0.35">
      <c r="A7" s="5" t="s">
        <v>6208</v>
      </c>
      <c r="B7">
        <v>4045.6299999999992</v>
      </c>
      <c r="C7">
        <v>3469.6399999999994</v>
      </c>
      <c r="D7">
        <v>3836.6950000000011</v>
      </c>
      <c r="E7">
        <v>2414.1449999999995</v>
      </c>
      <c r="F7">
        <v>13766.11</v>
      </c>
    </row>
    <row r="8" spans="1:6" x14ac:dyDescent="0.35">
      <c r="A8" s="5" t="s">
        <v>6209</v>
      </c>
      <c r="B8">
        <v>1439.82</v>
      </c>
      <c r="C8">
        <v>1691.9299999999996</v>
      </c>
      <c r="D8">
        <v>2234.92</v>
      </c>
      <c r="E8">
        <v>1696.7650000000001</v>
      </c>
      <c r="F8">
        <v>7063.4350000000004</v>
      </c>
    </row>
    <row r="9" spans="1:6" x14ac:dyDescent="0.35">
      <c r="A9" s="5" t="s">
        <v>6202</v>
      </c>
      <c r="B9">
        <v>11768.494999999999</v>
      </c>
      <c r="C9">
        <v>12306.44</v>
      </c>
      <c r="D9">
        <v>12054.075000000001</v>
      </c>
      <c r="E9">
        <v>9005.244999999999</v>
      </c>
      <c r="F9">
        <v>45134.254999999997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9E67-475C-45AB-BCFF-D87AB4E583ED}">
  <dimension ref="A3:B11"/>
  <sheetViews>
    <sheetView workbookViewId="0">
      <selection activeCell="B17" sqref="B17"/>
    </sheetView>
  </sheetViews>
  <sheetFormatPr defaultRowHeight="14.5" x14ac:dyDescent="0.35"/>
  <cols>
    <col min="1" max="1" width="12.36328125" bestFit="1" customWidth="1"/>
    <col min="2" max="2" width="14.453125" bestFit="1" customWidth="1"/>
  </cols>
  <sheetData>
    <row r="3" spans="1:2" x14ac:dyDescent="0.35">
      <c r="A3" s="4" t="s">
        <v>6201</v>
      </c>
      <c r="B3" t="s">
        <v>6217</v>
      </c>
    </row>
    <row r="4" spans="1:2" x14ac:dyDescent="0.35">
      <c r="A4" s="5" t="s">
        <v>6210</v>
      </c>
      <c r="B4">
        <v>51.116964285714261</v>
      </c>
    </row>
    <row r="5" spans="1:2" x14ac:dyDescent="0.35">
      <c r="A5" s="5" t="s">
        <v>6211</v>
      </c>
      <c r="B5">
        <v>43.564160583941636</v>
      </c>
    </row>
    <row r="6" spans="1:2" x14ac:dyDescent="0.35">
      <c r="A6" s="5" t="s">
        <v>6212</v>
      </c>
      <c r="B6">
        <v>38.503241379310339</v>
      </c>
    </row>
    <row r="7" spans="1:2" x14ac:dyDescent="0.35">
      <c r="A7" s="5" t="s">
        <v>6213</v>
      </c>
      <c r="B7">
        <v>44.909154929577475</v>
      </c>
    </row>
    <row r="8" spans="1:2" x14ac:dyDescent="0.35">
      <c r="A8" s="5" t="s">
        <v>6214</v>
      </c>
      <c r="B8">
        <v>45.741713286713292</v>
      </c>
    </row>
    <row r="9" spans="1:2" x14ac:dyDescent="0.35">
      <c r="A9" s="5" t="s">
        <v>6215</v>
      </c>
      <c r="B9">
        <v>45.94801886792456</v>
      </c>
    </row>
    <row r="10" spans="1:2" x14ac:dyDescent="0.35">
      <c r="A10" s="5" t="s">
        <v>6216</v>
      </c>
      <c r="B10">
        <v>46.288955223880592</v>
      </c>
    </row>
    <row r="11" spans="1:2" x14ac:dyDescent="0.35">
      <c r="A11" s="5" t="s">
        <v>6202</v>
      </c>
      <c r="B11">
        <v>45.134255000000046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187A-6143-46BA-BC2D-0199DC2A0365}">
  <dimension ref="A3:B7"/>
  <sheetViews>
    <sheetView workbookViewId="0">
      <selection activeCell="L12" sqref="L12"/>
    </sheetView>
  </sheetViews>
  <sheetFormatPr defaultRowHeight="14.5" x14ac:dyDescent="0.35"/>
  <cols>
    <col min="1" max="1" width="12.36328125" bestFit="1" customWidth="1"/>
    <col min="2" max="2" width="11.26953125" bestFit="1" customWidth="1"/>
  </cols>
  <sheetData>
    <row r="3" spans="1:2" x14ac:dyDescent="0.35">
      <c r="A3" s="4" t="s">
        <v>6201</v>
      </c>
      <c r="B3" t="s">
        <v>6203</v>
      </c>
    </row>
    <row r="4" spans="1:2" x14ac:dyDescent="0.35">
      <c r="A4" s="5" t="s">
        <v>6220</v>
      </c>
      <c r="B4">
        <v>16370.824999999983</v>
      </c>
    </row>
    <row r="5" spans="1:2" x14ac:dyDescent="0.35">
      <c r="A5" s="5" t="s">
        <v>6205</v>
      </c>
      <c r="B5">
        <v>15542.580000000013</v>
      </c>
    </row>
    <row r="6" spans="1:2" x14ac:dyDescent="0.35">
      <c r="A6" s="5" t="s">
        <v>6219</v>
      </c>
      <c r="B6">
        <v>13220.850000000002</v>
      </c>
    </row>
    <row r="7" spans="1:2" x14ac:dyDescent="0.35">
      <c r="A7" s="5" t="s">
        <v>6202</v>
      </c>
      <c r="B7">
        <v>45134.254999999997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EE7B2-C51E-4BFC-9D70-6CE59381AF61}">
  <dimension ref="A3:B7"/>
  <sheetViews>
    <sheetView workbookViewId="0">
      <selection activeCell="M16" sqref="M16"/>
    </sheetView>
  </sheetViews>
  <sheetFormatPr defaultRowHeight="14.5" x14ac:dyDescent="0.35"/>
  <cols>
    <col min="1" max="1" width="12.36328125" bestFit="1" customWidth="1"/>
    <col min="2" max="2" width="11.26953125" bestFit="1" customWidth="1"/>
  </cols>
  <sheetData>
    <row r="3" spans="1:2" x14ac:dyDescent="0.35">
      <c r="A3" s="4" t="s">
        <v>6201</v>
      </c>
      <c r="B3" t="s">
        <v>6203</v>
      </c>
    </row>
    <row r="4" spans="1:2" x14ac:dyDescent="0.35">
      <c r="A4" s="5" t="s">
        <v>6187</v>
      </c>
      <c r="B4">
        <v>13179.315000000013</v>
      </c>
    </row>
    <row r="5" spans="1:2" x14ac:dyDescent="0.35">
      <c r="A5" s="5" t="s">
        <v>6186</v>
      </c>
      <c r="B5">
        <v>17354.464999999993</v>
      </c>
    </row>
    <row r="6" spans="1:2" x14ac:dyDescent="0.35">
      <c r="A6" s="5" t="s">
        <v>6188</v>
      </c>
      <c r="B6">
        <v>14600.474999999995</v>
      </c>
    </row>
    <row r="7" spans="1:2" x14ac:dyDescent="0.35">
      <c r="A7" s="5" t="s">
        <v>6202</v>
      </c>
      <c r="B7">
        <v>45134.255000000005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781D3-E6E4-41F5-99C2-403BA00A3FF7}">
  <dimension ref="A3:B9"/>
  <sheetViews>
    <sheetView workbookViewId="0">
      <selection activeCell="J20" sqref="J20"/>
    </sheetView>
  </sheetViews>
  <sheetFormatPr defaultRowHeight="14.5" x14ac:dyDescent="0.35"/>
  <cols>
    <col min="1" max="1" width="15.6328125" bestFit="1" customWidth="1"/>
    <col min="2" max="2" width="11.26953125" bestFit="1" customWidth="1"/>
  </cols>
  <sheetData>
    <row r="3" spans="1:2" x14ac:dyDescent="0.35">
      <c r="A3" s="4" t="s">
        <v>6201</v>
      </c>
      <c r="B3" t="s">
        <v>6203</v>
      </c>
    </row>
    <row r="4" spans="1:2" x14ac:dyDescent="0.35">
      <c r="A4" s="5" t="s">
        <v>5114</v>
      </c>
      <c r="B4">
        <v>317.06999999999994</v>
      </c>
    </row>
    <row r="5" spans="1:2" x14ac:dyDescent="0.35">
      <c r="A5" s="5" t="s">
        <v>5765</v>
      </c>
      <c r="B5">
        <v>307.04499999999996</v>
      </c>
    </row>
    <row r="6" spans="1:2" x14ac:dyDescent="0.35">
      <c r="A6" s="5" t="s">
        <v>2587</v>
      </c>
      <c r="B6">
        <v>289.11</v>
      </c>
    </row>
    <row r="7" spans="1:2" x14ac:dyDescent="0.35">
      <c r="A7" s="5" t="s">
        <v>1598</v>
      </c>
      <c r="B7">
        <v>281.67499999999995</v>
      </c>
    </row>
    <row r="8" spans="1:2" x14ac:dyDescent="0.35">
      <c r="A8" s="5" t="s">
        <v>3753</v>
      </c>
      <c r="B8">
        <v>278.01</v>
      </c>
    </row>
    <row r="9" spans="1:2" x14ac:dyDescent="0.35">
      <c r="A9" s="5" t="s">
        <v>6202</v>
      </c>
      <c r="B9">
        <v>1472.9099999999999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D3E95-B30B-4CA3-8700-60C25CC0F8D6}">
  <dimension ref="A3:B9"/>
  <sheetViews>
    <sheetView workbookViewId="0">
      <selection activeCell="I22" sqref="I22"/>
    </sheetView>
  </sheetViews>
  <sheetFormatPr defaultRowHeight="14.5" x14ac:dyDescent="0.35"/>
  <cols>
    <col min="1" max="1" width="12.36328125" bestFit="1" customWidth="1"/>
    <col min="2" max="2" width="11.26953125" bestFit="1" customWidth="1"/>
  </cols>
  <sheetData>
    <row r="3" spans="1:2" x14ac:dyDescent="0.35">
      <c r="A3" s="4" t="s">
        <v>6201</v>
      </c>
      <c r="B3" t="s">
        <v>6203</v>
      </c>
    </row>
    <row r="4" spans="1:2" x14ac:dyDescent="0.35">
      <c r="A4" s="5" t="s">
        <v>47</v>
      </c>
      <c r="B4">
        <v>1066.92</v>
      </c>
    </row>
    <row r="5" spans="1:2" x14ac:dyDescent="0.35">
      <c r="A5" s="5" t="s">
        <v>63</v>
      </c>
      <c r="B5">
        <v>819.77</v>
      </c>
    </row>
    <row r="6" spans="1:2" x14ac:dyDescent="0.35">
      <c r="A6" s="5" t="s">
        <v>260</v>
      </c>
      <c r="B6">
        <v>774.18499999999995</v>
      </c>
    </row>
    <row r="7" spans="1:2" x14ac:dyDescent="0.35">
      <c r="A7" s="5" t="s">
        <v>57</v>
      </c>
      <c r="B7">
        <v>772.7349999999999</v>
      </c>
    </row>
    <row r="8" spans="1:2" x14ac:dyDescent="0.35">
      <c r="A8" s="5" t="s">
        <v>131</v>
      </c>
      <c r="B8">
        <v>627.74999999999989</v>
      </c>
    </row>
    <row r="9" spans="1:2" x14ac:dyDescent="0.35">
      <c r="A9" s="5" t="s">
        <v>6202</v>
      </c>
      <c r="B9">
        <v>4061.3599999999997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86408-4317-47F2-98EA-B93808C083DE}">
  <dimension ref="A3:C8"/>
  <sheetViews>
    <sheetView workbookViewId="0">
      <selection activeCell="J4" sqref="J4"/>
    </sheetView>
  </sheetViews>
  <sheetFormatPr defaultRowHeight="14.5" x14ac:dyDescent="0.35"/>
  <cols>
    <col min="1" max="1" width="12.36328125" bestFit="1" customWidth="1"/>
    <col min="2" max="2" width="11.26953125" bestFit="1" customWidth="1"/>
    <col min="3" max="3" width="14.54296875" bestFit="1" customWidth="1"/>
    <col min="4" max="4" width="9.81640625" bestFit="1" customWidth="1"/>
    <col min="5" max="5" width="10.7265625" bestFit="1" customWidth="1"/>
  </cols>
  <sheetData>
    <row r="3" spans="1:3" x14ac:dyDescent="0.35">
      <c r="A3" s="4" t="s">
        <v>6201</v>
      </c>
      <c r="B3" t="s">
        <v>6203</v>
      </c>
      <c r="C3" t="s">
        <v>6218</v>
      </c>
    </row>
    <row r="4" spans="1:3" x14ac:dyDescent="0.35">
      <c r="A4" s="5" t="s">
        <v>6193</v>
      </c>
      <c r="B4">
        <v>11768.494999999997</v>
      </c>
      <c r="C4">
        <v>947</v>
      </c>
    </row>
    <row r="5" spans="1:3" x14ac:dyDescent="0.35">
      <c r="A5" s="5" t="s">
        <v>6194</v>
      </c>
      <c r="B5">
        <v>12306.439999999995</v>
      </c>
      <c r="C5">
        <v>872</v>
      </c>
    </row>
    <row r="6" spans="1:3" x14ac:dyDescent="0.35">
      <c r="A6" s="5" t="s">
        <v>6195</v>
      </c>
      <c r="B6">
        <v>12054.074999999995</v>
      </c>
      <c r="C6">
        <v>854</v>
      </c>
    </row>
    <row r="7" spans="1:3" x14ac:dyDescent="0.35">
      <c r="A7" s="5" t="s">
        <v>6192</v>
      </c>
      <c r="B7">
        <v>9005.2450000000099</v>
      </c>
      <c r="C7">
        <v>878</v>
      </c>
    </row>
    <row r="8" spans="1:3" x14ac:dyDescent="0.35">
      <c r="A8" s="5" t="s">
        <v>6202</v>
      </c>
      <c r="B8">
        <v>45134.254999999997</v>
      </c>
      <c r="C8">
        <v>3551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opLeftCell="A2" zoomScaleNormal="100" workbookViewId="0">
      <selection activeCell="E15" sqref="E15"/>
    </sheetView>
  </sheetViews>
  <sheetFormatPr defaultRowHeight="14.5" x14ac:dyDescent="0.35"/>
  <cols>
    <col min="1" max="1" width="16.54296875" bestFit="1" customWidth="1"/>
    <col min="2" max="2" width="12.1796875" customWidth="1"/>
    <col min="3" max="5" width="11.81640625" customWidth="1"/>
    <col min="6" max="6" width="17.453125" bestFit="1" customWidth="1"/>
    <col min="7" max="7" width="11.7265625" customWidth="1"/>
    <col min="8" max="8" width="10.1796875" customWidth="1"/>
    <col min="9" max="9" width="22.1796875" bestFit="1" customWidth="1"/>
    <col min="10" max="10" width="36.1796875" bestFit="1" customWidth="1"/>
    <col min="11" max="11" width="19.1796875" bestFit="1" customWidth="1"/>
    <col min="12" max="12" width="14.1796875" bestFit="1" customWidth="1"/>
    <col min="13" max="13" width="13" bestFit="1" customWidth="1"/>
    <col min="14" max="14" width="12.1796875" bestFit="1" customWidth="1"/>
    <col min="15" max="15" width="6.26953125" bestFit="1" customWidth="1"/>
    <col min="16" max="16" width="11" bestFit="1" customWidth="1"/>
    <col min="17" max="17" width="7.26953125" bestFit="1" customWidth="1"/>
    <col min="18" max="18" width="14.90625" customWidth="1"/>
  </cols>
  <sheetData>
    <row r="1" spans="1:18" x14ac:dyDescent="0.35">
      <c r="A1" s="2" t="s">
        <v>0</v>
      </c>
      <c r="B1" s="2" t="s">
        <v>1</v>
      </c>
      <c r="C1" s="2" t="s">
        <v>6197</v>
      </c>
      <c r="D1" s="2" t="s">
        <v>6198</v>
      </c>
      <c r="E1" s="2" t="s">
        <v>6199</v>
      </c>
      <c r="F1" s="2" t="s">
        <v>3</v>
      </c>
      <c r="G1" s="2" t="s">
        <v>11</v>
      </c>
      <c r="H1" s="2" t="s">
        <v>14</v>
      </c>
      <c r="I1" s="2" t="s">
        <v>4</v>
      </c>
      <c r="J1" s="2" t="s">
        <v>2</v>
      </c>
      <c r="K1" s="2" t="s">
        <v>6196</v>
      </c>
      <c r="L1" s="2" t="s">
        <v>7</v>
      </c>
      <c r="M1" s="2" t="s">
        <v>9</v>
      </c>
      <c r="N1" s="2" t="s">
        <v>10</v>
      </c>
      <c r="O1" s="2" t="s">
        <v>12</v>
      </c>
      <c r="P1" s="2" t="s">
        <v>13</v>
      </c>
      <c r="Q1" s="2" t="s">
        <v>15</v>
      </c>
      <c r="R1" s="2" t="s">
        <v>6200</v>
      </c>
    </row>
    <row r="2" spans="1:18" x14ac:dyDescent="0.35">
      <c r="A2" s="2" t="s">
        <v>490</v>
      </c>
      <c r="B2" s="3">
        <v>43713</v>
      </c>
      <c r="C2" s="3" t="str">
        <f>TEXT(B2,"DDDD")</f>
        <v>Thursday</v>
      </c>
      <c r="D2" s="3" t="str">
        <f>TEXT(B2,"MMMM")</f>
        <v>September</v>
      </c>
      <c r="E2" s="3" t="str">
        <f>TEXT(B2,"YYYY")</f>
        <v>2019</v>
      </c>
      <c r="F2" s="2" t="s">
        <v>491</v>
      </c>
      <c r="G2" t="s">
        <v>6138</v>
      </c>
      <c r="H2" s="2">
        <v>2</v>
      </c>
      <c r="I2" s="2" t="str">
        <f>_xlfn.XLOOKUP(F2,customers!A:A,customers!B:B)</f>
        <v>Aloisia Allner</v>
      </c>
      <c r="J2" s="2" t="str">
        <f>_xlfn.XLOOKUP(F2,customers!A:A,customers!C:C)</f>
        <v>aallner0@lulu.com</v>
      </c>
      <c r="K2" s="2" t="str">
        <f>_xlfn.XLOOKUP(F2,customers!A:A,customers!F:F)</f>
        <v>Paterson</v>
      </c>
      <c r="L2" s="2" t="str">
        <f>_xlfn.XLOOKUP(F2,customers!A:A,customers!G:G)</f>
        <v>United States</v>
      </c>
      <c r="M2" t="str">
        <f>_xlfn.XLOOKUP(G2,products!A:A,products!B:B)</f>
        <v>Rob</v>
      </c>
      <c r="N2" t="str">
        <f>_xlfn.XLOOKUP(G2,products!A:A,products!C:C)</f>
        <v>M</v>
      </c>
      <c r="O2">
        <f>_xlfn.XLOOKUP(G2,products!A:A,products!D:D)</f>
        <v>1</v>
      </c>
      <c r="P2">
        <f>_xlfn.XLOOKUP(G2,products!A:A,products!E:E)</f>
        <v>9.9499999999999993</v>
      </c>
      <c r="Q2">
        <f>P2*H2</f>
        <v>19.899999999999999</v>
      </c>
      <c r="R2" t="str" cm="1">
        <f t="array" ref="R2">_xlfn.IFS(Q2&lt;=50,"low sales",Q2&lt;=100,"medium sales",Q2&gt;100,"High sales")</f>
        <v>low sales</v>
      </c>
    </row>
    <row r="3" spans="1:18" x14ac:dyDescent="0.35">
      <c r="A3" s="2" t="s">
        <v>490</v>
      </c>
      <c r="B3" s="3">
        <v>43713</v>
      </c>
      <c r="C3" s="3" t="str">
        <f t="shared" ref="C3:C66" si="0">TEXT(B3,"DDDD")</f>
        <v>Thursday</v>
      </c>
      <c r="D3" s="3" t="str">
        <f t="shared" ref="D3:D66" si="1">TEXT(B3,"MMMM")</f>
        <v>September</v>
      </c>
      <c r="E3" s="3" t="str">
        <f t="shared" ref="E3:E66" si="2">TEXT(B3,"YYYY")</f>
        <v>2019</v>
      </c>
      <c r="F3" s="2" t="s">
        <v>491</v>
      </c>
      <c r="G3" t="s">
        <v>6139</v>
      </c>
      <c r="H3" s="2">
        <v>5</v>
      </c>
      <c r="I3" s="2" t="str">
        <f>_xlfn.XLOOKUP(F3,customers!A:A,customers!B:B)</f>
        <v>Aloisia Allner</v>
      </c>
      <c r="J3" s="2" t="str">
        <f>_xlfn.XLOOKUP(F3,customers!A:A,customers!C:C)</f>
        <v>aallner0@lulu.com</v>
      </c>
      <c r="K3" s="2" t="str">
        <f>_xlfn.XLOOKUP(F3,customers!A:A,customers!F:F)</f>
        <v>Paterson</v>
      </c>
      <c r="L3" s="2" t="str">
        <f>_xlfn.XLOOKUP(F3,customers!A:A,customers!G:G)</f>
        <v>United States</v>
      </c>
      <c r="M3" t="str">
        <f>_xlfn.XLOOKUP(G3,products!A:A,products!B:B)</f>
        <v>Exc</v>
      </c>
      <c r="N3" t="str">
        <f>_xlfn.XLOOKUP(G3,products!A:A,products!C:C)</f>
        <v>M</v>
      </c>
      <c r="O3">
        <f>_xlfn.XLOOKUP(G3,products!A:A,products!D:D)</f>
        <v>0.5</v>
      </c>
      <c r="P3">
        <f>_xlfn.XLOOKUP(G3,products!A:A,products!E:E)</f>
        <v>8.25</v>
      </c>
      <c r="Q3">
        <f t="shared" ref="Q3:Q66" si="3">P3*H3</f>
        <v>41.25</v>
      </c>
      <c r="R3" t="str" cm="1">
        <f t="array" ref="R3">_xlfn.IFS(Q3&lt;=50,"low sales",Q3&lt;=100,"medium sales",Q3&gt;100,"High sales")</f>
        <v>low sales</v>
      </c>
    </row>
    <row r="4" spans="1:18" x14ac:dyDescent="0.35">
      <c r="A4" s="2" t="s">
        <v>501</v>
      </c>
      <c r="B4" s="3">
        <v>44364</v>
      </c>
      <c r="C4" s="3" t="str">
        <f t="shared" si="0"/>
        <v>Thursday</v>
      </c>
      <c r="D4" s="3" t="str">
        <f t="shared" si="1"/>
        <v>June</v>
      </c>
      <c r="E4" s="3" t="str">
        <f t="shared" si="2"/>
        <v>2021</v>
      </c>
      <c r="F4" s="2" t="s">
        <v>502</v>
      </c>
      <c r="G4" t="s">
        <v>6140</v>
      </c>
      <c r="H4" s="2">
        <v>1</v>
      </c>
      <c r="I4" s="2" t="str">
        <f>_xlfn.XLOOKUP(F4,customers!A:A,customers!B:B)</f>
        <v>Jami Redholes</v>
      </c>
      <c r="J4" s="2" t="str">
        <f>_xlfn.XLOOKUP(F4,customers!A:A,customers!C:C)</f>
        <v>jredholes2@tmall.com</v>
      </c>
      <c r="K4" s="2" t="str">
        <f>_xlfn.XLOOKUP(F4,customers!A:A,customers!F:F)</f>
        <v>San Antonio</v>
      </c>
      <c r="L4" s="2" t="str">
        <f>_xlfn.XLOOKUP(F4,customers!A:A,customers!G:G)</f>
        <v>United States</v>
      </c>
      <c r="M4" t="str">
        <f>_xlfn.XLOOKUP(G4,products!A:A,products!B:B)</f>
        <v>Ara</v>
      </c>
      <c r="N4" t="str">
        <f>_xlfn.XLOOKUP(G4,products!A:A,products!C:C)</f>
        <v>L</v>
      </c>
      <c r="O4">
        <f>_xlfn.XLOOKUP(G4,products!A:A,products!D:D)</f>
        <v>1</v>
      </c>
      <c r="P4">
        <f>_xlfn.XLOOKUP(G4,products!A:A,products!E:E)</f>
        <v>12.95</v>
      </c>
      <c r="Q4">
        <f t="shared" si="3"/>
        <v>12.95</v>
      </c>
      <c r="R4" t="str" cm="1">
        <f t="array" ref="R4">_xlfn.IFS(Q4&lt;=50,"low sales",Q4&lt;=100,"medium sales",Q4&gt;100,"High sales")</f>
        <v>low sales</v>
      </c>
    </row>
    <row r="5" spans="1:18" x14ac:dyDescent="0.35">
      <c r="A5" s="2" t="s">
        <v>512</v>
      </c>
      <c r="B5" s="3">
        <v>44392</v>
      </c>
      <c r="C5" s="3" t="str">
        <f t="shared" si="0"/>
        <v>Thursday</v>
      </c>
      <c r="D5" s="3" t="str">
        <f t="shared" si="1"/>
        <v>July</v>
      </c>
      <c r="E5" s="3" t="str">
        <f t="shared" si="2"/>
        <v>2021</v>
      </c>
      <c r="F5" s="2" t="s">
        <v>513</v>
      </c>
      <c r="G5" t="s">
        <v>6141</v>
      </c>
      <c r="H5" s="2">
        <v>2</v>
      </c>
      <c r="I5" s="2" t="str">
        <f>_xlfn.XLOOKUP(F5,customers!A:A,customers!B:B)</f>
        <v>Christoffer O' Shea</v>
      </c>
      <c r="J5" s="2">
        <f>_xlfn.XLOOKUP(F5,customers!A:A,customers!C:C)</f>
        <v>0</v>
      </c>
      <c r="K5" s="2" t="str">
        <f>_xlfn.XLOOKUP(F5,customers!A:A,customers!F:F)</f>
        <v>Cill Airne</v>
      </c>
      <c r="L5" s="2" t="str">
        <f>_xlfn.XLOOKUP(F5,customers!A:A,customers!G:G)</f>
        <v>Ireland</v>
      </c>
      <c r="M5" t="str">
        <f>_xlfn.XLOOKUP(G5,products!A:A,products!B:B)</f>
        <v>Exc</v>
      </c>
      <c r="N5" t="str">
        <f>_xlfn.XLOOKUP(G5,products!A:A,products!C:C)</f>
        <v>M</v>
      </c>
      <c r="O5">
        <f>_xlfn.XLOOKUP(G5,products!A:A,products!D:D)</f>
        <v>1</v>
      </c>
      <c r="P5">
        <f>_xlfn.XLOOKUP(G5,products!A:A,products!E:E)</f>
        <v>13.75</v>
      </c>
      <c r="Q5">
        <f t="shared" si="3"/>
        <v>27.5</v>
      </c>
      <c r="R5" t="str" cm="1">
        <f t="array" ref="R5">_xlfn.IFS(Q5&lt;=50,"low sales",Q5&lt;=100,"medium sales",Q5&gt;100,"High sales")</f>
        <v>low sales</v>
      </c>
    </row>
    <row r="6" spans="1:18" x14ac:dyDescent="0.35">
      <c r="A6" s="2" t="s">
        <v>512</v>
      </c>
      <c r="B6" s="3">
        <v>44392</v>
      </c>
      <c r="C6" s="3" t="str">
        <f t="shared" si="0"/>
        <v>Thursday</v>
      </c>
      <c r="D6" s="3" t="str">
        <f t="shared" si="1"/>
        <v>July</v>
      </c>
      <c r="E6" s="3" t="str">
        <f t="shared" si="2"/>
        <v>2021</v>
      </c>
      <c r="F6" s="2" t="s">
        <v>513</v>
      </c>
      <c r="G6" t="s">
        <v>6142</v>
      </c>
      <c r="H6" s="2">
        <v>2</v>
      </c>
      <c r="I6" s="2" t="str">
        <f>_xlfn.XLOOKUP(F6,customers!A:A,customers!B:B)</f>
        <v>Christoffer O' Shea</v>
      </c>
      <c r="J6" s="2">
        <f>_xlfn.XLOOKUP(F6,customers!A:A,customers!C:C)</f>
        <v>0</v>
      </c>
      <c r="K6" s="2" t="str">
        <f>_xlfn.XLOOKUP(F6,customers!A:A,customers!F:F)</f>
        <v>Cill Airne</v>
      </c>
      <c r="L6" s="2" t="str">
        <f>_xlfn.XLOOKUP(F6,customers!A:A,customers!G:G)</f>
        <v>Ireland</v>
      </c>
      <c r="M6" t="str">
        <f>_xlfn.XLOOKUP(G6,products!A:A,products!B:B)</f>
        <v>Rob</v>
      </c>
      <c r="N6" t="str">
        <f>_xlfn.XLOOKUP(G6,products!A:A,products!C:C)</f>
        <v>L</v>
      </c>
      <c r="O6">
        <f>_xlfn.XLOOKUP(G6,products!A:A,products!D:D)</f>
        <v>2.5</v>
      </c>
      <c r="P6">
        <f>_xlfn.XLOOKUP(G6,products!A:A,products!E:E)</f>
        <v>27.484999999999996</v>
      </c>
      <c r="Q6">
        <f t="shared" si="3"/>
        <v>54.969999999999992</v>
      </c>
      <c r="R6" t="str" cm="1">
        <f t="array" ref="R6">_xlfn.IFS(Q6&lt;=50,"low sales",Q6&lt;=100,"medium sales",Q6&gt;100,"High sales")</f>
        <v>medium sales</v>
      </c>
    </row>
    <row r="7" spans="1:18" x14ac:dyDescent="0.35">
      <c r="A7" s="2" t="s">
        <v>519</v>
      </c>
      <c r="B7" s="3">
        <v>44412</v>
      </c>
      <c r="C7" s="3" t="str">
        <f t="shared" si="0"/>
        <v>Wednesday</v>
      </c>
      <c r="D7" s="3" t="str">
        <f t="shared" si="1"/>
        <v>August</v>
      </c>
      <c r="E7" s="3" t="str">
        <f t="shared" si="2"/>
        <v>2021</v>
      </c>
      <c r="F7" s="2" t="s">
        <v>520</v>
      </c>
      <c r="G7" t="s">
        <v>6143</v>
      </c>
      <c r="H7" s="2">
        <v>3</v>
      </c>
      <c r="I7" s="2" t="str">
        <f>_xlfn.XLOOKUP(F7,customers!A:A,customers!B:B)</f>
        <v>Beryle Cottier</v>
      </c>
      <c r="J7" s="2">
        <f>_xlfn.XLOOKUP(F7,customers!A:A,customers!C:C)</f>
        <v>0</v>
      </c>
      <c r="K7" s="2" t="str">
        <f>_xlfn.XLOOKUP(F7,customers!A:A,customers!F:F)</f>
        <v>Scranton</v>
      </c>
      <c r="L7" s="2" t="str">
        <f>_xlfn.XLOOKUP(F7,customers!A:A,customers!G:G)</f>
        <v>United States</v>
      </c>
      <c r="M7" t="str">
        <f>_xlfn.XLOOKUP(G7,products!A:A,products!B:B)</f>
        <v>Lib</v>
      </c>
      <c r="N7" t="str">
        <f>_xlfn.XLOOKUP(G7,products!A:A,products!C:C)</f>
        <v>D</v>
      </c>
      <c r="O7">
        <f>_xlfn.XLOOKUP(G7,products!A:A,products!D:D)</f>
        <v>1</v>
      </c>
      <c r="P7">
        <f>_xlfn.XLOOKUP(G7,products!A:A,products!E:E)</f>
        <v>12.95</v>
      </c>
      <c r="Q7">
        <f t="shared" si="3"/>
        <v>38.849999999999994</v>
      </c>
      <c r="R7" t="str" cm="1">
        <f t="array" ref="R7">_xlfn.IFS(Q7&lt;=50,"low sales",Q7&lt;=100,"medium sales",Q7&gt;100,"High sales")</f>
        <v>low sales</v>
      </c>
    </row>
    <row r="8" spans="1:18" x14ac:dyDescent="0.35">
      <c r="A8" s="2" t="s">
        <v>524</v>
      </c>
      <c r="B8" s="3">
        <v>44582</v>
      </c>
      <c r="C8" s="3" t="str">
        <f t="shared" si="0"/>
        <v>Friday</v>
      </c>
      <c r="D8" s="3" t="str">
        <f t="shared" si="1"/>
        <v>January</v>
      </c>
      <c r="E8" s="3" t="str">
        <f t="shared" si="2"/>
        <v>2022</v>
      </c>
      <c r="F8" s="2" t="s">
        <v>525</v>
      </c>
      <c r="G8" t="s">
        <v>6144</v>
      </c>
      <c r="H8" s="2">
        <v>3</v>
      </c>
      <c r="I8" s="2" t="str">
        <f>_xlfn.XLOOKUP(F8,customers!A:A,customers!B:B)</f>
        <v>Shaylynn Lobe</v>
      </c>
      <c r="J8" s="2" t="str">
        <f>_xlfn.XLOOKUP(F8,customers!A:A,customers!C:C)</f>
        <v>slobe6@nifty.com</v>
      </c>
      <c r="K8" s="2" t="str">
        <f>_xlfn.XLOOKUP(F8,customers!A:A,customers!F:F)</f>
        <v>Dayton</v>
      </c>
      <c r="L8" s="2" t="str">
        <f>_xlfn.XLOOKUP(F8,customers!A:A,customers!G:G)</f>
        <v>United States</v>
      </c>
      <c r="M8" t="str">
        <f>_xlfn.XLOOKUP(G8,products!A:A,products!B:B)</f>
        <v>Exc</v>
      </c>
      <c r="N8" t="str">
        <f>_xlfn.XLOOKUP(G8,products!A:A,products!C:C)</f>
        <v>D</v>
      </c>
      <c r="O8">
        <f>_xlfn.XLOOKUP(G8,products!A:A,products!D:D)</f>
        <v>0.5</v>
      </c>
      <c r="P8">
        <f>_xlfn.XLOOKUP(G8,products!A:A,products!E:E)</f>
        <v>7.29</v>
      </c>
      <c r="Q8">
        <f t="shared" si="3"/>
        <v>21.87</v>
      </c>
      <c r="R8" t="str" cm="1">
        <f t="array" ref="R8">_xlfn.IFS(Q8&lt;=50,"low sales",Q8&lt;=100,"medium sales",Q8&gt;100,"High sales")</f>
        <v>low sales</v>
      </c>
    </row>
    <row r="9" spans="1:18" x14ac:dyDescent="0.35">
      <c r="A9" s="2" t="s">
        <v>530</v>
      </c>
      <c r="B9" s="3">
        <v>44701</v>
      </c>
      <c r="C9" s="3" t="str">
        <f t="shared" si="0"/>
        <v>Friday</v>
      </c>
      <c r="D9" s="3" t="str">
        <f t="shared" si="1"/>
        <v>May</v>
      </c>
      <c r="E9" s="3" t="str">
        <f t="shared" si="2"/>
        <v>2022</v>
      </c>
      <c r="F9" s="2" t="s">
        <v>531</v>
      </c>
      <c r="G9" t="s">
        <v>6145</v>
      </c>
      <c r="H9" s="2">
        <v>1</v>
      </c>
      <c r="I9" s="2" t="str">
        <f>_xlfn.XLOOKUP(F9,customers!A:A,customers!B:B)</f>
        <v>Melvin Wharfe</v>
      </c>
      <c r="J9" s="2">
        <f>_xlfn.XLOOKUP(F9,customers!A:A,customers!C:C)</f>
        <v>0</v>
      </c>
      <c r="K9" s="2" t="str">
        <f>_xlfn.XLOOKUP(F9,customers!A:A,customers!F:F)</f>
        <v>Kill</v>
      </c>
      <c r="L9" s="2" t="str">
        <f>_xlfn.XLOOKUP(F9,customers!A:A,customers!G:G)</f>
        <v>Ireland</v>
      </c>
      <c r="M9" t="str">
        <f>_xlfn.XLOOKUP(G9,products!A:A,products!B:B)</f>
        <v>Lib</v>
      </c>
      <c r="N9" t="str">
        <f>_xlfn.XLOOKUP(G9,products!A:A,products!C:C)</f>
        <v>L</v>
      </c>
      <c r="O9">
        <f>_xlfn.XLOOKUP(G9,products!A:A,products!D:D)</f>
        <v>0.2</v>
      </c>
      <c r="P9">
        <f>_xlfn.XLOOKUP(G9,products!A:A,products!E:E)</f>
        <v>4.7549999999999999</v>
      </c>
      <c r="Q9">
        <f t="shared" si="3"/>
        <v>4.7549999999999999</v>
      </c>
      <c r="R9" t="str" cm="1">
        <f t="array" ref="R9">_xlfn.IFS(Q9&lt;=50,"low sales",Q9&lt;=100,"medium sales",Q9&gt;100,"High sales")</f>
        <v>low sales</v>
      </c>
    </row>
    <row r="10" spans="1:18" x14ac:dyDescent="0.35">
      <c r="A10" s="2" t="s">
        <v>535</v>
      </c>
      <c r="B10" s="3">
        <v>43467</v>
      </c>
      <c r="C10" s="3" t="str">
        <f t="shared" si="0"/>
        <v>Wednesday</v>
      </c>
      <c r="D10" s="3" t="str">
        <f t="shared" si="1"/>
        <v>January</v>
      </c>
      <c r="E10" s="3" t="str">
        <f t="shared" si="2"/>
        <v>2019</v>
      </c>
      <c r="F10" s="2" t="s">
        <v>536</v>
      </c>
      <c r="G10" t="s">
        <v>6146</v>
      </c>
      <c r="H10" s="2">
        <v>3</v>
      </c>
      <c r="I10" s="2" t="str">
        <f>_xlfn.XLOOKUP(F10,customers!A:A,customers!B:B)</f>
        <v>Guthrey Petracci</v>
      </c>
      <c r="J10" s="2" t="str">
        <f>_xlfn.XLOOKUP(F10,customers!A:A,customers!C:C)</f>
        <v>gpetracci8@livejournal.com</v>
      </c>
      <c r="K10" s="2" t="str">
        <f>_xlfn.XLOOKUP(F10,customers!A:A,customers!F:F)</f>
        <v>Los Angeles</v>
      </c>
      <c r="L10" s="2" t="str">
        <f>_xlfn.XLOOKUP(F10,customers!A:A,customers!G:G)</f>
        <v>United States</v>
      </c>
      <c r="M10" t="str">
        <f>_xlfn.XLOOKUP(G10,products!A:A,products!B:B)</f>
        <v>Rob</v>
      </c>
      <c r="N10" t="str">
        <f>_xlfn.XLOOKUP(G10,products!A:A,products!C:C)</f>
        <v>M</v>
      </c>
      <c r="O10">
        <f>_xlfn.XLOOKUP(G10,products!A:A,products!D:D)</f>
        <v>0.5</v>
      </c>
      <c r="P10">
        <f>_xlfn.XLOOKUP(G10,products!A:A,products!E:E)</f>
        <v>5.97</v>
      </c>
      <c r="Q10">
        <f t="shared" si="3"/>
        <v>17.91</v>
      </c>
      <c r="R10" t="str" cm="1">
        <f t="array" ref="R10">_xlfn.IFS(Q10&lt;=50,"low sales",Q10&lt;=100,"medium sales",Q10&gt;100,"High sales")</f>
        <v>low sales</v>
      </c>
    </row>
    <row r="11" spans="1:18" x14ac:dyDescent="0.35">
      <c r="A11" s="2" t="s">
        <v>541</v>
      </c>
      <c r="B11" s="3">
        <v>43713</v>
      </c>
      <c r="C11" s="3" t="str">
        <f t="shared" si="0"/>
        <v>Thursday</v>
      </c>
      <c r="D11" s="3" t="str">
        <f t="shared" si="1"/>
        <v>September</v>
      </c>
      <c r="E11" s="3" t="str">
        <f t="shared" si="2"/>
        <v>2019</v>
      </c>
      <c r="F11" s="2" t="s">
        <v>542</v>
      </c>
      <c r="G11" t="s">
        <v>6146</v>
      </c>
      <c r="H11" s="2">
        <v>1</v>
      </c>
      <c r="I11" s="2" t="str">
        <f>_xlfn.XLOOKUP(F11,customers!A:A,customers!B:B)</f>
        <v>Rodger Raven</v>
      </c>
      <c r="J11" s="2" t="str">
        <f>_xlfn.XLOOKUP(F11,customers!A:A,customers!C:C)</f>
        <v>rraven9@ed.gov</v>
      </c>
      <c r="K11" s="2" t="str">
        <f>_xlfn.XLOOKUP(F11,customers!A:A,customers!F:F)</f>
        <v>Los Angeles</v>
      </c>
      <c r="L11" s="2" t="str">
        <f>_xlfn.XLOOKUP(F11,customers!A:A,customers!G:G)</f>
        <v>United States</v>
      </c>
      <c r="M11" t="str">
        <f>_xlfn.XLOOKUP(G11,products!A:A,products!B:B)</f>
        <v>Rob</v>
      </c>
      <c r="N11" t="str">
        <f>_xlfn.XLOOKUP(G11,products!A:A,products!C:C)</f>
        <v>M</v>
      </c>
      <c r="O11">
        <f>_xlfn.XLOOKUP(G11,products!A:A,products!D:D)</f>
        <v>0.5</v>
      </c>
      <c r="P11">
        <f>_xlfn.XLOOKUP(G11,products!A:A,products!E:E)</f>
        <v>5.97</v>
      </c>
      <c r="Q11">
        <f t="shared" si="3"/>
        <v>5.97</v>
      </c>
      <c r="R11" t="str" cm="1">
        <f t="array" ref="R11">_xlfn.IFS(Q11&lt;=50,"low sales",Q11&lt;=100,"medium sales",Q11&gt;100,"High sales")</f>
        <v>low sales</v>
      </c>
    </row>
    <row r="12" spans="1:18" x14ac:dyDescent="0.35">
      <c r="A12" s="2" t="s">
        <v>547</v>
      </c>
      <c r="B12" s="3">
        <v>44263</v>
      </c>
      <c r="C12" s="3" t="str">
        <f t="shared" si="0"/>
        <v>Monday</v>
      </c>
      <c r="D12" s="3" t="str">
        <f t="shared" si="1"/>
        <v>March</v>
      </c>
      <c r="E12" s="3" t="str">
        <f t="shared" si="2"/>
        <v>2021</v>
      </c>
      <c r="F12" s="2" t="s">
        <v>548</v>
      </c>
      <c r="G12" t="s">
        <v>6147</v>
      </c>
      <c r="H12" s="2">
        <v>4</v>
      </c>
      <c r="I12" s="2" t="str">
        <f>_xlfn.XLOOKUP(F12,customers!A:A,customers!B:B)</f>
        <v>Ferrell Ferber</v>
      </c>
      <c r="J12" s="2" t="str">
        <f>_xlfn.XLOOKUP(F12,customers!A:A,customers!C:C)</f>
        <v>fferbera@businesswire.com</v>
      </c>
      <c r="K12" s="2" t="str">
        <f>_xlfn.XLOOKUP(F12,customers!A:A,customers!F:F)</f>
        <v>San Jose</v>
      </c>
      <c r="L12" s="2" t="str">
        <f>_xlfn.XLOOKUP(F12,customers!A:A,customers!G:G)</f>
        <v>United States</v>
      </c>
      <c r="M12" t="str">
        <f>_xlfn.XLOOKUP(G12,products!A:A,products!B:B)</f>
        <v>Ara</v>
      </c>
      <c r="N12" t="str">
        <f>_xlfn.XLOOKUP(G12,products!A:A,products!C:C)</f>
        <v>D</v>
      </c>
      <c r="O12">
        <f>_xlfn.XLOOKUP(G12,products!A:A,products!D:D)</f>
        <v>1</v>
      </c>
      <c r="P12">
        <f>_xlfn.XLOOKUP(G12,products!A:A,products!E:E)</f>
        <v>9.9499999999999993</v>
      </c>
      <c r="Q12">
        <f t="shared" si="3"/>
        <v>39.799999999999997</v>
      </c>
      <c r="R12" t="str" cm="1">
        <f t="array" ref="R12">_xlfn.IFS(Q12&lt;=50,"low sales",Q12&lt;=100,"medium sales",Q12&gt;100,"High sales")</f>
        <v>low sales</v>
      </c>
    </row>
    <row r="13" spans="1:18" x14ac:dyDescent="0.35">
      <c r="A13" s="2" t="s">
        <v>553</v>
      </c>
      <c r="B13" s="3">
        <v>44132</v>
      </c>
      <c r="C13" s="3" t="str">
        <f t="shared" si="0"/>
        <v>Wednesday</v>
      </c>
      <c r="D13" s="3" t="str">
        <f t="shared" si="1"/>
        <v>October</v>
      </c>
      <c r="E13" s="3" t="str">
        <f t="shared" si="2"/>
        <v>2020</v>
      </c>
      <c r="F13" s="2" t="s">
        <v>554</v>
      </c>
      <c r="G13" t="s">
        <v>6148</v>
      </c>
      <c r="H13" s="2">
        <v>5</v>
      </c>
      <c r="I13" s="2" t="str">
        <f>_xlfn.XLOOKUP(F13,customers!A:A,customers!B:B)</f>
        <v>Duky Phizackerly</v>
      </c>
      <c r="J13" s="2" t="str">
        <f>_xlfn.XLOOKUP(F13,customers!A:A,customers!C:C)</f>
        <v>dphizackerlyb@utexas.edu</v>
      </c>
      <c r="K13" s="2" t="str">
        <f>_xlfn.XLOOKUP(F13,customers!A:A,customers!F:F)</f>
        <v>San Jose</v>
      </c>
      <c r="L13" s="2" t="str">
        <f>_xlfn.XLOOKUP(F13,customers!A:A,customers!G:G)</f>
        <v>United States</v>
      </c>
      <c r="M13" t="str">
        <f>_xlfn.XLOOKUP(G13,products!A:A,products!B:B)</f>
        <v>Exc</v>
      </c>
      <c r="N13" t="str">
        <f>_xlfn.XLOOKUP(G13,products!A:A,products!C:C)</f>
        <v>L</v>
      </c>
      <c r="O13">
        <f>_xlfn.XLOOKUP(G13,products!A:A,products!D:D)</f>
        <v>2.5</v>
      </c>
      <c r="P13">
        <f>_xlfn.XLOOKUP(G13,products!A:A,products!E:E)</f>
        <v>34.154999999999994</v>
      </c>
      <c r="Q13">
        <f t="shared" si="3"/>
        <v>170.77499999999998</v>
      </c>
      <c r="R13" t="str" cm="1">
        <f t="array" ref="R13">_xlfn.IFS(Q13&lt;=50,"low sales",Q13&lt;=100,"medium sales",Q13&gt;100,"High sales")</f>
        <v>High sales</v>
      </c>
    </row>
    <row r="14" spans="1:18" x14ac:dyDescent="0.35">
      <c r="A14" s="2" t="s">
        <v>559</v>
      </c>
      <c r="B14" s="3">
        <v>44744</v>
      </c>
      <c r="C14" s="3" t="str">
        <f t="shared" si="0"/>
        <v>Saturday</v>
      </c>
      <c r="D14" s="3" t="str">
        <f t="shared" si="1"/>
        <v>July</v>
      </c>
      <c r="E14" s="3" t="str">
        <f t="shared" si="2"/>
        <v>2022</v>
      </c>
      <c r="F14" s="2" t="s">
        <v>560</v>
      </c>
      <c r="G14" t="s">
        <v>6138</v>
      </c>
      <c r="H14" s="2">
        <v>5</v>
      </c>
      <c r="I14" s="2" t="str">
        <f>_xlfn.XLOOKUP(F14,customers!A:A,customers!B:B)</f>
        <v>Rosaleen Scholar</v>
      </c>
      <c r="J14" s="2" t="str">
        <f>_xlfn.XLOOKUP(F14,customers!A:A,customers!C:C)</f>
        <v>rscholarc@nyu.edu</v>
      </c>
      <c r="K14" s="2" t="str">
        <f>_xlfn.XLOOKUP(F14,customers!A:A,customers!F:F)</f>
        <v>Richmond</v>
      </c>
      <c r="L14" s="2" t="str">
        <f>_xlfn.XLOOKUP(F14,customers!A:A,customers!G:G)</f>
        <v>United States</v>
      </c>
      <c r="M14" t="str">
        <f>_xlfn.XLOOKUP(G14,products!A:A,products!B:B)</f>
        <v>Rob</v>
      </c>
      <c r="N14" t="str">
        <f>_xlfn.XLOOKUP(G14,products!A:A,products!C:C)</f>
        <v>M</v>
      </c>
      <c r="O14">
        <f>_xlfn.XLOOKUP(G14,products!A:A,products!D:D)</f>
        <v>1</v>
      </c>
      <c r="P14">
        <f>_xlfn.XLOOKUP(G14,products!A:A,products!E:E)</f>
        <v>9.9499999999999993</v>
      </c>
      <c r="Q14">
        <f t="shared" si="3"/>
        <v>49.75</v>
      </c>
      <c r="R14" t="str" cm="1">
        <f t="array" ref="R14">_xlfn.IFS(Q14&lt;=50,"low sales",Q14&lt;=100,"medium sales",Q14&gt;100,"High sales")</f>
        <v>low sales</v>
      </c>
    </row>
    <row r="15" spans="1:18" x14ac:dyDescent="0.35">
      <c r="A15" s="2" t="s">
        <v>565</v>
      </c>
      <c r="B15" s="3">
        <v>43973</v>
      </c>
      <c r="C15" s="3" t="str">
        <f t="shared" si="0"/>
        <v>Friday</v>
      </c>
      <c r="D15" s="3" t="str">
        <f t="shared" si="1"/>
        <v>May</v>
      </c>
      <c r="E15" s="3" t="str">
        <f t="shared" si="2"/>
        <v>2020</v>
      </c>
      <c r="F15" s="2" t="s">
        <v>566</v>
      </c>
      <c r="G15" t="s">
        <v>6149</v>
      </c>
      <c r="H15" s="2">
        <v>2</v>
      </c>
      <c r="I15" s="2" t="str">
        <f>_xlfn.XLOOKUP(F15,customers!A:A,customers!B:B)</f>
        <v>Terence Vanyutin</v>
      </c>
      <c r="J15" s="2" t="str">
        <f>_xlfn.XLOOKUP(F15,customers!A:A,customers!C:C)</f>
        <v>tvanyutind@wix.com</v>
      </c>
      <c r="K15" s="2" t="str">
        <f>_xlfn.XLOOKUP(F15,customers!A:A,customers!F:F)</f>
        <v>Migrate</v>
      </c>
      <c r="L15" s="2" t="str">
        <f>_xlfn.XLOOKUP(F15,customers!A:A,customers!G:G)</f>
        <v>United States</v>
      </c>
      <c r="M15" t="str">
        <f>_xlfn.XLOOKUP(G15,products!A:A,products!B:B)</f>
        <v>Rob</v>
      </c>
      <c r="N15" t="str">
        <f>_xlfn.XLOOKUP(G15,products!A:A,products!C:C)</f>
        <v>D</v>
      </c>
      <c r="O15">
        <f>_xlfn.XLOOKUP(G15,products!A:A,products!D:D)</f>
        <v>2.5</v>
      </c>
      <c r="P15">
        <f>_xlfn.XLOOKUP(G15,products!A:A,products!E:E)</f>
        <v>20.584999999999997</v>
      </c>
      <c r="Q15">
        <f t="shared" si="3"/>
        <v>41.169999999999995</v>
      </c>
      <c r="R15" t="str" cm="1">
        <f t="array" ref="R15">_xlfn.IFS(Q15&lt;=50,"low sales",Q15&lt;=100,"medium sales",Q15&gt;100,"High sales")</f>
        <v>low sales</v>
      </c>
    </row>
    <row r="16" spans="1:18" x14ac:dyDescent="0.35">
      <c r="A16" s="2" t="s">
        <v>570</v>
      </c>
      <c r="B16" s="3">
        <v>44656</v>
      </c>
      <c r="C16" s="3" t="str">
        <f t="shared" si="0"/>
        <v>Tuesday</v>
      </c>
      <c r="D16" s="3" t="str">
        <f t="shared" si="1"/>
        <v>April</v>
      </c>
      <c r="E16" s="3" t="str">
        <f t="shared" si="2"/>
        <v>2022</v>
      </c>
      <c r="F16" s="2" t="s">
        <v>571</v>
      </c>
      <c r="G16" t="s">
        <v>6150</v>
      </c>
      <c r="H16" s="2">
        <v>3</v>
      </c>
      <c r="I16" s="2" t="str">
        <f>_xlfn.XLOOKUP(F16,customers!A:A,customers!B:B)</f>
        <v>Patrice Trobe</v>
      </c>
      <c r="J16" s="2" t="str">
        <f>_xlfn.XLOOKUP(F16,customers!A:A,customers!C:C)</f>
        <v>ptrobee@wunderground.com</v>
      </c>
      <c r="K16" s="2" t="str">
        <f>_xlfn.XLOOKUP(F16,customers!A:A,customers!F:F)</f>
        <v>Saint Louis</v>
      </c>
      <c r="L16" s="2" t="str">
        <f>_xlfn.XLOOKUP(F16,customers!A:A,customers!G:G)</f>
        <v>United States</v>
      </c>
      <c r="M16" t="str">
        <f>_xlfn.XLOOKUP(G16,products!A:A,products!B:B)</f>
        <v>Lib</v>
      </c>
      <c r="N16" t="str">
        <f>_xlfn.XLOOKUP(G16,products!A:A,products!C:C)</f>
        <v>D</v>
      </c>
      <c r="O16">
        <f>_xlfn.XLOOKUP(G16,products!A:A,products!D:D)</f>
        <v>0.2</v>
      </c>
      <c r="P16">
        <f>_xlfn.XLOOKUP(G16,products!A:A,products!E:E)</f>
        <v>3.8849999999999998</v>
      </c>
      <c r="Q16">
        <f t="shared" si="3"/>
        <v>11.654999999999999</v>
      </c>
      <c r="R16" t="str" cm="1">
        <f t="array" ref="R16">_xlfn.IFS(Q16&lt;=50,"low sales",Q16&lt;=100,"medium sales",Q16&gt;100,"High sales")</f>
        <v>low sales</v>
      </c>
    </row>
    <row r="17" spans="1:18" x14ac:dyDescent="0.35">
      <c r="A17" s="2" t="s">
        <v>576</v>
      </c>
      <c r="B17" s="3">
        <v>44719</v>
      </c>
      <c r="C17" s="3" t="str">
        <f t="shared" si="0"/>
        <v>Tuesday</v>
      </c>
      <c r="D17" s="3" t="str">
        <f t="shared" si="1"/>
        <v>June</v>
      </c>
      <c r="E17" s="3" t="str">
        <f t="shared" si="2"/>
        <v>2022</v>
      </c>
      <c r="F17" s="2" t="s">
        <v>577</v>
      </c>
      <c r="G17" t="s">
        <v>6151</v>
      </c>
      <c r="H17" s="2">
        <v>5</v>
      </c>
      <c r="I17" s="2" t="str">
        <f>_xlfn.XLOOKUP(F17,customers!A:A,customers!B:B)</f>
        <v>Llywellyn Oscroft</v>
      </c>
      <c r="J17" s="2" t="str">
        <f>_xlfn.XLOOKUP(F17,customers!A:A,customers!C:C)</f>
        <v>loscroftf@ebay.co.uk</v>
      </c>
      <c r="K17" s="2" t="str">
        <f>_xlfn.XLOOKUP(F17,customers!A:A,customers!F:F)</f>
        <v>Philadelphia</v>
      </c>
      <c r="L17" s="2" t="str">
        <f>_xlfn.XLOOKUP(F17,customers!A:A,customers!G:G)</f>
        <v>United States</v>
      </c>
      <c r="M17" t="str">
        <f>_xlfn.XLOOKUP(G17,products!A:A,products!B:B)</f>
        <v>Rob</v>
      </c>
      <c r="N17" t="str">
        <f>_xlfn.XLOOKUP(G17,products!A:A,products!C:C)</f>
        <v>M</v>
      </c>
      <c r="O17">
        <f>_xlfn.XLOOKUP(G17,products!A:A,products!D:D)</f>
        <v>2.5</v>
      </c>
      <c r="P17">
        <f>_xlfn.XLOOKUP(G17,products!A:A,products!E:E)</f>
        <v>22.884999999999998</v>
      </c>
      <c r="Q17">
        <f t="shared" si="3"/>
        <v>114.42499999999998</v>
      </c>
      <c r="R17" t="str" cm="1">
        <f t="array" ref="R17">_xlfn.IFS(Q17&lt;=50,"low sales",Q17&lt;=100,"medium sales",Q17&gt;100,"High sales")</f>
        <v>High sales</v>
      </c>
    </row>
    <row r="18" spans="1:18" x14ac:dyDescent="0.35">
      <c r="A18" s="2" t="s">
        <v>581</v>
      </c>
      <c r="B18" s="3">
        <v>43544</v>
      </c>
      <c r="C18" s="3" t="str">
        <f t="shared" si="0"/>
        <v>Wednesday</v>
      </c>
      <c r="D18" s="3" t="str">
        <f t="shared" si="1"/>
        <v>March</v>
      </c>
      <c r="E18" s="3" t="str">
        <f t="shared" si="2"/>
        <v>2019</v>
      </c>
      <c r="F18" s="2" t="s">
        <v>582</v>
      </c>
      <c r="G18" t="s">
        <v>6152</v>
      </c>
      <c r="H18" s="2">
        <v>6</v>
      </c>
      <c r="I18" s="2" t="str">
        <f>_xlfn.XLOOKUP(F18,customers!A:A,customers!B:B)</f>
        <v>Minni Alabaster</v>
      </c>
      <c r="J18" s="2" t="str">
        <f>_xlfn.XLOOKUP(F18,customers!A:A,customers!C:C)</f>
        <v>malabasterg@hexun.com</v>
      </c>
      <c r="K18" s="2" t="str">
        <f>_xlfn.XLOOKUP(F18,customers!A:A,customers!F:F)</f>
        <v>Portland</v>
      </c>
      <c r="L18" s="2" t="str">
        <f>_xlfn.XLOOKUP(F18,customers!A:A,customers!G:G)</f>
        <v>United States</v>
      </c>
      <c r="M18" t="str">
        <f>_xlfn.XLOOKUP(G18,products!A:A,products!B:B)</f>
        <v>Ara</v>
      </c>
      <c r="N18" t="str">
        <f>_xlfn.XLOOKUP(G18,products!A:A,products!C:C)</f>
        <v>M</v>
      </c>
      <c r="O18">
        <f>_xlfn.XLOOKUP(G18,products!A:A,products!D:D)</f>
        <v>0.2</v>
      </c>
      <c r="P18">
        <f>_xlfn.XLOOKUP(G18,products!A:A,products!E:E)</f>
        <v>3.375</v>
      </c>
      <c r="Q18">
        <f t="shared" si="3"/>
        <v>20.25</v>
      </c>
      <c r="R18" t="str" cm="1">
        <f t="array" ref="R18">_xlfn.IFS(Q18&lt;=50,"low sales",Q18&lt;=100,"medium sales",Q18&gt;100,"High sales")</f>
        <v>low sales</v>
      </c>
    </row>
    <row r="19" spans="1:18" x14ac:dyDescent="0.35">
      <c r="A19" s="2" t="s">
        <v>587</v>
      </c>
      <c r="B19" s="3">
        <v>43757</v>
      </c>
      <c r="C19" s="3" t="str">
        <f t="shared" si="0"/>
        <v>Saturday</v>
      </c>
      <c r="D19" s="3" t="str">
        <f t="shared" si="1"/>
        <v>October</v>
      </c>
      <c r="E19" s="3" t="str">
        <f t="shared" si="2"/>
        <v>2019</v>
      </c>
      <c r="F19" s="2" t="s">
        <v>588</v>
      </c>
      <c r="G19" t="s">
        <v>6140</v>
      </c>
      <c r="H19" s="2">
        <v>6</v>
      </c>
      <c r="I19" s="2" t="str">
        <f>_xlfn.XLOOKUP(F19,customers!A:A,customers!B:B)</f>
        <v>Rhianon Broxup</v>
      </c>
      <c r="J19" s="2" t="str">
        <f>_xlfn.XLOOKUP(F19,customers!A:A,customers!C:C)</f>
        <v>rbroxuph@jimdo.com</v>
      </c>
      <c r="K19" s="2" t="str">
        <f>_xlfn.XLOOKUP(F19,customers!A:A,customers!F:F)</f>
        <v>Houston</v>
      </c>
      <c r="L19" s="2" t="str">
        <f>_xlfn.XLOOKUP(F19,customers!A:A,customers!G:G)</f>
        <v>United States</v>
      </c>
      <c r="M19" t="str">
        <f>_xlfn.XLOOKUP(G19,products!A:A,products!B:B)</f>
        <v>Ara</v>
      </c>
      <c r="N19" t="str">
        <f>_xlfn.XLOOKUP(G19,products!A:A,products!C:C)</f>
        <v>L</v>
      </c>
      <c r="O19">
        <f>_xlfn.XLOOKUP(G19,products!A:A,products!D:D)</f>
        <v>1</v>
      </c>
      <c r="P19">
        <f>_xlfn.XLOOKUP(G19,products!A:A,products!E:E)</f>
        <v>12.95</v>
      </c>
      <c r="Q19">
        <f t="shared" si="3"/>
        <v>77.699999999999989</v>
      </c>
      <c r="R19" t="str" cm="1">
        <f t="array" ref="R19">_xlfn.IFS(Q19&lt;=50,"low sales",Q19&lt;=100,"medium sales",Q19&gt;100,"High sales")</f>
        <v>medium sales</v>
      </c>
    </row>
    <row r="20" spans="1:18" x14ac:dyDescent="0.35">
      <c r="A20" s="2" t="s">
        <v>593</v>
      </c>
      <c r="B20" s="3">
        <v>43629</v>
      </c>
      <c r="C20" s="3" t="str">
        <f t="shared" si="0"/>
        <v>Thursday</v>
      </c>
      <c r="D20" s="3" t="str">
        <f t="shared" si="1"/>
        <v>June</v>
      </c>
      <c r="E20" s="3" t="str">
        <f t="shared" si="2"/>
        <v>2019</v>
      </c>
      <c r="F20" s="2" t="s">
        <v>594</v>
      </c>
      <c r="G20" t="s">
        <v>6149</v>
      </c>
      <c r="H20" s="2">
        <v>4</v>
      </c>
      <c r="I20" s="2" t="str">
        <f>_xlfn.XLOOKUP(F20,customers!A:A,customers!B:B)</f>
        <v>Pall Redford</v>
      </c>
      <c r="J20" s="2" t="str">
        <f>_xlfn.XLOOKUP(F20,customers!A:A,customers!C:C)</f>
        <v>predfordi@ow.ly</v>
      </c>
      <c r="K20" s="2" t="str">
        <f>_xlfn.XLOOKUP(F20,customers!A:A,customers!F:F)</f>
        <v>Caherconlish</v>
      </c>
      <c r="L20" s="2" t="str">
        <f>_xlfn.XLOOKUP(F20,customers!A:A,customers!G:G)</f>
        <v>Ireland</v>
      </c>
      <c r="M20" t="str">
        <f>_xlfn.XLOOKUP(G20,products!A:A,products!B:B)</f>
        <v>Rob</v>
      </c>
      <c r="N20" t="str">
        <f>_xlfn.XLOOKUP(G20,products!A:A,products!C:C)</f>
        <v>D</v>
      </c>
      <c r="O20">
        <f>_xlfn.XLOOKUP(G20,products!A:A,products!D:D)</f>
        <v>2.5</v>
      </c>
      <c r="P20">
        <f>_xlfn.XLOOKUP(G20,products!A:A,products!E:E)</f>
        <v>20.584999999999997</v>
      </c>
      <c r="Q20">
        <f t="shared" si="3"/>
        <v>82.339999999999989</v>
      </c>
      <c r="R20" t="str" cm="1">
        <f t="array" ref="R20">_xlfn.IFS(Q20&lt;=50,"low sales",Q20&lt;=100,"medium sales",Q20&gt;100,"High sales")</f>
        <v>medium sales</v>
      </c>
    </row>
    <row r="21" spans="1:18" x14ac:dyDescent="0.35">
      <c r="A21" s="2" t="s">
        <v>598</v>
      </c>
      <c r="B21" s="3">
        <v>44169</v>
      </c>
      <c r="C21" s="3" t="str">
        <f t="shared" si="0"/>
        <v>Friday</v>
      </c>
      <c r="D21" s="3" t="str">
        <f t="shared" si="1"/>
        <v>December</v>
      </c>
      <c r="E21" s="3" t="str">
        <f t="shared" si="2"/>
        <v>2020</v>
      </c>
      <c r="F21" s="2" t="s">
        <v>599</v>
      </c>
      <c r="G21" t="s">
        <v>6152</v>
      </c>
      <c r="H21" s="2">
        <v>5</v>
      </c>
      <c r="I21" s="2" t="str">
        <f>_xlfn.XLOOKUP(F21,customers!A:A,customers!B:B)</f>
        <v>Aurea Corradino</v>
      </c>
      <c r="J21" s="2" t="str">
        <f>_xlfn.XLOOKUP(F21,customers!A:A,customers!C:C)</f>
        <v>acorradinoj@harvard.edu</v>
      </c>
      <c r="K21" s="2" t="str">
        <f>_xlfn.XLOOKUP(F21,customers!A:A,customers!F:F)</f>
        <v>New York City</v>
      </c>
      <c r="L21" s="2" t="str">
        <f>_xlfn.XLOOKUP(F21,customers!A:A,customers!G:G)</f>
        <v>United States</v>
      </c>
      <c r="M21" t="str">
        <f>_xlfn.XLOOKUP(G21,products!A:A,products!B:B)</f>
        <v>Ara</v>
      </c>
      <c r="N21" t="str">
        <f>_xlfn.XLOOKUP(G21,products!A:A,products!C:C)</f>
        <v>M</v>
      </c>
      <c r="O21">
        <f>_xlfn.XLOOKUP(G21,products!A:A,products!D:D)</f>
        <v>0.2</v>
      </c>
      <c r="P21">
        <f>_xlfn.XLOOKUP(G21,products!A:A,products!E:E)</f>
        <v>3.375</v>
      </c>
      <c r="Q21">
        <f t="shared" si="3"/>
        <v>16.875</v>
      </c>
      <c r="R21" t="str" cm="1">
        <f t="array" ref="R21">_xlfn.IFS(Q21&lt;=50,"low sales",Q21&lt;=100,"medium sales",Q21&gt;100,"High sales")</f>
        <v>low sales</v>
      </c>
    </row>
    <row r="22" spans="1:18" x14ac:dyDescent="0.35">
      <c r="A22" s="2" t="s">
        <v>598</v>
      </c>
      <c r="B22" s="3">
        <v>44169</v>
      </c>
      <c r="C22" s="3" t="str">
        <f t="shared" si="0"/>
        <v>Friday</v>
      </c>
      <c r="D22" s="3" t="str">
        <f t="shared" si="1"/>
        <v>December</v>
      </c>
      <c r="E22" s="3" t="str">
        <f t="shared" si="2"/>
        <v>2020</v>
      </c>
      <c r="F22" s="2" t="s">
        <v>599</v>
      </c>
      <c r="G22" t="s">
        <v>6153</v>
      </c>
      <c r="H22" s="2">
        <v>4</v>
      </c>
      <c r="I22" s="2" t="str">
        <f>_xlfn.XLOOKUP(F22,customers!A:A,customers!B:B)</f>
        <v>Aurea Corradino</v>
      </c>
      <c r="J22" s="2" t="str">
        <f>_xlfn.XLOOKUP(F22,customers!A:A,customers!C:C)</f>
        <v>acorradinoj@harvard.edu</v>
      </c>
      <c r="K22" s="2" t="str">
        <f>_xlfn.XLOOKUP(F22,customers!A:A,customers!F:F)</f>
        <v>New York City</v>
      </c>
      <c r="L22" s="2" t="str">
        <f>_xlfn.XLOOKUP(F22,customers!A:A,customers!G:G)</f>
        <v>United States</v>
      </c>
      <c r="M22" t="str">
        <f>_xlfn.XLOOKUP(G22,products!A:A,products!B:B)</f>
        <v>Exc</v>
      </c>
      <c r="N22" t="str">
        <f>_xlfn.XLOOKUP(G22,products!A:A,products!C:C)</f>
        <v>D</v>
      </c>
      <c r="O22">
        <f>_xlfn.XLOOKUP(G22,products!A:A,products!D:D)</f>
        <v>0.2</v>
      </c>
      <c r="P22">
        <f>_xlfn.XLOOKUP(G22,products!A:A,products!E:E)</f>
        <v>3.645</v>
      </c>
      <c r="Q22">
        <f t="shared" si="3"/>
        <v>14.58</v>
      </c>
      <c r="R22" t="str" cm="1">
        <f t="array" ref="R22">_xlfn.IFS(Q22&lt;=50,"low sales",Q22&lt;=100,"medium sales",Q22&gt;100,"High sales")</f>
        <v>low sales</v>
      </c>
    </row>
    <row r="23" spans="1:18" x14ac:dyDescent="0.35">
      <c r="A23" s="2" t="s">
        <v>608</v>
      </c>
      <c r="B23" s="3">
        <v>44169</v>
      </c>
      <c r="C23" s="3" t="str">
        <f t="shared" si="0"/>
        <v>Friday</v>
      </c>
      <c r="D23" s="3" t="str">
        <f t="shared" si="1"/>
        <v>December</v>
      </c>
      <c r="E23" s="3" t="str">
        <f t="shared" si="2"/>
        <v>2020</v>
      </c>
      <c r="F23" s="2" t="s">
        <v>609</v>
      </c>
      <c r="G23" t="s">
        <v>6154</v>
      </c>
      <c r="H23" s="2">
        <v>6</v>
      </c>
      <c r="I23" s="2" t="str">
        <f>_xlfn.XLOOKUP(F23,customers!A:A,customers!B:B)</f>
        <v>Avrit Davidowsky</v>
      </c>
      <c r="J23" s="2" t="str">
        <f>_xlfn.XLOOKUP(F23,customers!A:A,customers!C:C)</f>
        <v>adavidowskyl@netvibes.com</v>
      </c>
      <c r="K23" s="2" t="str">
        <f>_xlfn.XLOOKUP(F23,customers!A:A,customers!F:F)</f>
        <v>Grand Rapids</v>
      </c>
      <c r="L23" s="2" t="str">
        <f>_xlfn.XLOOKUP(F23,customers!A:A,customers!G:G)</f>
        <v>United States</v>
      </c>
      <c r="M23" t="str">
        <f>_xlfn.XLOOKUP(G23,products!A:A,products!B:B)</f>
        <v>Ara</v>
      </c>
      <c r="N23" t="str">
        <f>_xlfn.XLOOKUP(G23,products!A:A,products!C:C)</f>
        <v>D</v>
      </c>
      <c r="O23">
        <f>_xlfn.XLOOKUP(G23,products!A:A,products!D:D)</f>
        <v>0.2</v>
      </c>
      <c r="P23">
        <f>_xlfn.XLOOKUP(G23,products!A:A,products!E:E)</f>
        <v>2.9849999999999999</v>
      </c>
      <c r="Q23">
        <f t="shared" si="3"/>
        <v>17.91</v>
      </c>
      <c r="R23" t="str" cm="1">
        <f t="array" ref="R23">_xlfn.IFS(Q23&lt;=50,"low sales",Q23&lt;=100,"medium sales",Q23&gt;100,"High sales")</f>
        <v>low sales</v>
      </c>
    </row>
    <row r="24" spans="1:18" x14ac:dyDescent="0.35">
      <c r="A24" s="2" t="s">
        <v>614</v>
      </c>
      <c r="B24" s="3">
        <v>44218</v>
      </c>
      <c r="C24" s="3" t="str">
        <f t="shared" si="0"/>
        <v>Friday</v>
      </c>
      <c r="D24" s="3" t="str">
        <f t="shared" si="1"/>
        <v>January</v>
      </c>
      <c r="E24" s="3" t="str">
        <f t="shared" si="2"/>
        <v>2021</v>
      </c>
      <c r="F24" s="2" t="s">
        <v>615</v>
      </c>
      <c r="G24" t="s">
        <v>6151</v>
      </c>
      <c r="H24" s="2">
        <v>4</v>
      </c>
      <c r="I24" s="2" t="str">
        <f>_xlfn.XLOOKUP(F24,customers!A:A,customers!B:B)</f>
        <v>Annabel Antuk</v>
      </c>
      <c r="J24" s="2" t="str">
        <f>_xlfn.XLOOKUP(F24,customers!A:A,customers!C:C)</f>
        <v>aantukm@kickstarter.com</v>
      </c>
      <c r="K24" s="2" t="str">
        <f>_xlfn.XLOOKUP(F24,customers!A:A,customers!F:F)</f>
        <v>Punta Gorda</v>
      </c>
      <c r="L24" s="2" t="str">
        <f>_xlfn.XLOOKUP(F24,customers!A:A,customers!G:G)</f>
        <v>United States</v>
      </c>
      <c r="M24" t="str">
        <f>_xlfn.XLOOKUP(G24,products!A:A,products!B:B)</f>
        <v>Rob</v>
      </c>
      <c r="N24" t="str">
        <f>_xlfn.XLOOKUP(G24,products!A:A,products!C:C)</f>
        <v>M</v>
      </c>
      <c r="O24">
        <f>_xlfn.XLOOKUP(G24,products!A:A,products!D:D)</f>
        <v>2.5</v>
      </c>
      <c r="P24">
        <f>_xlfn.XLOOKUP(G24,products!A:A,products!E:E)</f>
        <v>22.884999999999998</v>
      </c>
      <c r="Q24">
        <f t="shared" si="3"/>
        <v>91.539999999999992</v>
      </c>
      <c r="R24" t="str" cm="1">
        <f t="array" ref="R24">_xlfn.IFS(Q24&lt;=50,"low sales",Q24&lt;=100,"medium sales",Q24&gt;100,"High sales")</f>
        <v>medium sales</v>
      </c>
    </row>
    <row r="25" spans="1:18" x14ac:dyDescent="0.35">
      <c r="A25" s="2" t="s">
        <v>620</v>
      </c>
      <c r="B25" s="3">
        <v>44603</v>
      </c>
      <c r="C25" s="3" t="str">
        <f t="shared" si="0"/>
        <v>Friday</v>
      </c>
      <c r="D25" s="3" t="str">
        <f t="shared" si="1"/>
        <v>February</v>
      </c>
      <c r="E25" s="3" t="str">
        <f t="shared" si="2"/>
        <v>2022</v>
      </c>
      <c r="F25" s="2" t="s">
        <v>621</v>
      </c>
      <c r="G25" t="s">
        <v>6154</v>
      </c>
      <c r="H25" s="2">
        <v>4</v>
      </c>
      <c r="I25" s="2" t="str">
        <f>_xlfn.XLOOKUP(F25,customers!A:A,customers!B:B)</f>
        <v>Iorgo Kleinert</v>
      </c>
      <c r="J25" s="2" t="str">
        <f>_xlfn.XLOOKUP(F25,customers!A:A,customers!C:C)</f>
        <v>ikleinertn@timesonline.co.uk</v>
      </c>
      <c r="K25" s="2" t="str">
        <f>_xlfn.XLOOKUP(F25,customers!A:A,customers!F:F)</f>
        <v>Vancouver</v>
      </c>
      <c r="L25" s="2" t="str">
        <f>_xlfn.XLOOKUP(F25,customers!A:A,customers!G:G)</f>
        <v>United States</v>
      </c>
      <c r="M25" t="str">
        <f>_xlfn.XLOOKUP(G25,products!A:A,products!B:B)</f>
        <v>Ara</v>
      </c>
      <c r="N25" t="str">
        <f>_xlfn.XLOOKUP(G25,products!A:A,products!C:C)</f>
        <v>D</v>
      </c>
      <c r="O25">
        <f>_xlfn.XLOOKUP(G25,products!A:A,products!D:D)</f>
        <v>0.2</v>
      </c>
      <c r="P25">
        <f>_xlfn.XLOOKUP(G25,products!A:A,products!E:E)</f>
        <v>2.9849999999999999</v>
      </c>
      <c r="Q25">
        <f t="shared" si="3"/>
        <v>11.94</v>
      </c>
      <c r="R25" t="str" cm="1">
        <f t="array" ref="R25">_xlfn.IFS(Q25&lt;=50,"low sales",Q25&lt;=100,"medium sales",Q25&gt;100,"High sales")</f>
        <v>low sales</v>
      </c>
    </row>
    <row r="26" spans="1:18" x14ac:dyDescent="0.35">
      <c r="A26" s="2" t="s">
        <v>626</v>
      </c>
      <c r="B26" s="3">
        <v>44454</v>
      </c>
      <c r="C26" s="3" t="str">
        <f t="shared" si="0"/>
        <v>Wednesday</v>
      </c>
      <c r="D26" s="3" t="str">
        <f t="shared" si="1"/>
        <v>September</v>
      </c>
      <c r="E26" s="3" t="str">
        <f t="shared" si="2"/>
        <v>2021</v>
      </c>
      <c r="F26" s="2" t="s">
        <v>627</v>
      </c>
      <c r="G26" t="s">
        <v>6155</v>
      </c>
      <c r="H26" s="2">
        <v>1</v>
      </c>
      <c r="I26" s="2" t="str">
        <f>_xlfn.XLOOKUP(F26,customers!A:A,customers!B:B)</f>
        <v>Chrisy Blofeld</v>
      </c>
      <c r="J26" s="2" t="str">
        <f>_xlfn.XLOOKUP(F26,customers!A:A,customers!C:C)</f>
        <v>cblofeldo@amazon.co.uk</v>
      </c>
      <c r="K26" s="2" t="str">
        <f>_xlfn.XLOOKUP(F26,customers!A:A,customers!F:F)</f>
        <v>Englewood</v>
      </c>
      <c r="L26" s="2" t="str">
        <f>_xlfn.XLOOKUP(F26,customers!A:A,customers!G:G)</f>
        <v>United States</v>
      </c>
      <c r="M26" t="str">
        <f>_xlfn.XLOOKUP(G26,products!A:A,products!B:B)</f>
        <v>Ara</v>
      </c>
      <c r="N26" t="str">
        <f>_xlfn.XLOOKUP(G26,products!A:A,products!C:C)</f>
        <v>M</v>
      </c>
      <c r="O26">
        <f>_xlfn.XLOOKUP(G26,products!A:A,products!D:D)</f>
        <v>1</v>
      </c>
      <c r="P26">
        <f>_xlfn.XLOOKUP(G26,products!A:A,products!E:E)</f>
        <v>11.25</v>
      </c>
      <c r="Q26">
        <f t="shared" si="3"/>
        <v>11.25</v>
      </c>
      <c r="R26" t="str" cm="1">
        <f t="array" ref="R26">_xlfn.IFS(Q26&lt;=50,"low sales",Q26&lt;=100,"medium sales",Q26&gt;100,"High sales")</f>
        <v>low sales</v>
      </c>
    </row>
    <row r="27" spans="1:18" x14ac:dyDescent="0.35">
      <c r="A27" s="2" t="s">
        <v>632</v>
      </c>
      <c r="B27" s="3">
        <v>44128</v>
      </c>
      <c r="C27" s="3" t="str">
        <f t="shared" si="0"/>
        <v>Saturday</v>
      </c>
      <c r="D27" s="3" t="str">
        <f t="shared" si="1"/>
        <v>October</v>
      </c>
      <c r="E27" s="3" t="str">
        <f t="shared" si="2"/>
        <v>2020</v>
      </c>
      <c r="F27" s="2" t="s">
        <v>633</v>
      </c>
      <c r="G27" t="s">
        <v>6156</v>
      </c>
      <c r="H27" s="2">
        <v>3</v>
      </c>
      <c r="I27" s="2" t="str">
        <f>_xlfn.XLOOKUP(F27,customers!A:A,customers!B:B)</f>
        <v>Culley Farris</v>
      </c>
      <c r="J27" s="2">
        <f>_xlfn.XLOOKUP(F27,customers!A:A,customers!C:C)</f>
        <v>0</v>
      </c>
      <c r="K27" s="2" t="str">
        <f>_xlfn.XLOOKUP(F27,customers!A:A,customers!F:F)</f>
        <v>Punta Gorda</v>
      </c>
      <c r="L27" s="2" t="str">
        <f>_xlfn.XLOOKUP(F27,customers!A:A,customers!G:G)</f>
        <v>United States</v>
      </c>
      <c r="M27" t="str">
        <f>_xlfn.XLOOKUP(G27,products!A:A,products!B:B)</f>
        <v>Exc</v>
      </c>
      <c r="N27" t="str">
        <f>_xlfn.XLOOKUP(G27,products!A:A,products!C:C)</f>
        <v>M</v>
      </c>
      <c r="O27">
        <f>_xlfn.XLOOKUP(G27,products!A:A,products!D:D)</f>
        <v>0.2</v>
      </c>
      <c r="P27">
        <f>_xlfn.XLOOKUP(G27,products!A:A,products!E:E)</f>
        <v>4.125</v>
      </c>
      <c r="Q27">
        <f t="shared" si="3"/>
        <v>12.375</v>
      </c>
      <c r="R27" t="str" cm="1">
        <f t="array" ref="R27">_xlfn.IFS(Q27&lt;=50,"low sales",Q27&lt;=100,"medium sales",Q27&gt;100,"High sales")</f>
        <v>low sales</v>
      </c>
    </row>
    <row r="28" spans="1:18" x14ac:dyDescent="0.35">
      <c r="A28" s="2" t="s">
        <v>637</v>
      </c>
      <c r="B28" s="3">
        <v>43516</v>
      </c>
      <c r="C28" s="3" t="str">
        <f t="shared" si="0"/>
        <v>Wednesday</v>
      </c>
      <c r="D28" s="3" t="str">
        <f t="shared" si="1"/>
        <v>February</v>
      </c>
      <c r="E28" s="3" t="str">
        <f t="shared" si="2"/>
        <v>2019</v>
      </c>
      <c r="F28" s="2" t="s">
        <v>638</v>
      </c>
      <c r="G28" t="s">
        <v>6157</v>
      </c>
      <c r="H28" s="2">
        <v>4</v>
      </c>
      <c r="I28" s="2" t="str">
        <f>_xlfn.XLOOKUP(F28,customers!A:A,customers!B:B)</f>
        <v>Selene Shales</v>
      </c>
      <c r="J28" s="2" t="str">
        <f>_xlfn.XLOOKUP(F28,customers!A:A,customers!C:C)</f>
        <v>sshalesq@umich.edu</v>
      </c>
      <c r="K28" s="2" t="str">
        <f>_xlfn.XLOOKUP(F28,customers!A:A,customers!F:F)</f>
        <v>Petaluma</v>
      </c>
      <c r="L28" s="2" t="str">
        <f>_xlfn.XLOOKUP(F28,customers!A:A,customers!G:G)</f>
        <v>United States</v>
      </c>
      <c r="M28" t="str">
        <f>_xlfn.XLOOKUP(G28,products!A:A,products!B:B)</f>
        <v>Ara</v>
      </c>
      <c r="N28" t="str">
        <f>_xlfn.XLOOKUP(G28,products!A:A,products!C:C)</f>
        <v>M</v>
      </c>
      <c r="O28">
        <f>_xlfn.XLOOKUP(G28,products!A:A,products!D:D)</f>
        <v>0.5</v>
      </c>
      <c r="P28">
        <f>_xlfn.XLOOKUP(G28,products!A:A,products!E:E)</f>
        <v>6.75</v>
      </c>
      <c r="Q28">
        <f t="shared" si="3"/>
        <v>27</v>
      </c>
      <c r="R28" t="str" cm="1">
        <f t="array" ref="R28">_xlfn.IFS(Q28&lt;=50,"low sales",Q28&lt;=100,"medium sales",Q28&gt;100,"High sales")</f>
        <v>low sales</v>
      </c>
    </row>
    <row r="29" spans="1:18" x14ac:dyDescent="0.35">
      <c r="A29" s="2" t="s">
        <v>643</v>
      </c>
      <c r="B29" s="3">
        <v>43746</v>
      </c>
      <c r="C29" s="3" t="str">
        <f t="shared" si="0"/>
        <v>Tuesday</v>
      </c>
      <c r="D29" s="3" t="str">
        <f t="shared" si="1"/>
        <v>October</v>
      </c>
      <c r="E29" s="3" t="str">
        <f t="shared" si="2"/>
        <v>2019</v>
      </c>
      <c r="F29" s="2" t="s">
        <v>644</v>
      </c>
      <c r="G29" t="s">
        <v>6152</v>
      </c>
      <c r="H29" s="2">
        <v>5</v>
      </c>
      <c r="I29" s="2" t="str">
        <f>_xlfn.XLOOKUP(F29,customers!A:A,customers!B:B)</f>
        <v>Vivie Danneil</v>
      </c>
      <c r="J29" s="2" t="str">
        <f>_xlfn.XLOOKUP(F29,customers!A:A,customers!C:C)</f>
        <v>vdanneilr@mtv.com</v>
      </c>
      <c r="K29" s="2" t="str">
        <f>_xlfn.XLOOKUP(F29,customers!A:A,customers!F:F)</f>
        <v>Tralee</v>
      </c>
      <c r="L29" s="2" t="str">
        <f>_xlfn.XLOOKUP(F29,customers!A:A,customers!G:G)</f>
        <v>Ireland</v>
      </c>
      <c r="M29" t="str">
        <f>_xlfn.XLOOKUP(G29,products!A:A,products!B:B)</f>
        <v>Ara</v>
      </c>
      <c r="N29" t="str">
        <f>_xlfn.XLOOKUP(G29,products!A:A,products!C:C)</f>
        <v>M</v>
      </c>
      <c r="O29">
        <f>_xlfn.XLOOKUP(G29,products!A:A,products!D:D)</f>
        <v>0.2</v>
      </c>
      <c r="P29">
        <f>_xlfn.XLOOKUP(G29,products!A:A,products!E:E)</f>
        <v>3.375</v>
      </c>
      <c r="Q29">
        <f t="shared" si="3"/>
        <v>16.875</v>
      </c>
      <c r="R29" t="str" cm="1">
        <f t="array" ref="R29">_xlfn.IFS(Q29&lt;=50,"low sales",Q29&lt;=100,"medium sales",Q29&gt;100,"High sales")</f>
        <v>low sales</v>
      </c>
    </row>
    <row r="30" spans="1:18" x14ac:dyDescent="0.35">
      <c r="A30" s="2" t="s">
        <v>649</v>
      </c>
      <c r="B30" s="3">
        <v>44775</v>
      </c>
      <c r="C30" s="3" t="str">
        <f t="shared" si="0"/>
        <v>Tuesday</v>
      </c>
      <c r="D30" s="3" t="str">
        <f t="shared" si="1"/>
        <v>August</v>
      </c>
      <c r="E30" s="3" t="str">
        <f t="shared" si="2"/>
        <v>2022</v>
      </c>
      <c r="F30" s="2" t="s">
        <v>650</v>
      </c>
      <c r="G30" t="s">
        <v>6158</v>
      </c>
      <c r="H30" s="2">
        <v>3</v>
      </c>
      <c r="I30" s="2" t="str">
        <f>_xlfn.XLOOKUP(F30,customers!A:A,customers!B:B)</f>
        <v>Theresita Newbury</v>
      </c>
      <c r="J30" s="2" t="str">
        <f>_xlfn.XLOOKUP(F30,customers!A:A,customers!C:C)</f>
        <v>tnewburys@usda.gov</v>
      </c>
      <c r="K30" s="2" t="str">
        <f>_xlfn.XLOOKUP(F30,customers!A:A,customers!F:F)</f>
        <v>Clonskeagh</v>
      </c>
      <c r="L30" s="2" t="str">
        <f>_xlfn.XLOOKUP(F30,customers!A:A,customers!G:G)</f>
        <v>Ireland</v>
      </c>
      <c r="M30" t="str">
        <f>_xlfn.XLOOKUP(G30,products!A:A,products!B:B)</f>
        <v>Ara</v>
      </c>
      <c r="N30" t="str">
        <f>_xlfn.XLOOKUP(G30,products!A:A,products!C:C)</f>
        <v>D</v>
      </c>
      <c r="O30">
        <f>_xlfn.XLOOKUP(G30,products!A:A,products!D:D)</f>
        <v>0.5</v>
      </c>
      <c r="P30">
        <f>_xlfn.XLOOKUP(G30,products!A:A,products!E:E)</f>
        <v>5.97</v>
      </c>
      <c r="Q30">
        <f t="shared" si="3"/>
        <v>17.91</v>
      </c>
      <c r="R30" t="str" cm="1">
        <f t="array" ref="R30">_xlfn.IFS(Q30&lt;=50,"low sales",Q30&lt;=100,"medium sales",Q30&gt;100,"High sales")</f>
        <v>low sales</v>
      </c>
    </row>
    <row r="31" spans="1:18" x14ac:dyDescent="0.35">
      <c r="A31" s="2" t="s">
        <v>655</v>
      </c>
      <c r="B31" s="3">
        <v>43516</v>
      </c>
      <c r="C31" s="3" t="str">
        <f t="shared" si="0"/>
        <v>Wednesday</v>
      </c>
      <c r="D31" s="3" t="str">
        <f t="shared" si="1"/>
        <v>February</v>
      </c>
      <c r="E31" s="3" t="str">
        <f t="shared" si="2"/>
        <v>2019</v>
      </c>
      <c r="F31" s="2" t="s">
        <v>656</v>
      </c>
      <c r="G31" t="s">
        <v>6147</v>
      </c>
      <c r="H31" s="2">
        <v>4</v>
      </c>
      <c r="I31" s="2" t="str">
        <f>_xlfn.XLOOKUP(F31,customers!A:A,customers!B:B)</f>
        <v>Mozelle Calcutt</v>
      </c>
      <c r="J31" s="2" t="str">
        <f>_xlfn.XLOOKUP(F31,customers!A:A,customers!C:C)</f>
        <v>mcalcuttt@baidu.com</v>
      </c>
      <c r="K31" s="2" t="str">
        <f>_xlfn.XLOOKUP(F31,customers!A:A,customers!F:F)</f>
        <v>Rathwire</v>
      </c>
      <c r="L31" s="2" t="str">
        <f>_xlfn.XLOOKUP(F31,customers!A:A,customers!G:G)</f>
        <v>Ireland</v>
      </c>
      <c r="M31" t="str">
        <f>_xlfn.XLOOKUP(G31,products!A:A,products!B:B)</f>
        <v>Ara</v>
      </c>
      <c r="N31" t="str">
        <f>_xlfn.XLOOKUP(G31,products!A:A,products!C:C)</f>
        <v>D</v>
      </c>
      <c r="O31">
        <f>_xlfn.XLOOKUP(G31,products!A:A,products!D:D)</f>
        <v>1</v>
      </c>
      <c r="P31">
        <f>_xlfn.XLOOKUP(G31,products!A:A,products!E:E)</f>
        <v>9.9499999999999993</v>
      </c>
      <c r="Q31">
        <f t="shared" si="3"/>
        <v>39.799999999999997</v>
      </c>
      <c r="R31" t="str" cm="1">
        <f t="array" ref="R31">_xlfn.IFS(Q31&lt;=50,"low sales",Q31&lt;=100,"medium sales",Q31&gt;100,"High sales")</f>
        <v>low sales</v>
      </c>
    </row>
    <row r="32" spans="1:18" x14ac:dyDescent="0.35">
      <c r="A32" s="2" t="s">
        <v>661</v>
      </c>
      <c r="B32" s="3">
        <v>44464</v>
      </c>
      <c r="C32" s="3" t="str">
        <f t="shared" si="0"/>
        <v>Saturday</v>
      </c>
      <c r="D32" s="3" t="str">
        <f t="shared" si="1"/>
        <v>September</v>
      </c>
      <c r="E32" s="3" t="str">
        <f t="shared" si="2"/>
        <v>2021</v>
      </c>
      <c r="F32" s="2" t="s">
        <v>662</v>
      </c>
      <c r="G32" t="s">
        <v>6159</v>
      </c>
      <c r="H32" s="2">
        <v>5</v>
      </c>
      <c r="I32" s="2" t="str">
        <f>_xlfn.XLOOKUP(F32,customers!A:A,customers!B:B)</f>
        <v>Adrian Swaine</v>
      </c>
      <c r="J32" s="2">
        <f>_xlfn.XLOOKUP(F32,customers!A:A,customers!C:C)</f>
        <v>0</v>
      </c>
      <c r="K32" s="2" t="str">
        <f>_xlfn.XLOOKUP(F32,customers!A:A,customers!F:F)</f>
        <v>Aurora</v>
      </c>
      <c r="L32" s="2" t="str">
        <f>_xlfn.XLOOKUP(F32,customers!A:A,customers!G:G)</f>
        <v>United States</v>
      </c>
      <c r="M32" t="str">
        <f>_xlfn.XLOOKUP(G32,products!A:A,products!B:B)</f>
        <v>Lib</v>
      </c>
      <c r="N32" t="str">
        <f>_xlfn.XLOOKUP(G32,products!A:A,products!C:C)</f>
        <v>M</v>
      </c>
      <c r="O32">
        <f>_xlfn.XLOOKUP(G32,products!A:A,products!D:D)</f>
        <v>0.2</v>
      </c>
      <c r="P32">
        <f>_xlfn.XLOOKUP(G32,products!A:A,products!E:E)</f>
        <v>4.3650000000000002</v>
      </c>
      <c r="Q32">
        <f t="shared" si="3"/>
        <v>21.825000000000003</v>
      </c>
      <c r="R32" t="str" cm="1">
        <f t="array" ref="R32">_xlfn.IFS(Q32&lt;=50,"low sales",Q32&lt;=100,"medium sales",Q32&gt;100,"High sales")</f>
        <v>low sales</v>
      </c>
    </row>
    <row r="33" spans="1:18" x14ac:dyDescent="0.35">
      <c r="A33" s="2" t="s">
        <v>661</v>
      </c>
      <c r="B33" s="3">
        <v>44464</v>
      </c>
      <c r="C33" s="3" t="str">
        <f t="shared" si="0"/>
        <v>Saturday</v>
      </c>
      <c r="D33" s="3" t="str">
        <f t="shared" si="1"/>
        <v>September</v>
      </c>
      <c r="E33" s="3" t="str">
        <f t="shared" si="2"/>
        <v>2021</v>
      </c>
      <c r="F33" s="2" t="s">
        <v>662</v>
      </c>
      <c r="G33" t="s">
        <v>6158</v>
      </c>
      <c r="H33" s="2">
        <v>6</v>
      </c>
      <c r="I33" s="2" t="str">
        <f>_xlfn.XLOOKUP(F33,customers!A:A,customers!B:B)</f>
        <v>Adrian Swaine</v>
      </c>
      <c r="J33" s="2">
        <f>_xlfn.XLOOKUP(F33,customers!A:A,customers!C:C)</f>
        <v>0</v>
      </c>
      <c r="K33" s="2" t="str">
        <f>_xlfn.XLOOKUP(F33,customers!A:A,customers!F:F)</f>
        <v>Aurora</v>
      </c>
      <c r="L33" s="2" t="str">
        <f>_xlfn.XLOOKUP(F33,customers!A:A,customers!G:G)</f>
        <v>United States</v>
      </c>
      <c r="M33" t="str">
        <f>_xlfn.XLOOKUP(G33,products!A:A,products!B:B)</f>
        <v>Ara</v>
      </c>
      <c r="N33" t="str">
        <f>_xlfn.XLOOKUP(G33,products!A:A,products!C:C)</f>
        <v>D</v>
      </c>
      <c r="O33">
        <f>_xlfn.XLOOKUP(G33,products!A:A,products!D:D)</f>
        <v>0.5</v>
      </c>
      <c r="P33">
        <f>_xlfn.XLOOKUP(G33,products!A:A,products!E:E)</f>
        <v>5.97</v>
      </c>
      <c r="Q33">
        <f t="shared" si="3"/>
        <v>35.82</v>
      </c>
      <c r="R33" t="str" cm="1">
        <f t="array" ref="R33">_xlfn.IFS(Q33&lt;=50,"low sales",Q33&lt;=100,"medium sales",Q33&gt;100,"High sales")</f>
        <v>low sales</v>
      </c>
    </row>
    <row r="34" spans="1:18" x14ac:dyDescent="0.35">
      <c r="A34" s="2" t="s">
        <v>661</v>
      </c>
      <c r="B34" s="3">
        <v>44464</v>
      </c>
      <c r="C34" s="3" t="str">
        <f t="shared" si="0"/>
        <v>Saturday</v>
      </c>
      <c r="D34" s="3" t="str">
        <f t="shared" si="1"/>
        <v>September</v>
      </c>
      <c r="E34" s="3" t="str">
        <f t="shared" si="2"/>
        <v>2021</v>
      </c>
      <c r="F34" s="2" t="s">
        <v>662</v>
      </c>
      <c r="G34" t="s">
        <v>6160</v>
      </c>
      <c r="H34" s="2">
        <v>6</v>
      </c>
      <c r="I34" s="2" t="str">
        <f>_xlfn.XLOOKUP(F34,customers!A:A,customers!B:B)</f>
        <v>Adrian Swaine</v>
      </c>
      <c r="J34" s="2">
        <f>_xlfn.XLOOKUP(F34,customers!A:A,customers!C:C)</f>
        <v>0</v>
      </c>
      <c r="K34" s="2" t="str">
        <f>_xlfn.XLOOKUP(F34,customers!A:A,customers!F:F)</f>
        <v>Aurora</v>
      </c>
      <c r="L34" s="2" t="str">
        <f>_xlfn.XLOOKUP(F34,customers!A:A,customers!G:G)</f>
        <v>United States</v>
      </c>
      <c r="M34" t="str">
        <f>_xlfn.XLOOKUP(G34,products!A:A,products!B:B)</f>
        <v>Lib</v>
      </c>
      <c r="N34" t="str">
        <f>_xlfn.XLOOKUP(G34,products!A:A,products!C:C)</f>
        <v>M</v>
      </c>
      <c r="O34">
        <f>_xlfn.XLOOKUP(G34,products!A:A,products!D:D)</f>
        <v>0.5</v>
      </c>
      <c r="P34">
        <f>_xlfn.XLOOKUP(G34,products!A:A,products!E:E)</f>
        <v>8.73</v>
      </c>
      <c r="Q34">
        <f t="shared" si="3"/>
        <v>52.38</v>
      </c>
      <c r="R34" t="str" cm="1">
        <f t="array" ref="R34">_xlfn.IFS(Q34&lt;=50,"low sales",Q34&lt;=100,"medium sales",Q34&gt;100,"High sales")</f>
        <v>medium sales</v>
      </c>
    </row>
    <row r="35" spans="1:18" x14ac:dyDescent="0.35">
      <c r="A35" s="2" t="s">
        <v>676</v>
      </c>
      <c r="B35" s="3">
        <v>44394</v>
      </c>
      <c r="C35" s="3" t="str">
        <f t="shared" si="0"/>
        <v>Saturday</v>
      </c>
      <c r="D35" s="3" t="str">
        <f t="shared" si="1"/>
        <v>July</v>
      </c>
      <c r="E35" s="3" t="str">
        <f t="shared" si="2"/>
        <v>2021</v>
      </c>
      <c r="F35" s="2" t="s">
        <v>677</v>
      </c>
      <c r="G35" t="s">
        <v>6145</v>
      </c>
      <c r="H35" s="2">
        <v>5</v>
      </c>
      <c r="I35" s="2" t="str">
        <f>_xlfn.XLOOKUP(F35,customers!A:A,customers!B:B)</f>
        <v>Gallard Gatheral</v>
      </c>
      <c r="J35" s="2" t="str">
        <f>_xlfn.XLOOKUP(F35,customers!A:A,customers!C:C)</f>
        <v>ggatheralx@123-reg.co.uk</v>
      </c>
      <c r="K35" s="2" t="str">
        <f>_xlfn.XLOOKUP(F35,customers!A:A,customers!F:F)</f>
        <v>Grand Forks</v>
      </c>
      <c r="L35" s="2" t="str">
        <f>_xlfn.XLOOKUP(F35,customers!A:A,customers!G:G)</f>
        <v>United States</v>
      </c>
      <c r="M35" t="str">
        <f>_xlfn.XLOOKUP(G35,products!A:A,products!B:B)</f>
        <v>Lib</v>
      </c>
      <c r="N35" t="str">
        <f>_xlfn.XLOOKUP(G35,products!A:A,products!C:C)</f>
        <v>L</v>
      </c>
      <c r="O35">
        <f>_xlfn.XLOOKUP(G35,products!A:A,products!D:D)</f>
        <v>0.2</v>
      </c>
      <c r="P35">
        <f>_xlfn.XLOOKUP(G35,products!A:A,products!E:E)</f>
        <v>4.7549999999999999</v>
      </c>
      <c r="Q35">
        <f t="shared" si="3"/>
        <v>23.774999999999999</v>
      </c>
      <c r="R35" t="str" cm="1">
        <f t="array" ref="R35">_xlfn.IFS(Q35&lt;=50,"low sales",Q35&lt;=100,"medium sales",Q35&gt;100,"High sales")</f>
        <v>low sales</v>
      </c>
    </row>
    <row r="36" spans="1:18" x14ac:dyDescent="0.35">
      <c r="A36" s="2" t="s">
        <v>681</v>
      </c>
      <c r="B36" s="3">
        <v>44011</v>
      </c>
      <c r="C36" s="3" t="str">
        <f t="shared" si="0"/>
        <v>Monday</v>
      </c>
      <c r="D36" s="3" t="str">
        <f t="shared" si="1"/>
        <v>June</v>
      </c>
      <c r="E36" s="3" t="str">
        <f t="shared" si="2"/>
        <v>2020</v>
      </c>
      <c r="F36" s="2" t="s">
        <v>682</v>
      </c>
      <c r="G36" t="s">
        <v>6161</v>
      </c>
      <c r="H36" s="2">
        <v>6</v>
      </c>
      <c r="I36" s="2" t="str">
        <f>_xlfn.XLOOKUP(F36,customers!A:A,customers!B:B)</f>
        <v>Una Welberry</v>
      </c>
      <c r="J36" s="2" t="str">
        <f>_xlfn.XLOOKUP(F36,customers!A:A,customers!C:C)</f>
        <v>uwelberryy@ebay.co.uk</v>
      </c>
      <c r="K36" s="2" t="str">
        <f>_xlfn.XLOOKUP(F36,customers!A:A,customers!F:F)</f>
        <v>Upton</v>
      </c>
      <c r="L36" s="2" t="str">
        <f>_xlfn.XLOOKUP(F36,customers!A:A,customers!G:G)</f>
        <v>United Kingdom</v>
      </c>
      <c r="M36" t="str">
        <f>_xlfn.XLOOKUP(G36,products!A:A,products!B:B)</f>
        <v>Lib</v>
      </c>
      <c r="N36" t="str">
        <f>_xlfn.XLOOKUP(G36,products!A:A,products!C:C)</f>
        <v>L</v>
      </c>
      <c r="O36">
        <f>_xlfn.XLOOKUP(G36,products!A:A,products!D:D)</f>
        <v>0.5</v>
      </c>
      <c r="P36">
        <f>_xlfn.XLOOKUP(G36,products!A:A,products!E:E)</f>
        <v>9.51</v>
      </c>
      <c r="Q36">
        <f t="shared" si="3"/>
        <v>57.06</v>
      </c>
      <c r="R36" t="str" cm="1">
        <f t="array" ref="R36">_xlfn.IFS(Q36&lt;=50,"low sales",Q36&lt;=100,"medium sales",Q36&gt;100,"High sales")</f>
        <v>medium sales</v>
      </c>
    </row>
    <row r="37" spans="1:18" x14ac:dyDescent="0.35">
      <c r="A37" s="2" t="s">
        <v>687</v>
      </c>
      <c r="B37" s="3">
        <v>44348</v>
      </c>
      <c r="C37" s="3" t="str">
        <f t="shared" si="0"/>
        <v>Tuesday</v>
      </c>
      <c r="D37" s="3" t="str">
        <f t="shared" si="1"/>
        <v>June</v>
      </c>
      <c r="E37" s="3" t="str">
        <f t="shared" si="2"/>
        <v>2021</v>
      </c>
      <c r="F37" s="2" t="s">
        <v>688</v>
      </c>
      <c r="G37" t="s">
        <v>6158</v>
      </c>
      <c r="H37" s="2">
        <v>6</v>
      </c>
      <c r="I37" s="2" t="str">
        <f>_xlfn.XLOOKUP(F37,customers!A:A,customers!B:B)</f>
        <v>Faber Eilhart</v>
      </c>
      <c r="J37" s="2" t="str">
        <f>_xlfn.XLOOKUP(F37,customers!A:A,customers!C:C)</f>
        <v>feilhartz@who.int</v>
      </c>
      <c r="K37" s="2" t="str">
        <f>_xlfn.XLOOKUP(F37,customers!A:A,customers!F:F)</f>
        <v>Charleston</v>
      </c>
      <c r="L37" s="2" t="str">
        <f>_xlfn.XLOOKUP(F37,customers!A:A,customers!G:G)</f>
        <v>United States</v>
      </c>
      <c r="M37" t="str">
        <f>_xlfn.XLOOKUP(G37,products!A:A,products!B:B)</f>
        <v>Ara</v>
      </c>
      <c r="N37" t="str">
        <f>_xlfn.XLOOKUP(G37,products!A:A,products!C:C)</f>
        <v>D</v>
      </c>
      <c r="O37">
        <f>_xlfn.XLOOKUP(G37,products!A:A,products!D:D)</f>
        <v>0.5</v>
      </c>
      <c r="P37">
        <f>_xlfn.XLOOKUP(G37,products!A:A,products!E:E)</f>
        <v>5.97</v>
      </c>
      <c r="Q37">
        <f t="shared" si="3"/>
        <v>35.82</v>
      </c>
      <c r="R37" t="str" cm="1">
        <f t="array" ref="R37">_xlfn.IFS(Q37&lt;=50,"low sales",Q37&lt;=100,"medium sales",Q37&gt;100,"High sales")</f>
        <v>low sales</v>
      </c>
    </row>
    <row r="38" spans="1:18" x14ac:dyDescent="0.35">
      <c r="A38" s="2" t="s">
        <v>693</v>
      </c>
      <c r="B38" s="3">
        <v>44233</v>
      </c>
      <c r="C38" s="3" t="str">
        <f t="shared" si="0"/>
        <v>Saturday</v>
      </c>
      <c r="D38" s="3" t="str">
        <f t="shared" si="1"/>
        <v>February</v>
      </c>
      <c r="E38" s="3" t="str">
        <f t="shared" si="2"/>
        <v>2021</v>
      </c>
      <c r="F38" s="2" t="s">
        <v>694</v>
      </c>
      <c r="G38" t="s">
        <v>6159</v>
      </c>
      <c r="H38" s="2">
        <v>2</v>
      </c>
      <c r="I38" s="2" t="str">
        <f>_xlfn.XLOOKUP(F38,customers!A:A,customers!B:B)</f>
        <v>Zorina Ponting</v>
      </c>
      <c r="J38" s="2" t="str">
        <f>_xlfn.XLOOKUP(F38,customers!A:A,customers!C:C)</f>
        <v>zponting10@altervista.org</v>
      </c>
      <c r="K38" s="2" t="str">
        <f>_xlfn.XLOOKUP(F38,customers!A:A,customers!F:F)</f>
        <v>Little Rock</v>
      </c>
      <c r="L38" s="2" t="str">
        <f>_xlfn.XLOOKUP(F38,customers!A:A,customers!G:G)</f>
        <v>United States</v>
      </c>
      <c r="M38" t="str">
        <f>_xlfn.XLOOKUP(G38,products!A:A,products!B:B)</f>
        <v>Lib</v>
      </c>
      <c r="N38" t="str">
        <f>_xlfn.XLOOKUP(G38,products!A:A,products!C:C)</f>
        <v>M</v>
      </c>
      <c r="O38">
        <f>_xlfn.XLOOKUP(G38,products!A:A,products!D:D)</f>
        <v>0.2</v>
      </c>
      <c r="P38">
        <f>_xlfn.XLOOKUP(G38,products!A:A,products!E:E)</f>
        <v>4.3650000000000002</v>
      </c>
      <c r="Q38">
        <f t="shared" si="3"/>
        <v>8.73</v>
      </c>
      <c r="R38" t="str" cm="1">
        <f t="array" ref="R38">_xlfn.IFS(Q38&lt;=50,"low sales",Q38&lt;=100,"medium sales",Q38&gt;100,"High sales")</f>
        <v>low sales</v>
      </c>
    </row>
    <row r="39" spans="1:18" x14ac:dyDescent="0.35">
      <c r="A39" s="2" t="s">
        <v>699</v>
      </c>
      <c r="B39" s="3">
        <v>43580</v>
      </c>
      <c r="C39" s="3" t="str">
        <f t="shared" si="0"/>
        <v>Thursday</v>
      </c>
      <c r="D39" s="3" t="str">
        <f t="shared" si="1"/>
        <v>April</v>
      </c>
      <c r="E39" s="3" t="str">
        <f t="shared" si="2"/>
        <v>2019</v>
      </c>
      <c r="F39" s="2" t="s">
        <v>700</v>
      </c>
      <c r="G39" t="s">
        <v>6161</v>
      </c>
      <c r="H39" s="2">
        <v>3</v>
      </c>
      <c r="I39" s="2" t="str">
        <f>_xlfn.XLOOKUP(F39,customers!A:A,customers!B:B)</f>
        <v>Silvio Strase</v>
      </c>
      <c r="J39" s="2" t="str">
        <f>_xlfn.XLOOKUP(F39,customers!A:A,customers!C:C)</f>
        <v>sstrase11@booking.com</v>
      </c>
      <c r="K39" s="2" t="str">
        <f>_xlfn.XLOOKUP(F39,customers!A:A,customers!F:F)</f>
        <v>Denver</v>
      </c>
      <c r="L39" s="2" t="str">
        <f>_xlfn.XLOOKUP(F39,customers!A:A,customers!G:G)</f>
        <v>United States</v>
      </c>
      <c r="M39" t="str">
        <f>_xlfn.XLOOKUP(G39,products!A:A,products!B:B)</f>
        <v>Lib</v>
      </c>
      <c r="N39" t="str">
        <f>_xlfn.XLOOKUP(G39,products!A:A,products!C:C)</f>
        <v>L</v>
      </c>
      <c r="O39">
        <f>_xlfn.XLOOKUP(G39,products!A:A,products!D:D)</f>
        <v>0.5</v>
      </c>
      <c r="P39">
        <f>_xlfn.XLOOKUP(G39,products!A:A,products!E:E)</f>
        <v>9.51</v>
      </c>
      <c r="Q39">
        <f t="shared" si="3"/>
        <v>28.53</v>
      </c>
      <c r="R39" t="str" cm="1">
        <f t="array" ref="R39">_xlfn.IFS(Q39&lt;=50,"low sales",Q39&lt;=100,"medium sales",Q39&gt;100,"High sales")</f>
        <v>low sales</v>
      </c>
    </row>
    <row r="40" spans="1:18" x14ac:dyDescent="0.35">
      <c r="A40" s="2" t="s">
        <v>705</v>
      </c>
      <c r="B40" s="3">
        <v>43946</v>
      </c>
      <c r="C40" s="3" t="str">
        <f t="shared" si="0"/>
        <v>Saturday</v>
      </c>
      <c r="D40" s="3" t="str">
        <f t="shared" si="1"/>
        <v>April</v>
      </c>
      <c r="E40" s="3" t="str">
        <f t="shared" si="2"/>
        <v>2020</v>
      </c>
      <c r="F40" s="2" t="s">
        <v>706</v>
      </c>
      <c r="G40" t="s">
        <v>6151</v>
      </c>
      <c r="H40" s="2">
        <v>5</v>
      </c>
      <c r="I40" s="2" t="str">
        <f>_xlfn.XLOOKUP(F40,customers!A:A,customers!B:B)</f>
        <v>Dorie de la Tremoille</v>
      </c>
      <c r="J40" s="2" t="str">
        <f>_xlfn.XLOOKUP(F40,customers!A:A,customers!C:C)</f>
        <v>dde12@unesco.org</v>
      </c>
      <c r="K40" s="2" t="str">
        <f>_xlfn.XLOOKUP(F40,customers!A:A,customers!F:F)</f>
        <v>Minneapolis</v>
      </c>
      <c r="L40" s="2" t="str">
        <f>_xlfn.XLOOKUP(F40,customers!A:A,customers!G:G)</f>
        <v>United States</v>
      </c>
      <c r="M40" t="str">
        <f>_xlfn.XLOOKUP(G40,products!A:A,products!B:B)</f>
        <v>Rob</v>
      </c>
      <c r="N40" t="str">
        <f>_xlfn.XLOOKUP(G40,products!A:A,products!C:C)</f>
        <v>M</v>
      </c>
      <c r="O40">
        <f>_xlfn.XLOOKUP(G40,products!A:A,products!D:D)</f>
        <v>2.5</v>
      </c>
      <c r="P40">
        <f>_xlfn.XLOOKUP(G40,products!A:A,products!E:E)</f>
        <v>22.884999999999998</v>
      </c>
      <c r="Q40">
        <f t="shared" si="3"/>
        <v>114.42499999999998</v>
      </c>
      <c r="R40" t="str" cm="1">
        <f t="array" ref="R40">_xlfn.IFS(Q40&lt;=50,"low sales",Q40&lt;=100,"medium sales",Q40&gt;100,"High sales")</f>
        <v>High sales</v>
      </c>
    </row>
    <row r="41" spans="1:18" x14ac:dyDescent="0.35">
      <c r="A41" s="2" t="s">
        <v>711</v>
      </c>
      <c r="B41" s="3">
        <v>44524</v>
      </c>
      <c r="C41" s="3" t="str">
        <f t="shared" si="0"/>
        <v>Wednesday</v>
      </c>
      <c r="D41" s="3" t="str">
        <f t="shared" si="1"/>
        <v>November</v>
      </c>
      <c r="E41" s="3" t="str">
        <f t="shared" si="2"/>
        <v>2021</v>
      </c>
      <c r="F41" s="2" t="s">
        <v>712</v>
      </c>
      <c r="G41" t="s">
        <v>6138</v>
      </c>
      <c r="H41" s="2">
        <v>6</v>
      </c>
      <c r="I41" s="2" t="str">
        <f>_xlfn.XLOOKUP(F41,customers!A:A,customers!B:B)</f>
        <v>Hy Zanetto</v>
      </c>
      <c r="J41" s="2">
        <f>_xlfn.XLOOKUP(F41,customers!A:A,customers!C:C)</f>
        <v>0</v>
      </c>
      <c r="K41" s="2" t="str">
        <f>_xlfn.XLOOKUP(F41,customers!A:A,customers!F:F)</f>
        <v>Tucson</v>
      </c>
      <c r="L41" s="2" t="str">
        <f>_xlfn.XLOOKUP(F41,customers!A:A,customers!G:G)</f>
        <v>United States</v>
      </c>
      <c r="M41" t="str">
        <f>_xlfn.XLOOKUP(G41,products!A:A,products!B:B)</f>
        <v>Rob</v>
      </c>
      <c r="N41" t="str">
        <f>_xlfn.XLOOKUP(G41,products!A:A,products!C:C)</f>
        <v>M</v>
      </c>
      <c r="O41">
        <f>_xlfn.XLOOKUP(G41,products!A:A,products!D:D)</f>
        <v>1</v>
      </c>
      <c r="P41">
        <f>_xlfn.XLOOKUP(G41,products!A:A,products!E:E)</f>
        <v>9.9499999999999993</v>
      </c>
      <c r="Q41">
        <f t="shared" si="3"/>
        <v>59.699999999999996</v>
      </c>
      <c r="R41" t="str" cm="1">
        <f t="array" ref="R41">_xlfn.IFS(Q41&lt;=50,"low sales",Q41&lt;=100,"medium sales",Q41&gt;100,"High sales")</f>
        <v>medium sales</v>
      </c>
    </row>
    <row r="42" spans="1:18" x14ac:dyDescent="0.35">
      <c r="A42" s="2" t="s">
        <v>715</v>
      </c>
      <c r="B42" s="3">
        <v>44305</v>
      </c>
      <c r="C42" s="3" t="str">
        <f t="shared" si="0"/>
        <v>Monday</v>
      </c>
      <c r="D42" s="3" t="str">
        <f t="shared" si="1"/>
        <v>April</v>
      </c>
      <c r="E42" s="3" t="str">
        <f t="shared" si="2"/>
        <v>2021</v>
      </c>
      <c r="F42" s="2" t="s">
        <v>716</v>
      </c>
      <c r="G42" t="s">
        <v>6162</v>
      </c>
      <c r="H42" s="2">
        <v>3</v>
      </c>
      <c r="I42" s="2" t="str">
        <f>_xlfn.XLOOKUP(F42,customers!A:A,customers!B:B)</f>
        <v>Jessica McNess</v>
      </c>
      <c r="J42" s="2">
        <f>_xlfn.XLOOKUP(F42,customers!A:A,customers!C:C)</f>
        <v>0</v>
      </c>
      <c r="K42" s="2" t="str">
        <f>_xlfn.XLOOKUP(F42,customers!A:A,customers!F:F)</f>
        <v>New Orleans</v>
      </c>
      <c r="L42" s="2" t="str">
        <f>_xlfn.XLOOKUP(F42,customers!A:A,customers!G:G)</f>
        <v>United States</v>
      </c>
      <c r="M42" t="str">
        <f>_xlfn.XLOOKUP(G42,products!A:A,products!B:B)</f>
        <v>Lib</v>
      </c>
      <c r="N42" t="str">
        <f>_xlfn.XLOOKUP(G42,products!A:A,products!C:C)</f>
        <v>M</v>
      </c>
      <c r="O42">
        <f>_xlfn.XLOOKUP(G42,products!A:A,products!D:D)</f>
        <v>1</v>
      </c>
      <c r="P42">
        <f>_xlfn.XLOOKUP(G42,products!A:A,products!E:E)</f>
        <v>14.55</v>
      </c>
      <c r="Q42">
        <f t="shared" si="3"/>
        <v>43.650000000000006</v>
      </c>
      <c r="R42" t="str" cm="1">
        <f t="array" ref="R42">_xlfn.IFS(Q42&lt;=50,"low sales",Q42&lt;=100,"medium sales",Q42&gt;100,"High sales")</f>
        <v>low sales</v>
      </c>
    </row>
    <row r="43" spans="1:18" x14ac:dyDescent="0.35">
      <c r="A43" s="2" t="s">
        <v>720</v>
      </c>
      <c r="B43" s="3">
        <v>44749</v>
      </c>
      <c r="C43" s="3" t="str">
        <f t="shared" si="0"/>
        <v>Thursday</v>
      </c>
      <c r="D43" s="3" t="str">
        <f t="shared" si="1"/>
        <v>July</v>
      </c>
      <c r="E43" s="3" t="str">
        <f t="shared" si="2"/>
        <v>2022</v>
      </c>
      <c r="F43" s="2" t="s">
        <v>721</v>
      </c>
      <c r="G43" t="s">
        <v>6153</v>
      </c>
      <c r="H43" s="2">
        <v>2</v>
      </c>
      <c r="I43" s="2" t="str">
        <f>_xlfn.XLOOKUP(F43,customers!A:A,customers!B:B)</f>
        <v>Lorenzo Yeoland</v>
      </c>
      <c r="J43" s="2" t="str">
        <f>_xlfn.XLOOKUP(F43,customers!A:A,customers!C:C)</f>
        <v>lyeoland15@pbs.org</v>
      </c>
      <c r="K43" s="2" t="str">
        <f>_xlfn.XLOOKUP(F43,customers!A:A,customers!F:F)</f>
        <v>Hartford</v>
      </c>
      <c r="L43" s="2" t="str">
        <f>_xlfn.XLOOKUP(F43,customers!A:A,customers!G:G)</f>
        <v>United States</v>
      </c>
      <c r="M43" t="str">
        <f>_xlfn.XLOOKUP(G43,products!A:A,products!B:B)</f>
        <v>Exc</v>
      </c>
      <c r="N43" t="str">
        <f>_xlfn.XLOOKUP(G43,products!A:A,products!C:C)</f>
        <v>D</v>
      </c>
      <c r="O43">
        <f>_xlfn.XLOOKUP(G43,products!A:A,products!D:D)</f>
        <v>0.2</v>
      </c>
      <c r="P43">
        <f>_xlfn.XLOOKUP(G43,products!A:A,products!E:E)</f>
        <v>3.645</v>
      </c>
      <c r="Q43">
        <f t="shared" si="3"/>
        <v>7.29</v>
      </c>
      <c r="R43" t="str" cm="1">
        <f t="array" ref="R43">_xlfn.IFS(Q43&lt;=50,"low sales",Q43&lt;=100,"medium sales",Q43&gt;100,"High sales")</f>
        <v>low sales</v>
      </c>
    </row>
    <row r="44" spans="1:18" x14ac:dyDescent="0.35">
      <c r="A44" s="2" t="s">
        <v>726</v>
      </c>
      <c r="B44" s="3">
        <v>43607</v>
      </c>
      <c r="C44" s="3" t="str">
        <f t="shared" si="0"/>
        <v>Wednesday</v>
      </c>
      <c r="D44" s="3" t="str">
        <f t="shared" si="1"/>
        <v>May</v>
      </c>
      <c r="E44" s="3" t="str">
        <f t="shared" si="2"/>
        <v>2019</v>
      </c>
      <c r="F44" s="2" t="s">
        <v>727</v>
      </c>
      <c r="G44" t="s">
        <v>6163</v>
      </c>
      <c r="H44" s="2">
        <v>3</v>
      </c>
      <c r="I44" s="2" t="str">
        <f>_xlfn.XLOOKUP(F44,customers!A:A,customers!B:B)</f>
        <v>Abigail Tolworthy</v>
      </c>
      <c r="J44" s="2" t="str">
        <f>_xlfn.XLOOKUP(F44,customers!A:A,customers!C:C)</f>
        <v>atolworthy16@toplist.cz</v>
      </c>
      <c r="K44" s="2" t="str">
        <f>_xlfn.XLOOKUP(F44,customers!A:A,customers!F:F)</f>
        <v>Ogden</v>
      </c>
      <c r="L44" s="2" t="str">
        <f>_xlfn.XLOOKUP(F44,customers!A:A,customers!G:G)</f>
        <v>United States</v>
      </c>
      <c r="M44" t="str">
        <f>_xlfn.XLOOKUP(G44,products!A:A,products!B:B)</f>
        <v>Rob</v>
      </c>
      <c r="N44" t="str">
        <f>_xlfn.XLOOKUP(G44,products!A:A,products!C:C)</f>
        <v>D</v>
      </c>
      <c r="O44">
        <f>_xlfn.XLOOKUP(G44,products!A:A,products!D:D)</f>
        <v>0.2</v>
      </c>
      <c r="P44">
        <f>_xlfn.XLOOKUP(G44,products!A:A,products!E:E)</f>
        <v>2.6849999999999996</v>
      </c>
      <c r="Q44">
        <f t="shared" si="3"/>
        <v>8.0549999999999997</v>
      </c>
      <c r="R44" t="str" cm="1">
        <f t="array" ref="R44">_xlfn.IFS(Q44&lt;=50,"low sales",Q44&lt;=100,"medium sales",Q44&gt;100,"High sales")</f>
        <v>low sales</v>
      </c>
    </row>
    <row r="45" spans="1:18" x14ac:dyDescent="0.35">
      <c r="A45" s="2" t="s">
        <v>733</v>
      </c>
      <c r="B45" s="3">
        <v>44473</v>
      </c>
      <c r="C45" s="3" t="str">
        <f t="shared" si="0"/>
        <v>Monday</v>
      </c>
      <c r="D45" s="3" t="str">
        <f t="shared" si="1"/>
        <v>October</v>
      </c>
      <c r="E45" s="3" t="str">
        <f t="shared" si="2"/>
        <v>2021</v>
      </c>
      <c r="F45" s="2" t="s">
        <v>734</v>
      </c>
      <c r="G45" t="s">
        <v>6164</v>
      </c>
      <c r="H45" s="2">
        <v>2</v>
      </c>
      <c r="I45" s="2" t="str">
        <f>_xlfn.XLOOKUP(F45,customers!A:A,customers!B:B)</f>
        <v>Maurie Bartol</v>
      </c>
      <c r="J45" s="2">
        <f>_xlfn.XLOOKUP(F45,customers!A:A,customers!C:C)</f>
        <v>0</v>
      </c>
      <c r="K45" s="2" t="str">
        <f>_xlfn.XLOOKUP(F45,customers!A:A,customers!F:F)</f>
        <v>Boston</v>
      </c>
      <c r="L45" s="2" t="str">
        <f>_xlfn.XLOOKUP(F45,customers!A:A,customers!G:G)</f>
        <v>United States</v>
      </c>
      <c r="M45" t="str">
        <f>_xlfn.XLOOKUP(G45,products!A:A,products!B:B)</f>
        <v>Lib</v>
      </c>
      <c r="N45" t="str">
        <f>_xlfn.XLOOKUP(G45,products!A:A,products!C:C)</f>
        <v>L</v>
      </c>
      <c r="O45">
        <f>_xlfn.XLOOKUP(G45,products!A:A,products!D:D)</f>
        <v>2.5</v>
      </c>
      <c r="P45">
        <f>_xlfn.XLOOKUP(G45,products!A:A,products!E:E)</f>
        <v>36.454999999999998</v>
      </c>
      <c r="Q45">
        <f t="shared" si="3"/>
        <v>72.91</v>
      </c>
      <c r="R45" t="str" cm="1">
        <f t="array" ref="R45">_xlfn.IFS(Q45&lt;=50,"low sales",Q45&lt;=100,"medium sales",Q45&gt;100,"High sales")</f>
        <v>medium sales</v>
      </c>
    </row>
    <row r="46" spans="1:18" x14ac:dyDescent="0.35">
      <c r="A46" s="2" t="s">
        <v>738</v>
      </c>
      <c r="B46" s="3">
        <v>43932</v>
      </c>
      <c r="C46" s="3" t="str">
        <f t="shared" si="0"/>
        <v>Saturday</v>
      </c>
      <c r="D46" s="3" t="str">
        <f t="shared" si="1"/>
        <v>April</v>
      </c>
      <c r="E46" s="3" t="str">
        <f t="shared" si="2"/>
        <v>2020</v>
      </c>
      <c r="F46" s="2" t="s">
        <v>739</v>
      </c>
      <c r="G46" t="s">
        <v>6139</v>
      </c>
      <c r="H46" s="2">
        <v>2</v>
      </c>
      <c r="I46" s="2" t="str">
        <f>_xlfn.XLOOKUP(F46,customers!A:A,customers!B:B)</f>
        <v>Olag Baudassi</v>
      </c>
      <c r="J46" s="2" t="str">
        <f>_xlfn.XLOOKUP(F46,customers!A:A,customers!C:C)</f>
        <v>obaudassi18@seesaa.net</v>
      </c>
      <c r="K46" s="2" t="str">
        <f>_xlfn.XLOOKUP(F46,customers!A:A,customers!F:F)</f>
        <v>Rochester</v>
      </c>
      <c r="L46" s="2" t="str">
        <f>_xlfn.XLOOKUP(F46,customers!A:A,customers!G:G)</f>
        <v>United States</v>
      </c>
      <c r="M46" t="str">
        <f>_xlfn.XLOOKUP(G46,products!A:A,products!B:B)</f>
        <v>Exc</v>
      </c>
      <c r="N46" t="str">
        <f>_xlfn.XLOOKUP(G46,products!A:A,products!C:C)</f>
        <v>M</v>
      </c>
      <c r="O46">
        <f>_xlfn.XLOOKUP(G46,products!A:A,products!D:D)</f>
        <v>0.5</v>
      </c>
      <c r="P46">
        <f>_xlfn.XLOOKUP(G46,products!A:A,products!E:E)</f>
        <v>8.25</v>
      </c>
      <c r="Q46">
        <f t="shared" si="3"/>
        <v>16.5</v>
      </c>
      <c r="R46" t="str" cm="1">
        <f t="array" ref="R46">_xlfn.IFS(Q46&lt;=50,"low sales",Q46&lt;=100,"medium sales",Q46&gt;100,"High sales")</f>
        <v>low sales</v>
      </c>
    </row>
    <row r="47" spans="1:18" x14ac:dyDescent="0.35">
      <c r="A47" s="2" t="s">
        <v>744</v>
      </c>
      <c r="B47" s="3">
        <v>44592</v>
      </c>
      <c r="C47" s="3" t="str">
        <f t="shared" si="0"/>
        <v>Monday</v>
      </c>
      <c r="D47" s="3" t="str">
        <f t="shared" si="1"/>
        <v>January</v>
      </c>
      <c r="E47" s="3" t="str">
        <f t="shared" si="2"/>
        <v>2022</v>
      </c>
      <c r="F47" s="2" t="s">
        <v>745</v>
      </c>
      <c r="G47" t="s">
        <v>6165</v>
      </c>
      <c r="H47" s="2">
        <v>6</v>
      </c>
      <c r="I47" s="2" t="str">
        <f>_xlfn.XLOOKUP(F47,customers!A:A,customers!B:B)</f>
        <v>Petey Kingsbury</v>
      </c>
      <c r="J47" s="2" t="str">
        <f>_xlfn.XLOOKUP(F47,customers!A:A,customers!C:C)</f>
        <v>pkingsbury19@comcast.net</v>
      </c>
      <c r="K47" s="2" t="str">
        <f>_xlfn.XLOOKUP(F47,customers!A:A,customers!F:F)</f>
        <v>Bronx</v>
      </c>
      <c r="L47" s="2" t="str">
        <f>_xlfn.XLOOKUP(F47,customers!A:A,customers!G:G)</f>
        <v>United States</v>
      </c>
      <c r="M47" t="str">
        <f>_xlfn.XLOOKUP(G47,products!A:A,products!B:B)</f>
        <v>Lib</v>
      </c>
      <c r="N47" t="str">
        <f>_xlfn.XLOOKUP(G47,products!A:A,products!C:C)</f>
        <v>D</v>
      </c>
      <c r="O47">
        <f>_xlfn.XLOOKUP(G47,products!A:A,products!D:D)</f>
        <v>2.5</v>
      </c>
      <c r="P47">
        <f>_xlfn.XLOOKUP(G47,products!A:A,products!E:E)</f>
        <v>29.784999999999997</v>
      </c>
      <c r="Q47">
        <f t="shared" si="3"/>
        <v>178.70999999999998</v>
      </c>
      <c r="R47" t="str" cm="1">
        <f t="array" ref="R47">_xlfn.IFS(Q47&lt;=50,"low sales",Q47&lt;=100,"medium sales",Q47&gt;100,"High sales")</f>
        <v>High sales</v>
      </c>
    </row>
    <row r="48" spans="1:18" x14ac:dyDescent="0.35">
      <c r="A48" s="2" t="s">
        <v>750</v>
      </c>
      <c r="B48" s="3">
        <v>43776</v>
      </c>
      <c r="C48" s="3" t="str">
        <f t="shared" si="0"/>
        <v>Thursday</v>
      </c>
      <c r="D48" s="3" t="str">
        <f t="shared" si="1"/>
        <v>November</v>
      </c>
      <c r="E48" s="3" t="str">
        <f t="shared" si="2"/>
        <v>2019</v>
      </c>
      <c r="F48" s="2" t="s">
        <v>751</v>
      </c>
      <c r="G48" t="s">
        <v>6166</v>
      </c>
      <c r="H48" s="2">
        <v>2</v>
      </c>
      <c r="I48" s="2" t="str">
        <f>_xlfn.XLOOKUP(F48,customers!A:A,customers!B:B)</f>
        <v>Donna Baskeyfied</v>
      </c>
      <c r="J48" s="2">
        <f>_xlfn.XLOOKUP(F48,customers!A:A,customers!C:C)</f>
        <v>0</v>
      </c>
      <c r="K48" s="2" t="str">
        <f>_xlfn.XLOOKUP(F48,customers!A:A,customers!F:F)</f>
        <v>Birmingham</v>
      </c>
      <c r="L48" s="2" t="str">
        <f>_xlfn.XLOOKUP(F48,customers!A:A,customers!G:G)</f>
        <v>United States</v>
      </c>
      <c r="M48" t="str">
        <f>_xlfn.XLOOKUP(G48,products!A:A,products!B:B)</f>
        <v>Exc</v>
      </c>
      <c r="N48" t="str">
        <f>_xlfn.XLOOKUP(G48,products!A:A,products!C:C)</f>
        <v>M</v>
      </c>
      <c r="O48">
        <f>_xlfn.XLOOKUP(G48,products!A:A,products!D:D)</f>
        <v>2.5</v>
      </c>
      <c r="P48">
        <f>_xlfn.XLOOKUP(G48,products!A:A,products!E:E)</f>
        <v>31.624999999999996</v>
      </c>
      <c r="Q48">
        <f t="shared" si="3"/>
        <v>63.249999999999993</v>
      </c>
      <c r="R48" t="str" cm="1">
        <f t="array" ref="R48">_xlfn.IFS(Q48&lt;=50,"low sales",Q48&lt;=100,"medium sales",Q48&gt;100,"High sales")</f>
        <v>medium sales</v>
      </c>
    </row>
    <row r="49" spans="1:18" x14ac:dyDescent="0.35">
      <c r="A49" s="2" t="s">
        <v>755</v>
      </c>
      <c r="B49" s="3">
        <v>43644</v>
      </c>
      <c r="C49" s="3" t="str">
        <f t="shared" si="0"/>
        <v>Friday</v>
      </c>
      <c r="D49" s="3" t="str">
        <f t="shared" si="1"/>
        <v>June</v>
      </c>
      <c r="E49" s="3" t="str">
        <f t="shared" si="2"/>
        <v>2019</v>
      </c>
      <c r="F49" s="2" t="s">
        <v>756</v>
      </c>
      <c r="G49" t="s">
        <v>6167</v>
      </c>
      <c r="H49" s="2">
        <v>2</v>
      </c>
      <c r="I49" s="2" t="str">
        <f>_xlfn.XLOOKUP(F49,customers!A:A,customers!B:B)</f>
        <v>Arda Curley</v>
      </c>
      <c r="J49" s="2" t="str">
        <f>_xlfn.XLOOKUP(F49,customers!A:A,customers!C:C)</f>
        <v>acurley1b@hao123.com</v>
      </c>
      <c r="K49" s="2" t="str">
        <f>_xlfn.XLOOKUP(F49,customers!A:A,customers!F:F)</f>
        <v>San Bernardino</v>
      </c>
      <c r="L49" s="2" t="str">
        <f>_xlfn.XLOOKUP(F49,customers!A:A,customers!G:G)</f>
        <v>United States</v>
      </c>
      <c r="M49" t="str">
        <f>_xlfn.XLOOKUP(G49,products!A:A,products!B:B)</f>
        <v>Ara</v>
      </c>
      <c r="N49" t="str">
        <f>_xlfn.XLOOKUP(G49,products!A:A,products!C:C)</f>
        <v>L</v>
      </c>
      <c r="O49">
        <f>_xlfn.XLOOKUP(G49,products!A:A,products!D:D)</f>
        <v>0.2</v>
      </c>
      <c r="P49">
        <f>_xlfn.XLOOKUP(G49,products!A:A,products!E:E)</f>
        <v>3.8849999999999998</v>
      </c>
      <c r="Q49">
        <f t="shared" si="3"/>
        <v>7.77</v>
      </c>
      <c r="R49" t="str" cm="1">
        <f t="array" ref="R49">_xlfn.IFS(Q49&lt;=50,"low sales",Q49&lt;=100,"medium sales",Q49&gt;100,"High sales")</f>
        <v>low sales</v>
      </c>
    </row>
    <row r="50" spans="1:18" x14ac:dyDescent="0.35">
      <c r="A50" s="2" t="s">
        <v>761</v>
      </c>
      <c r="B50" s="3">
        <v>44085</v>
      </c>
      <c r="C50" s="3" t="str">
        <f t="shared" si="0"/>
        <v>Friday</v>
      </c>
      <c r="D50" s="3" t="str">
        <f t="shared" si="1"/>
        <v>September</v>
      </c>
      <c r="E50" s="3" t="str">
        <f t="shared" si="2"/>
        <v>2020</v>
      </c>
      <c r="F50" s="2" t="s">
        <v>762</v>
      </c>
      <c r="G50" t="s">
        <v>6168</v>
      </c>
      <c r="H50" s="2">
        <v>4</v>
      </c>
      <c r="I50" s="2" t="str">
        <f>_xlfn.XLOOKUP(F50,customers!A:A,customers!B:B)</f>
        <v>Raynor McGilvary</v>
      </c>
      <c r="J50" s="2" t="str">
        <f>_xlfn.XLOOKUP(F50,customers!A:A,customers!C:C)</f>
        <v>rmcgilvary1c@tamu.edu</v>
      </c>
      <c r="K50" s="2" t="str">
        <f>_xlfn.XLOOKUP(F50,customers!A:A,customers!F:F)</f>
        <v>Norfolk</v>
      </c>
      <c r="L50" s="2" t="str">
        <f>_xlfn.XLOOKUP(F50,customers!A:A,customers!G:G)</f>
        <v>United States</v>
      </c>
      <c r="M50" t="str">
        <f>_xlfn.XLOOKUP(G50,products!A:A,products!B:B)</f>
        <v>Ara</v>
      </c>
      <c r="N50" t="str">
        <f>_xlfn.XLOOKUP(G50,products!A:A,products!C:C)</f>
        <v>D</v>
      </c>
      <c r="O50">
        <f>_xlfn.XLOOKUP(G50,products!A:A,products!D:D)</f>
        <v>2.5</v>
      </c>
      <c r="P50">
        <f>_xlfn.XLOOKUP(G50,products!A:A,products!E:E)</f>
        <v>22.884999999999998</v>
      </c>
      <c r="Q50">
        <f t="shared" si="3"/>
        <v>91.539999999999992</v>
      </c>
      <c r="R50" t="str" cm="1">
        <f t="array" ref="R50">_xlfn.IFS(Q50&lt;=50,"low sales",Q50&lt;=100,"medium sales",Q50&gt;100,"High sales")</f>
        <v>medium sales</v>
      </c>
    </row>
    <row r="51" spans="1:18" x14ac:dyDescent="0.35">
      <c r="A51" s="2" t="s">
        <v>766</v>
      </c>
      <c r="B51" s="3">
        <v>44790</v>
      </c>
      <c r="C51" s="3" t="str">
        <f t="shared" si="0"/>
        <v>Wednesday</v>
      </c>
      <c r="D51" s="3" t="str">
        <f t="shared" si="1"/>
        <v>August</v>
      </c>
      <c r="E51" s="3" t="str">
        <f t="shared" si="2"/>
        <v>2022</v>
      </c>
      <c r="F51" s="2" t="s">
        <v>767</v>
      </c>
      <c r="G51" t="s">
        <v>6140</v>
      </c>
      <c r="H51" s="2">
        <v>3</v>
      </c>
      <c r="I51" s="2" t="str">
        <f>_xlfn.XLOOKUP(F51,customers!A:A,customers!B:B)</f>
        <v>Isis Pikett</v>
      </c>
      <c r="J51" s="2" t="str">
        <f>_xlfn.XLOOKUP(F51,customers!A:A,customers!C:C)</f>
        <v>ipikett1d@xinhuanet.com</v>
      </c>
      <c r="K51" s="2" t="str">
        <f>_xlfn.XLOOKUP(F51,customers!A:A,customers!F:F)</f>
        <v>Washington</v>
      </c>
      <c r="L51" s="2" t="str">
        <f>_xlfn.XLOOKUP(F51,customers!A:A,customers!G:G)</f>
        <v>United States</v>
      </c>
      <c r="M51" t="str">
        <f>_xlfn.XLOOKUP(G51,products!A:A,products!B:B)</f>
        <v>Ara</v>
      </c>
      <c r="N51" t="str">
        <f>_xlfn.XLOOKUP(G51,products!A:A,products!C:C)</f>
        <v>L</v>
      </c>
      <c r="O51">
        <f>_xlfn.XLOOKUP(G51,products!A:A,products!D:D)</f>
        <v>1</v>
      </c>
      <c r="P51">
        <f>_xlfn.XLOOKUP(G51,products!A:A,products!E:E)</f>
        <v>12.95</v>
      </c>
      <c r="Q51">
        <f t="shared" si="3"/>
        <v>38.849999999999994</v>
      </c>
      <c r="R51" t="str" cm="1">
        <f t="array" ref="R51">_xlfn.IFS(Q51&lt;=50,"low sales",Q51&lt;=100,"medium sales",Q51&gt;100,"High sales")</f>
        <v>low sales</v>
      </c>
    </row>
    <row r="52" spans="1:18" x14ac:dyDescent="0.35">
      <c r="A52" s="2" t="s">
        <v>772</v>
      </c>
      <c r="B52" s="3">
        <v>44792</v>
      </c>
      <c r="C52" s="3" t="str">
        <f t="shared" si="0"/>
        <v>Friday</v>
      </c>
      <c r="D52" s="3" t="str">
        <f t="shared" si="1"/>
        <v>August</v>
      </c>
      <c r="E52" s="3" t="str">
        <f t="shared" si="2"/>
        <v>2022</v>
      </c>
      <c r="F52" s="2" t="s">
        <v>773</v>
      </c>
      <c r="G52" t="s">
        <v>6169</v>
      </c>
      <c r="H52" s="2">
        <v>2</v>
      </c>
      <c r="I52" s="2" t="str">
        <f>_xlfn.XLOOKUP(F52,customers!A:A,customers!B:B)</f>
        <v>Inger Bouldon</v>
      </c>
      <c r="J52" s="2" t="str">
        <f>_xlfn.XLOOKUP(F52,customers!A:A,customers!C:C)</f>
        <v>ibouldon1e@gizmodo.com</v>
      </c>
      <c r="K52" s="2" t="str">
        <f>_xlfn.XLOOKUP(F52,customers!A:A,customers!F:F)</f>
        <v>Fort Lauderdale</v>
      </c>
      <c r="L52" s="2" t="str">
        <f>_xlfn.XLOOKUP(F52,customers!A:A,customers!G:G)</f>
        <v>United States</v>
      </c>
      <c r="M52" t="str">
        <f>_xlfn.XLOOKUP(G52,products!A:A,products!B:B)</f>
        <v>Lib</v>
      </c>
      <c r="N52" t="str">
        <f>_xlfn.XLOOKUP(G52,products!A:A,products!C:C)</f>
        <v>D</v>
      </c>
      <c r="O52">
        <f>_xlfn.XLOOKUP(G52,products!A:A,products!D:D)</f>
        <v>0.5</v>
      </c>
      <c r="P52">
        <f>_xlfn.XLOOKUP(G52,products!A:A,products!E:E)</f>
        <v>7.77</v>
      </c>
      <c r="Q52">
        <f t="shared" si="3"/>
        <v>15.54</v>
      </c>
      <c r="R52" t="str" cm="1">
        <f t="array" ref="R52">_xlfn.IFS(Q52&lt;=50,"low sales",Q52&lt;=100,"medium sales",Q52&gt;100,"High sales")</f>
        <v>low sales</v>
      </c>
    </row>
    <row r="53" spans="1:18" x14ac:dyDescent="0.35">
      <c r="A53" s="2" t="s">
        <v>778</v>
      </c>
      <c r="B53" s="3">
        <v>43600</v>
      </c>
      <c r="C53" s="3" t="str">
        <f t="shared" si="0"/>
        <v>Wednesday</v>
      </c>
      <c r="D53" s="3" t="str">
        <f t="shared" si="1"/>
        <v>May</v>
      </c>
      <c r="E53" s="3" t="str">
        <f t="shared" si="2"/>
        <v>2019</v>
      </c>
      <c r="F53" s="2" t="s">
        <v>779</v>
      </c>
      <c r="G53" t="s">
        <v>6164</v>
      </c>
      <c r="H53" s="2">
        <v>4</v>
      </c>
      <c r="I53" s="2" t="str">
        <f>_xlfn.XLOOKUP(F53,customers!A:A,customers!B:B)</f>
        <v>Karry Flanders</v>
      </c>
      <c r="J53" s="2" t="str">
        <f>_xlfn.XLOOKUP(F53,customers!A:A,customers!C:C)</f>
        <v>kflanders1f@over-blog.com</v>
      </c>
      <c r="K53" s="2" t="str">
        <f>_xlfn.XLOOKUP(F53,customers!A:A,customers!F:F)</f>
        <v>Crumlin</v>
      </c>
      <c r="L53" s="2" t="str">
        <f>_xlfn.XLOOKUP(F53,customers!A:A,customers!G:G)</f>
        <v>Ireland</v>
      </c>
      <c r="M53" t="str">
        <f>_xlfn.XLOOKUP(G53,products!A:A,products!B:B)</f>
        <v>Lib</v>
      </c>
      <c r="N53" t="str">
        <f>_xlfn.XLOOKUP(G53,products!A:A,products!C:C)</f>
        <v>L</v>
      </c>
      <c r="O53">
        <f>_xlfn.XLOOKUP(G53,products!A:A,products!D:D)</f>
        <v>2.5</v>
      </c>
      <c r="P53">
        <f>_xlfn.XLOOKUP(G53,products!A:A,products!E:E)</f>
        <v>36.454999999999998</v>
      </c>
      <c r="Q53">
        <f t="shared" si="3"/>
        <v>145.82</v>
      </c>
      <c r="R53" t="str" cm="1">
        <f t="array" ref="R53">_xlfn.IFS(Q53&lt;=50,"low sales",Q53&lt;=100,"medium sales",Q53&gt;100,"High sales")</f>
        <v>High sales</v>
      </c>
    </row>
    <row r="54" spans="1:18" x14ac:dyDescent="0.35">
      <c r="A54" s="2" t="s">
        <v>784</v>
      </c>
      <c r="B54" s="3">
        <v>43719</v>
      </c>
      <c r="C54" s="3" t="str">
        <f t="shared" si="0"/>
        <v>Wednesday</v>
      </c>
      <c r="D54" s="3" t="str">
        <f t="shared" si="1"/>
        <v>September</v>
      </c>
      <c r="E54" s="3" t="str">
        <f t="shared" si="2"/>
        <v>2019</v>
      </c>
      <c r="F54" s="2" t="s">
        <v>785</v>
      </c>
      <c r="G54" t="s">
        <v>6146</v>
      </c>
      <c r="H54" s="2">
        <v>5</v>
      </c>
      <c r="I54" s="2" t="str">
        <f>_xlfn.XLOOKUP(F54,customers!A:A,customers!B:B)</f>
        <v>Hartley Mattioli</v>
      </c>
      <c r="J54" s="2" t="str">
        <f>_xlfn.XLOOKUP(F54,customers!A:A,customers!C:C)</f>
        <v>hmattioli1g@webmd.com</v>
      </c>
      <c r="K54" s="2" t="str">
        <f>_xlfn.XLOOKUP(F54,customers!A:A,customers!F:F)</f>
        <v>Kinloch</v>
      </c>
      <c r="L54" s="2" t="str">
        <f>_xlfn.XLOOKUP(F54,customers!A:A,customers!G:G)</f>
        <v>United Kingdom</v>
      </c>
      <c r="M54" t="str">
        <f>_xlfn.XLOOKUP(G54,products!A:A,products!B:B)</f>
        <v>Rob</v>
      </c>
      <c r="N54" t="str">
        <f>_xlfn.XLOOKUP(G54,products!A:A,products!C:C)</f>
        <v>M</v>
      </c>
      <c r="O54">
        <f>_xlfn.XLOOKUP(G54,products!A:A,products!D:D)</f>
        <v>0.5</v>
      </c>
      <c r="P54">
        <f>_xlfn.XLOOKUP(G54,products!A:A,products!E:E)</f>
        <v>5.97</v>
      </c>
      <c r="Q54">
        <f t="shared" si="3"/>
        <v>29.849999999999998</v>
      </c>
      <c r="R54" t="str" cm="1">
        <f t="array" ref="R54">_xlfn.IFS(Q54&lt;=50,"low sales",Q54&lt;=100,"medium sales",Q54&gt;100,"High sales")</f>
        <v>low sales</v>
      </c>
    </row>
    <row r="55" spans="1:18" x14ac:dyDescent="0.35">
      <c r="A55" s="2" t="s">
        <v>784</v>
      </c>
      <c r="B55" s="3">
        <v>43719</v>
      </c>
      <c r="C55" s="3" t="str">
        <f t="shared" si="0"/>
        <v>Wednesday</v>
      </c>
      <c r="D55" s="3" t="str">
        <f t="shared" si="1"/>
        <v>September</v>
      </c>
      <c r="E55" s="3" t="str">
        <f t="shared" si="2"/>
        <v>2019</v>
      </c>
      <c r="F55" s="2" t="s">
        <v>785</v>
      </c>
      <c r="G55" t="s">
        <v>6164</v>
      </c>
      <c r="H55" s="2">
        <v>2</v>
      </c>
      <c r="I55" s="2" t="str">
        <f>_xlfn.XLOOKUP(F55,customers!A:A,customers!B:B)</f>
        <v>Hartley Mattioli</v>
      </c>
      <c r="J55" s="2" t="str">
        <f>_xlfn.XLOOKUP(F55,customers!A:A,customers!C:C)</f>
        <v>hmattioli1g@webmd.com</v>
      </c>
      <c r="K55" s="2" t="str">
        <f>_xlfn.XLOOKUP(F55,customers!A:A,customers!F:F)</f>
        <v>Kinloch</v>
      </c>
      <c r="L55" s="2" t="str">
        <f>_xlfn.XLOOKUP(F55,customers!A:A,customers!G:G)</f>
        <v>United Kingdom</v>
      </c>
      <c r="M55" t="str">
        <f>_xlfn.XLOOKUP(G55,products!A:A,products!B:B)</f>
        <v>Lib</v>
      </c>
      <c r="N55" t="str">
        <f>_xlfn.XLOOKUP(G55,products!A:A,products!C:C)</f>
        <v>L</v>
      </c>
      <c r="O55">
        <f>_xlfn.XLOOKUP(G55,products!A:A,products!D:D)</f>
        <v>2.5</v>
      </c>
      <c r="P55">
        <f>_xlfn.XLOOKUP(G55,products!A:A,products!E:E)</f>
        <v>36.454999999999998</v>
      </c>
      <c r="Q55">
        <f t="shared" si="3"/>
        <v>72.91</v>
      </c>
      <c r="R55" t="str" cm="1">
        <f t="array" ref="R55">_xlfn.IFS(Q55&lt;=50,"low sales",Q55&lt;=100,"medium sales",Q55&gt;100,"High sales")</f>
        <v>medium sales</v>
      </c>
    </row>
    <row r="56" spans="1:18" x14ac:dyDescent="0.35">
      <c r="A56" s="2" t="s">
        <v>794</v>
      </c>
      <c r="B56" s="3">
        <v>44271</v>
      </c>
      <c r="C56" s="3" t="str">
        <f t="shared" si="0"/>
        <v>Tuesday</v>
      </c>
      <c r="D56" s="3" t="str">
        <f t="shared" si="1"/>
        <v>March</v>
      </c>
      <c r="E56" s="3" t="str">
        <f t="shared" si="2"/>
        <v>2021</v>
      </c>
      <c r="F56" s="2" t="s">
        <v>795</v>
      </c>
      <c r="G56" t="s">
        <v>6162</v>
      </c>
      <c r="H56" s="2">
        <v>5</v>
      </c>
      <c r="I56" s="2" t="str">
        <f>_xlfn.XLOOKUP(F56,customers!A:A,customers!B:B)</f>
        <v>Archambault Gillard</v>
      </c>
      <c r="J56" s="2" t="str">
        <f>_xlfn.XLOOKUP(F56,customers!A:A,customers!C:C)</f>
        <v>agillard1i@issuu.com</v>
      </c>
      <c r="K56" s="2" t="str">
        <f>_xlfn.XLOOKUP(F56,customers!A:A,customers!F:F)</f>
        <v>Toledo</v>
      </c>
      <c r="L56" s="2" t="str">
        <f>_xlfn.XLOOKUP(F56,customers!A:A,customers!G:G)</f>
        <v>United States</v>
      </c>
      <c r="M56" t="str">
        <f>_xlfn.XLOOKUP(G56,products!A:A,products!B:B)</f>
        <v>Lib</v>
      </c>
      <c r="N56" t="str">
        <f>_xlfn.XLOOKUP(G56,products!A:A,products!C:C)</f>
        <v>M</v>
      </c>
      <c r="O56">
        <f>_xlfn.XLOOKUP(G56,products!A:A,products!D:D)</f>
        <v>1</v>
      </c>
      <c r="P56">
        <f>_xlfn.XLOOKUP(G56,products!A:A,products!E:E)</f>
        <v>14.55</v>
      </c>
      <c r="Q56">
        <f t="shared" si="3"/>
        <v>72.75</v>
      </c>
      <c r="R56" t="str" cm="1">
        <f t="array" ref="R56">_xlfn.IFS(Q56&lt;=50,"low sales",Q56&lt;=100,"medium sales",Q56&gt;100,"High sales")</f>
        <v>medium sales</v>
      </c>
    </row>
    <row r="57" spans="1:18" x14ac:dyDescent="0.35">
      <c r="A57" s="2" t="s">
        <v>800</v>
      </c>
      <c r="B57" s="3">
        <v>44168</v>
      </c>
      <c r="C57" s="3" t="str">
        <f t="shared" si="0"/>
        <v>Thursday</v>
      </c>
      <c r="D57" s="3" t="str">
        <f t="shared" si="1"/>
        <v>December</v>
      </c>
      <c r="E57" s="3" t="str">
        <f t="shared" si="2"/>
        <v>2020</v>
      </c>
      <c r="F57" s="2" t="s">
        <v>801</v>
      </c>
      <c r="G57" t="s">
        <v>6170</v>
      </c>
      <c r="H57" s="2">
        <v>3</v>
      </c>
      <c r="I57" s="2" t="str">
        <f>_xlfn.XLOOKUP(F57,customers!A:A,customers!B:B)</f>
        <v>Salomo Cushworth</v>
      </c>
      <c r="J57" s="2">
        <f>_xlfn.XLOOKUP(F57,customers!A:A,customers!C:C)</f>
        <v>0</v>
      </c>
      <c r="K57" s="2" t="str">
        <f>_xlfn.XLOOKUP(F57,customers!A:A,customers!F:F)</f>
        <v>Trenton</v>
      </c>
      <c r="L57" s="2" t="str">
        <f>_xlfn.XLOOKUP(F57,customers!A:A,customers!G:G)</f>
        <v>United States</v>
      </c>
      <c r="M57" t="str">
        <f>_xlfn.XLOOKUP(G57,products!A:A,products!B:B)</f>
        <v>Lib</v>
      </c>
      <c r="N57" t="str">
        <f>_xlfn.XLOOKUP(G57,products!A:A,products!C:C)</f>
        <v>L</v>
      </c>
      <c r="O57">
        <f>_xlfn.XLOOKUP(G57,products!A:A,products!D:D)</f>
        <v>1</v>
      </c>
      <c r="P57">
        <f>_xlfn.XLOOKUP(G57,products!A:A,products!E:E)</f>
        <v>15.85</v>
      </c>
      <c r="Q57">
        <f t="shared" si="3"/>
        <v>47.55</v>
      </c>
      <c r="R57" t="str" cm="1">
        <f t="array" ref="R57">_xlfn.IFS(Q57&lt;=50,"low sales",Q57&lt;=100,"medium sales",Q57&gt;100,"High sales")</f>
        <v>low sales</v>
      </c>
    </row>
    <row r="58" spans="1:18" x14ac:dyDescent="0.35">
      <c r="A58" s="2" t="s">
        <v>805</v>
      </c>
      <c r="B58" s="3">
        <v>43857</v>
      </c>
      <c r="C58" s="3" t="str">
        <f t="shared" si="0"/>
        <v>Monday</v>
      </c>
      <c r="D58" s="3" t="str">
        <f t="shared" si="1"/>
        <v>January</v>
      </c>
      <c r="E58" s="3" t="str">
        <f t="shared" si="2"/>
        <v>2020</v>
      </c>
      <c r="F58" s="2" t="s">
        <v>806</v>
      </c>
      <c r="G58" t="s">
        <v>6153</v>
      </c>
      <c r="H58" s="2">
        <v>3</v>
      </c>
      <c r="I58" s="2" t="str">
        <f>_xlfn.XLOOKUP(F58,customers!A:A,customers!B:B)</f>
        <v>Theda Grizard</v>
      </c>
      <c r="J58" s="2" t="str">
        <f>_xlfn.XLOOKUP(F58,customers!A:A,customers!C:C)</f>
        <v>tgrizard1k@odnoklassniki.ru</v>
      </c>
      <c r="K58" s="2" t="str">
        <f>_xlfn.XLOOKUP(F58,customers!A:A,customers!F:F)</f>
        <v>Tampa</v>
      </c>
      <c r="L58" s="2" t="str">
        <f>_xlfn.XLOOKUP(F58,customers!A:A,customers!G:G)</f>
        <v>United States</v>
      </c>
      <c r="M58" t="str">
        <f>_xlfn.XLOOKUP(G58,products!A:A,products!B:B)</f>
        <v>Exc</v>
      </c>
      <c r="N58" t="str">
        <f>_xlfn.XLOOKUP(G58,products!A:A,products!C:C)</f>
        <v>D</v>
      </c>
      <c r="O58">
        <f>_xlfn.XLOOKUP(G58,products!A:A,products!D:D)</f>
        <v>0.2</v>
      </c>
      <c r="P58">
        <f>_xlfn.XLOOKUP(G58,products!A:A,products!E:E)</f>
        <v>3.645</v>
      </c>
      <c r="Q58">
        <f t="shared" si="3"/>
        <v>10.935</v>
      </c>
      <c r="R58" t="str" cm="1">
        <f t="array" ref="R58">_xlfn.IFS(Q58&lt;=50,"low sales",Q58&lt;=100,"medium sales",Q58&gt;100,"High sales")</f>
        <v>low sales</v>
      </c>
    </row>
    <row r="59" spans="1:18" x14ac:dyDescent="0.35">
      <c r="A59" s="2" t="s">
        <v>811</v>
      </c>
      <c r="B59" s="3">
        <v>44759</v>
      </c>
      <c r="C59" s="3" t="str">
        <f t="shared" si="0"/>
        <v>Sunday</v>
      </c>
      <c r="D59" s="3" t="str">
        <f t="shared" si="1"/>
        <v>July</v>
      </c>
      <c r="E59" s="3" t="str">
        <f t="shared" si="2"/>
        <v>2022</v>
      </c>
      <c r="F59" s="2" t="s">
        <v>812</v>
      </c>
      <c r="G59" t="s">
        <v>6171</v>
      </c>
      <c r="H59" s="2">
        <v>4</v>
      </c>
      <c r="I59" s="2" t="str">
        <f>_xlfn.XLOOKUP(F59,customers!A:A,customers!B:B)</f>
        <v>Rozele Relton</v>
      </c>
      <c r="J59" s="2" t="str">
        <f>_xlfn.XLOOKUP(F59,customers!A:A,customers!C:C)</f>
        <v>rrelton1l@stanford.edu</v>
      </c>
      <c r="K59" s="2" t="str">
        <f>_xlfn.XLOOKUP(F59,customers!A:A,customers!F:F)</f>
        <v>Pensacola</v>
      </c>
      <c r="L59" s="2" t="str">
        <f>_xlfn.XLOOKUP(F59,customers!A:A,customers!G:G)</f>
        <v>United States</v>
      </c>
      <c r="M59" t="str">
        <f>_xlfn.XLOOKUP(G59,products!A:A,products!B:B)</f>
        <v>Exc</v>
      </c>
      <c r="N59" t="str">
        <f>_xlfn.XLOOKUP(G59,products!A:A,products!C:C)</f>
        <v>L</v>
      </c>
      <c r="O59">
        <f>_xlfn.XLOOKUP(G59,products!A:A,products!D:D)</f>
        <v>1</v>
      </c>
      <c r="P59">
        <f>_xlfn.XLOOKUP(G59,products!A:A,products!E:E)</f>
        <v>14.85</v>
      </c>
      <c r="Q59">
        <f t="shared" si="3"/>
        <v>59.4</v>
      </c>
      <c r="R59" t="str" cm="1">
        <f t="array" ref="R59">_xlfn.IFS(Q59&lt;=50,"low sales",Q59&lt;=100,"medium sales",Q59&gt;100,"High sales")</f>
        <v>medium sales</v>
      </c>
    </row>
    <row r="60" spans="1:18" x14ac:dyDescent="0.35">
      <c r="A60" s="2" t="s">
        <v>817</v>
      </c>
      <c r="B60" s="3">
        <v>44624</v>
      </c>
      <c r="C60" s="3" t="str">
        <f t="shared" si="0"/>
        <v>Friday</v>
      </c>
      <c r="D60" s="3" t="str">
        <f t="shared" si="1"/>
        <v>March</v>
      </c>
      <c r="E60" s="3" t="str">
        <f t="shared" si="2"/>
        <v>2022</v>
      </c>
      <c r="F60" s="2" t="s">
        <v>818</v>
      </c>
      <c r="G60" t="s">
        <v>6165</v>
      </c>
      <c r="H60" s="2">
        <v>3</v>
      </c>
      <c r="I60" s="2" t="str">
        <f>_xlfn.XLOOKUP(F60,customers!A:A,customers!B:B)</f>
        <v>Willa Rolling</v>
      </c>
      <c r="J60" s="2">
        <f>_xlfn.XLOOKUP(F60,customers!A:A,customers!C:C)</f>
        <v>0</v>
      </c>
      <c r="K60" s="2" t="str">
        <f>_xlfn.XLOOKUP(F60,customers!A:A,customers!F:F)</f>
        <v>Zephyrhills</v>
      </c>
      <c r="L60" s="2" t="str">
        <f>_xlfn.XLOOKUP(F60,customers!A:A,customers!G:G)</f>
        <v>United States</v>
      </c>
      <c r="M60" t="str">
        <f>_xlfn.XLOOKUP(G60,products!A:A,products!B:B)</f>
        <v>Lib</v>
      </c>
      <c r="N60" t="str">
        <f>_xlfn.XLOOKUP(G60,products!A:A,products!C:C)</f>
        <v>D</v>
      </c>
      <c r="O60">
        <f>_xlfn.XLOOKUP(G60,products!A:A,products!D:D)</f>
        <v>2.5</v>
      </c>
      <c r="P60">
        <f>_xlfn.XLOOKUP(G60,products!A:A,products!E:E)</f>
        <v>29.784999999999997</v>
      </c>
      <c r="Q60">
        <f t="shared" si="3"/>
        <v>89.35499999999999</v>
      </c>
      <c r="R60" t="str" cm="1">
        <f t="array" ref="R60">_xlfn.IFS(Q60&lt;=50,"low sales",Q60&lt;=100,"medium sales",Q60&gt;100,"High sales")</f>
        <v>medium sales</v>
      </c>
    </row>
    <row r="61" spans="1:18" x14ac:dyDescent="0.35">
      <c r="A61" s="2" t="s">
        <v>822</v>
      </c>
      <c r="B61" s="3">
        <v>44537</v>
      </c>
      <c r="C61" s="3" t="str">
        <f t="shared" si="0"/>
        <v>Tuesday</v>
      </c>
      <c r="D61" s="3" t="str">
        <f t="shared" si="1"/>
        <v>December</v>
      </c>
      <c r="E61" s="3" t="str">
        <f t="shared" si="2"/>
        <v>2021</v>
      </c>
      <c r="F61" s="2" t="s">
        <v>823</v>
      </c>
      <c r="G61" t="s">
        <v>6160</v>
      </c>
      <c r="H61" s="2">
        <v>3</v>
      </c>
      <c r="I61" s="2" t="str">
        <f>_xlfn.XLOOKUP(F61,customers!A:A,customers!B:B)</f>
        <v>Stanislaus Gilroy</v>
      </c>
      <c r="J61" s="2" t="str">
        <f>_xlfn.XLOOKUP(F61,customers!A:A,customers!C:C)</f>
        <v>sgilroy1n@eepurl.com</v>
      </c>
      <c r="K61" s="2" t="str">
        <f>_xlfn.XLOOKUP(F61,customers!A:A,customers!F:F)</f>
        <v>Saint Paul</v>
      </c>
      <c r="L61" s="2" t="str">
        <f>_xlfn.XLOOKUP(F61,customers!A:A,customers!G:G)</f>
        <v>United States</v>
      </c>
      <c r="M61" t="str">
        <f>_xlfn.XLOOKUP(G61,products!A:A,products!B:B)</f>
        <v>Lib</v>
      </c>
      <c r="N61" t="str">
        <f>_xlfn.XLOOKUP(G61,products!A:A,products!C:C)</f>
        <v>M</v>
      </c>
      <c r="O61">
        <f>_xlfn.XLOOKUP(G61,products!A:A,products!D:D)</f>
        <v>0.5</v>
      </c>
      <c r="P61">
        <f>_xlfn.XLOOKUP(G61,products!A:A,products!E:E)</f>
        <v>8.73</v>
      </c>
      <c r="Q61">
        <f t="shared" si="3"/>
        <v>26.19</v>
      </c>
      <c r="R61" t="str" cm="1">
        <f t="array" ref="R61">_xlfn.IFS(Q61&lt;=50,"low sales",Q61&lt;=100,"medium sales",Q61&gt;100,"High sales")</f>
        <v>low sales</v>
      </c>
    </row>
    <row r="62" spans="1:18" x14ac:dyDescent="0.35">
      <c r="A62" s="2" t="s">
        <v>827</v>
      </c>
      <c r="B62" s="3">
        <v>44252</v>
      </c>
      <c r="C62" s="3" t="str">
        <f t="shared" si="0"/>
        <v>Thursday</v>
      </c>
      <c r="D62" s="3" t="str">
        <f t="shared" si="1"/>
        <v>February</v>
      </c>
      <c r="E62" s="3" t="str">
        <f t="shared" si="2"/>
        <v>2021</v>
      </c>
      <c r="F62" s="2" t="s">
        <v>828</v>
      </c>
      <c r="G62" t="s">
        <v>6168</v>
      </c>
      <c r="H62" s="2">
        <v>5</v>
      </c>
      <c r="I62" s="2" t="str">
        <f>_xlfn.XLOOKUP(F62,customers!A:A,customers!B:B)</f>
        <v>Correy Cottingham</v>
      </c>
      <c r="J62" s="2" t="str">
        <f>_xlfn.XLOOKUP(F62,customers!A:A,customers!C:C)</f>
        <v>ccottingham1o@wikipedia.org</v>
      </c>
      <c r="K62" s="2" t="str">
        <f>_xlfn.XLOOKUP(F62,customers!A:A,customers!F:F)</f>
        <v>Fort Wayne</v>
      </c>
      <c r="L62" s="2" t="str">
        <f>_xlfn.XLOOKUP(F62,customers!A:A,customers!G:G)</f>
        <v>United States</v>
      </c>
      <c r="M62" t="str">
        <f>_xlfn.XLOOKUP(G62,products!A:A,products!B:B)</f>
        <v>Ara</v>
      </c>
      <c r="N62" t="str">
        <f>_xlfn.XLOOKUP(G62,products!A:A,products!C:C)</f>
        <v>D</v>
      </c>
      <c r="O62">
        <f>_xlfn.XLOOKUP(G62,products!A:A,products!D:D)</f>
        <v>2.5</v>
      </c>
      <c r="P62">
        <f>_xlfn.XLOOKUP(G62,products!A:A,products!E:E)</f>
        <v>22.884999999999998</v>
      </c>
      <c r="Q62">
        <f t="shared" si="3"/>
        <v>114.42499999999998</v>
      </c>
      <c r="R62" t="str" cm="1">
        <f t="array" ref="R62">_xlfn.IFS(Q62&lt;=50,"low sales",Q62&lt;=100,"medium sales",Q62&gt;100,"High sales")</f>
        <v>High sales</v>
      </c>
    </row>
    <row r="63" spans="1:18" x14ac:dyDescent="0.35">
      <c r="A63" s="2" t="s">
        <v>833</v>
      </c>
      <c r="B63" s="3">
        <v>43521</v>
      </c>
      <c r="C63" s="3" t="str">
        <f t="shared" si="0"/>
        <v>Monday</v>
      </c>
      <c r="D63" s="3" t="str">
        <f t="shared" si="1"/>
        <v>February</v>
      </c>
      <c r="E63" s="3" t="str">
        <f t="shared" si="2"/>
        <v>2019</v>
      </c>
      <c r="F63" s="2" t="s">
        <v>834</v>
      </c>
      <c r="G63" t="s">
        <v>6172</v>
      </c>
      <c r="H63" s="2">
        <v>5</v>
      </c>
      <c r="I63" s="2" t="str">
        <f>_xlfn.XLOOKUP(F63,customers!A:A,customers!B:B)</f>
        <v>Pammi Endacott</v>
      </c>
      <c r="J63" s="2">
        <f>_xlfn.XLOOKUP(F63,customers!A:A,customers!C:C)</f>
        <v>0</v>
      </c>
      <c r="K63" s="2" t="str">
        <f>_xlfn.XLOOKUP(F63,customers!A:A,customers!F:F)</f>
        <v>Wootton</v>
      </c>
      <c r="L63" s="2" t="str">
        <f>_xlfn.XLOOKUP(F63,customers!A:A,customers!G:G)</f>
        <v>United Kingdom</v>
      </c>
      <c r="M63" t="str">
        <f>_xlfn.XLOOKUP(G63,products!A:A,products!B:B)</f>
        <v>Rob</v>
      </c>
      <c r="N63" t="str">
        <f>_xlfn.XLOOKUP(G63,products!A:A,products!C:C)</f>
        <v>D</v>
      </c>
      <c r="O63">
        <f>_xlfn.XLOOKUP(G63,products!A:A,products!D:D)</f>
        <v>0.5</v>
      </c>
      <c r="P63">
        <f>_xlfn.XLOOKUP(G63,products!A:A,products!E:E)</f>
        <v>5.3699999999999992</v>
      </c>
      <c r="Q63">
        <f t="shared" si="3"/>
        <v>26.849999999999994</v>
      </c>
      <c r="R63" t="str" cm="1">
        <f t="array" ref="R63">_xlfn.IFS(Q63&lt;=50,"low sales",Q63&lt;=100,"medium sales",Q63&gt;100,"High sales")</f>
        <v>low sales</v>
      </c>
    </row>
    <row r="64" spans="1:18" x14ac:dyDescent="0.35">
      <c r="A64" s="2" t="s">
        <v>838</v>
      </c>
      <c r="B64" s="3">
        <v>43505</v>
      </c>
      <c r="C64" s="3" t="str">
        <f t="shared" si="0"/>
        <v>Saturday</v>
      </c>
      <c r="D64" s="3" t="str">
        <f t="shared" si="1"/>
        <v>February</v>
      </c>
      <c r="E64" s="3" t="str">
        <f t="shared" si="2"/>
        <v>2019</v>
      </c>
      <c r="F64" s="2" t="s">
        <v>839</v>
      </c>
      <c r="G64" t="s">
        <v>6145</v>
      </c>
      <c r="H64" s="2">
        <v>5</v>
      </c>
      <c r="I64" s="2" t="str">
        <f>_xlfn.XLOOKUP(F64,customers!A:A,customers!B:B)</f>
        <v>Nona Linklater</v>
      </c>
      <c r="J64" s="2">
        <f>_xlfn.XLOOKUP(F64,customers!A:A,customers!C:C)</f>
        <v>0</v>
      </c>
      <c r="K64" s="2" t="str">
        <f>_xlfn.XLOOKUP(F64,customers!A:A,customers!F:F)</f>
        <v>Naples</v>
      </c>
      <c r="L64" s="2" t="str">
        <f>_xlfn.XLOOKUP(F64,customers!A:A,customers!G:G)</f>
        <v>United States</v>
      </c>
      <c r="M64" t="str">
        <f>_xlfn.XLOOKUP(G64,products!A:A,products!B:B)</f>
        <v>Lib</v>
      </c>
      <c r="N64" t="str">
        <f>_xlfn.XLOOKUP(G64,products!A:A,products!C:C)</f>
        <v>L</v>
      </c>
      <c r="O64">
        <f>_xlfn.XLOOKUP(G64,products!A:A,products!D:D)</f>
        <v>0.2</v>
      </c>
      <c r="P64">
        <f>_xlfn.XLOOKUP(G64,products!A:A,products!E:E)</f>
        <v>4.7549999999999999</v>
      </c>
      <c r="Q64">
        <f t="shared" si="3"/>
        <v>23.774999999999999</v>
      </c>
      <c r="R64" t="str" cm="1">
        <f t="array" ref="R64">_xlfn.IFS(Q64&lt;=50,"low sales",Q64&lt;=100,"medium sales",Q64&gt;100,"High sales")</f>
        <v>low sales</v>
      </c>
    </row>
    <row r="65" spans="1:18" x14ac:dyDescent="0.35">
      <c r="A65" s="2" t="s">
        <v>843</v>
      </c>
      <c r="B65" s="3">
        <v>43868</v>
      </c>
      <c r="C65" s="3" t="str">
        <f t="shared" si="0"/>
        <v>Friday</v>
      </c>
      <c r="D65" s="3" t="str">
        <f t="shared" si="1"/>
        <v>February</v>
      </c>
      <c r="E65" s="3" t="str">
        <f t="shared" si="2"/>
        <v>2020</v>
      </c>
      <c r="F65" s="2" t="s">
        <v>844</v>
      </c>
      <c r="G65" t="s">
        <v>6157</v>
      </c>
      <c r="H65" s="2">
        <v>1</v>
      </c>
      <c r="I65" s="2" t="str">
        <f>_xlfn.XLOOKUP(F65,customers!A:A,customers!B:B)</f>
        <v>Annadiane Dykes</v>
      </c>
      <c r="J65" s="2" t="str">
        <f>_xlfn.XLOOKUP(F65,customers!A:A,customers!C:C)</f>
        <v>adykes1r@eventbrite.com</v>
      </c>
      <c r="K65" s="2" t="str">
        <f>_xlfn.XLOOKUP(F65,customers!A:A,customers!F:F)</f>
        <v>Chicago</v>
      </c>
      <c r="L65" s="2" t="str">
        <f>_xlfn.XLOOKUP(F65,customers!A:A,customers!G:G)</f>
        <v>United States</v>
      </c>
      <c r="M65" t="str">
        <f>_xlfn.XLOOKUP(G65,products!A:A,products!B:B)</f>
        <v>Ara</v>
      </c>
      <c r="N65" t="str">
        <f>_xlfn.XLOOKUP(G65,products!A:A,products!C:C)</f>
        <v>M</v>
      </c>
      <c r="O65">
        <f>_xlfn.XLOOKUP(G65,products!A:A,products!D:D)</f>
        <v>0.5</v>
      </c>
      <c r="P65">
        <f>_xlfn.XLOOKUP(G65,products!A:A,products!E:E)</f>
        <v>6.75</v>
      </c>
      <c r="Q65">
        <f t="shared" si="3"/>
        <v>6.75</v>
      </c>
      <c r="R65" t="str" cm="1">
        <f t="array" ref="R65">_xlfn.IFS(Q65&lt;=50,"low sales",Q65&lt;=100,"medium sales",Q65&gt;100,"High sales")</f>
        <v>low sales</v>
      </c>
    </row>
    <row r="66" spans="1:18" x14ac:dyDescent="0.35">
      <c r="A66" s="2" t="s">
        <v>849</v>
      </c>
      <c r="B66" s="3">
        <v>43913</v>
      </c>
      <c r="C66" s="3" t="str">
        <f t="shared" si="0"/>
        <v>Monday</v>
      </c>
      <c r="D66" s="3" t="str">
        <f t="shared" si="1"/>
        <v>March</v>
      </c>
      <c r="E66" s="3" t="str">
        <f t="shared" si="2"/>
        <v>2020</v>
      </c>
      <c r="F66" s="2" t="s">
        <v>850</v>
      </c>
      <c r="G66" t="s">
        <v>6146</v>
      </c>
      <c r="H66" s="2">
        <v>6</v>
      </c>
      <c r="I66" s="2" t="str">
        <f>_xlfn.XLOOKUP(F66,customers!A:A,customers!B:B)</f>
        <v>Felecia Dodgson</v>
      </c>
      <c r="J66" s="2">
        <f>_xlfn.XLOOKUP(F66,customers!A:A,customers!C:C)</f>
        <v>0</v>
      </c>
      <c r="K66" s="2" t="str">
        <f>_xlfn.XLOOKUP(F66,customers!A:A,customers!F:F)</f>
        <v>Newark</v>
      </c>
      <c r="L66" s="2" t="str">
        <f>_xlfn.XLOOKUP(F66,customers!A:A,customers!G:G)</f>
        <v>United States</v>
      </c>
      <c r="M66" t="str">
        <f>_xlfn.XLOOKUP(G66,products!A:A,products!B:B)</f>
        <v>Rob</v>
      </c>
      <c r="N66" t="str">
        <f>_xlfn.XLOOKUP(G66,products!A:A,products!C:C)</f>
        <v>M</v>
      </c>
      <c r="O66">
        <f>_xlfn.XLOOKUP(G66,products!A:A,products!D:D)</f>
        <v>0.5</v>
      </c>
      <c r="P66">
        <f>_xlfn.XLOOKUP(G66,products!A:A,products!E:E)</f>
        <v>5.97</v>
      </c>
      <c r="Q66">
        <f t="shared" si="3"/>
        <v>35.82</v>
      </c>
      <c r="R66" t="str" cm="1">
        <f t="array" ref="R66">_xlfn.IFS(Q66&lt;=50,"low sales",Q66&lt;=100,"medium sales",Q66&gt;100,"High sales")</f>
        <v>low sales</v>
      </c>
    </row>
    <row r="67" spans="1:18" x14ac:dyDescent="0.35">
      <c r="A67" s="2" t="s">
        <v>854</v>
      </c>
      <c r="B67" s="3">
        <v>44626</v>
      </c>
      <c r="C67" s="3" t="str">
        <f t="shared" ref="C67:C130" si="4">TEXT(B67,"DDDD")</f>
        <v>Sunday</v>
      </c>
      <c r="D67" s="3" t="str">
        <f t="shared" ref="D67:D130" si="5">TEXT(B67,"MMMM")</f>
        <v>March</v>
      </c>
      <c r="E67" s="3" t="str">
        <f t="shared" ref="E67:E130" si="6">TEXT(B67,"YYYY")</f>
        <v>2022</v>
      </c>
      <c r="F67" s="2" t="s">
        <v>855</v>
      </c>
      <c r="G67" t="s">
        <v>6149</v>
      </c>
      <c r="H67" s="2">
        <v>4</v>
      </c>
      <c r="I67" s="2" t="str">
        <f>_xlfn.XLOOKUP(F67,customers!A:A,customers!B:B)</f>
        <v>Angelia Cockrem</v>
      </c>
      <c r="J67" s="2" t="str">
        <f>_xlfn.XLOOKUP(F67,customers!A:A,customers!C:C)</f>
        <v>acockrem1t@engadget.com</v>
      </c>
      <c r="K67" s="2" t="str">
        <f>_xlfn.XLOOKUP(F67,customers!A:A,customers!F:F)</f>
        <v>Vienna</v>
      </c>
      <c r="L67" s="2" t="str">
        <f>_xlfn.XLOOKUP(F67,customers!A:A,customers!G:G)</f>
        <v>United States</v>
      </c>
      <c r="M67" t="str">
        <f>_xlfn.XLOOKUP(G67,products!A:A,products!B:B)</f>
        <v>Rob</v>
      </c>
      <c r="N67" t="str">
        <f>_xlfn.XLOOKUP(G67,products!A:A,products!C:C)</f>
        <v>D</v>
      </c>
      <c r="O67">
        <f>_xlfn.XLOOKUP(G67,products!A:A,products!D:D)</f>
        <v>2.5</v>
      </c>
      <c r="P67">
        <f>_xlfn.XLOOKUP(G67,products!A:A,products!E:E)</f>
        <v>20.584999999999997</v>
      </c>
      <c r="Q67">
        <f t="shared" ref="Q67:Q130" si="7">P67*H67</f>
        <v>82.339999999999989</v>
      </c>
      <c r="R67" t="str" cm="1">
        <f t="array" ref="R67">_xlfn.IFS(Q67&lt;=50,"low sales",Q67&lt;=100,"medium sales",Q67&gt;100,"High sales")</f>
        <v>medium sales</v>
      </c>
    </row>
    <row r="68" spans="1:18" x14ac:dyDescent="0.35">
      <c r="A68" s="2" t="s">
        <v>860</v>
      </c>
      <c r="B68" s="3">
        <v>44666</v>
      </c>
      <c r="C68" s="3" t="str">
        <f t="shared" si="4"/>
        <v>Friday</v>
      </c>
      <c r="D68" s="3" t="str">
        <f t="shared" si="5"/>
        <v>April</v>
      </c>
      <c r="E68" s="3" t="str">
        <f t="shared" si="6"/>
        <v>2022</v>
      </c>
      <c r="F68" s="2" t="s">
        <v>861</v>
      </c>
      <c r="G68" t="s">
        <v>6173</v>
      </c>
      <c r="H68" s="2">
        <v>1</v>
      </c>
      <c r="I68" s="2" t="str">
        <f>_xlfn.XLOOKUP(F68,customers!A:A,customers!B:B)</f>
        <v>Belvia Umpleby</v>
      </c>
      <c r="J68" s="2" t="str">
        <f>_xlfn.XLOOKUP(F68,customers!A:A,customers!C:C)</f>
        <v>bumpleby1u@soundcloud.com</v>
      </c>
      <c r="K68" s="2" t="str">
        <f>_xlfn.XLOOKUP(F68,customers!A:A,customers!F:F)</f>
        <v>Fort Worth</v>
      </c>
      <c r="L68" s="2" t="str">
        <f>_xlfn.XLOOKUP(F68,customers!A:A,customers!G:G)</f>
        <v>United States</v>
      </c>
      <c r="M68" t="str">
        <f>_xlfn.XLOOKUP(G68,products!A:A,products!B:B)</f>
        <v>Rob</v>
      </c>
      <c r="N68" t="str">
        <f>_xlfn.XLOOKUP(G68,products!A:A,products!C:C)</f>
        <v>L</v>
      </c>
      <c r="O68">
        <f>_xlfn.XLOOKUP(G68,products!A:A,products!D:D)</f>
        <v>0.5</v>
      </c>
      <c r="P68">
        <f>_xlfn.XLOOKUP(G68,products!A:A,products!E:E)</f>
        <v>7.169999999999999</v>
      </c>
      <c r="Q68">
        <f t="shared" si="7"/>
        <v>7.169999999999999</v>
      </c>
      <c r="R68" t="str" cm="1">
        <f t="array" ref="R68">_xlfn.IFS(Q68&lt;=50,"low sales",Q68&lt;=100,"medium sales",Q68&gt;100,"High sales")</f>
        <v>low sales</v>
      </c>
    </row>
    <row r="69" spans="1:18" x14ac:dyDescent="0.35">
      <c r="A69" s="2" t="s">
        <v>866</v>
      </c>
      <c r="B69" s="3">
        <v>44519</v>
      </c>
      <c r="C69" s="3" t="str">
        <f t="shared" si="4"/>
        <v>Friday</v>
      </c>
      <c r="D69" s="3" t="str">
        <f t="shared" si="5"/>
        <v>November</v>
      </c>
      <c r="E69" s="3" t="str">
        <f t="shared" si="6"/>
        <v>2021</v>
      </c>
      <c r="F69" s="2" t="s">
        <v>867</v>
      </c>
      <c r="G69" t="s">
        <v>6145</v>
      </c>
      <c r="H69" s="2">
        <v>2</v>
      </c>
      <c r="I69" s="2" t="str">
        <f>_xlfn.XLOOKUP(F69,customers!A:A,customers!B:B)</f>
        <v>Nat Saleway</v>
      </c>
      <c r="J69" s="2" t="str">
        <f>_xlfn.XLOOKUP(F69,customers!A:A,customers!C:C)</f>
        <v>nsaleway1v@dedecms.com</v>
      </c>
      <c r="K69" s="2" t="str">
        <f>_xlfn.XLOOKUP(F69,customers!A:A,customers!F:F)</f>
        <v>Burbank</v>
      </c>
      <c r="L69" s="2" t="str">
        <f>_xlfn.XLOOKUP(F69,customers!A:A,customers!G:G)</f>
        <v>United States</v>
      </c>
      <c r="M69" t="str">
        <f>_xlfn.XLOOKUP(G69,products!A:A,products!B:B)</f>
        <v>Lib</v>
      </c>
      <c r="N69" t="str">
        <f>_xlfn.XLOOKUP(G69,products!A:A,products!C:C)</f>
        <v>L</v>
      </c>
      <c r="O69">
        <f>_xlfn.XLOOKUP(G69,products!A:A,products!D:D)</f>
        <v>0.2</v>
      </c>
      <c r="P69">
        <f>_xlfn.XLOOKUP(G69,products!A:A,products!E:E)</f>
        <v>4.7549999999999999</v>
      </c>
      <c r="Q69">
        <f t="shared" si="7"/>
        <v>9.51</v>
      </c>
      <c r="R69" t="str" cm="1">
        <f t="array" ref="R69">_xlfn.IFS(Q69&lt;=50,"low sales",Q69&lt;=100,"medium sales",Q69&gt;100,"High sales")</f>
        <v>low sales</v>
      </c>
    </row>
    <row r="70" spans="1:18" x14ac:dyDescent="0.35">
      <c r="A70" s="2" t="s">
        <v>872</v>
      </c>
      <c r="B70" s="3">
        <v>43754</v>
      </c>
      <c r="C70" s="3" t="str">
        <f t="shared" si="4"/>
        <v>Wednesday</v>
      </c>
      <c r="D70" s="3" t="str">
        <f t="shared" si="5"/>
        <v>October</v>
      </c>
      <c r="E70" s="3" t="str">
        <f t="shared" si="6"/>
        <v>2019</v>
      </c>
      <c r="F70" s="2" t="s">
        <v>873</v>
      </c>
      <c r="G70" t="s">
        <v>6174</v>
      </c>
      <c r="H70" s="2">
        <v>1</v>
      </c>
      <c r="I70" s="2" t="str">
        <f>_xlfn.XLOOKUP(F70,customers!A:A,customers!B:B)</f>
        <v>Hayward Goulter</v>
      </c>
      <c r="J70" s="2" t="str">
        <f>_xlfn.XLOOKUP(F70,customers!A:A,customers!C:C)</f>
        <v>hgoulter1w@abc.net.au</v>
      </c>
      <c r="K70" s="2" t="str">
        <f>_xlfn.XLOOKUP(F70,customers!A:A,customers!F:F)</f>
        <v>Kingsport</v>
      </c>
      <c r="L70" s="2" t="str">
        <f>_xlfn.XLOOKUP(F70,customers!A:A,customers!G:G)</f>
        <v>United States</v>
      </c>
      <c r="M70" t="str">
        <f>_xlfn.XLOOKUP(G70,products!A:A,products!B:B)</f>
        <v>Rob</v>
      </c>
      <c r="N70" t="str">
        <f>_xlfn.XLOOKUP(G70,products!A:A,products!C:C)</f>
        <v>M</v>
      </c>
      <c r="O70">
        <f>_xlfn.XLOOKUP(G70,products!A:A,products!D:D)</f>
        <v>0.2</v>
      </c>
      <c r="P70">
        <f>_xlfn.XLOOKUP(G70,products!A:A,products!E:E)</f>
        <v>2.9849999999999999</v>
      </c>
      <c r="Q70">
        <f t="shared" si="7"/>
        <v>2.9849999999999999</v>
      </c>
      <c r="R70" t="str" cm="1">
        <f t="array" ref="R70">_xlfn.IFS(Q70&lt;=50,"low sales",Q70&lt;=100,"medium sales",Q70&gt;100,"High sales")</f>
        <v>low sales</v>
      </c>
    </row>
    <row r="71" spans="1:18" x14ac:dyDescent="0.35">
      <c r="A71" s="2" t="s">
        <v>878</v>
      </c>
      <c r="B71" s="3">
        <v>43795</v>
      </c>
      <c r="C71" s="3" t="str">
        <f t="shared" si="4"/>
        <v>Tuesday</v>
      </c>
      <c r="D71" s="3" t="str">
        <f t="shared" si="5"/>
        <v>November</v>
      </c>
      <c r="E71" s="3" t="str">
        <f t="shared" si="6"/>
        <v>2019</v>
      </c>
      <c r="F71" s="2" t="s">
        <v>879</v>
      </c>
      <c r="G71" t="s">
        <v>6138</v>
      </c>
      <c r="H71" s="2">
        <v>6</v>
      </c>
      <c r="I71" s="2" t="str">
        <f>_xlfn.XLOOKUP(F71,customers!A:A,customers!B:B)</f>
        <v>Gay Rizzello</v>
      </c>
      <c r="J71" s="2" t="str">
        <f>_xlfn.XLOOKUP(F71,customers!A:A,customers!C:C)</f>
        <v>grizzello1x@symantec.com</v>
      </c>
      <c r="K71" s="2" t="str">
        <f>_xlfn.XLOOKUP(F71,customers!A:A,customers!F:F)</f>
        <v>Liverpool</v>
      </c>
      <c r="L71" s="2" t="str">
        <f>_xlfn.XLOOKUP(F71,customers!A:A,customers!G:G)</f>
        <v>United Kingdom</v>
      </c>
      <c r="M71" t="str">
        <f>_xlfn.XLOOKUP(G71,products!A:A,products!B:B)</f>
        <v>Rob</v>
      </c>
      <c r="N71" t="str">
        <f>_xlfn.XLOOKUP(G71,products!A:A,products!C:C)</f>
        <v>M</v>
      </c>
      <c r="O71">
        <f>_xlfn.XLOOKUP(G71,products!A:A,products!D:D)</f>
        <v>1</v>
      </c>
      <c r="P71">
        <f>_xlfn.XLOOKUP(G71,products!A:A,products!E:E)</f>
        <v>9.9499999999999993</v>
      </c>
      <c r="Q71">
        <f t="shared" si="7"/>
        <v>59.699999999999996</v>
      </c>
      <c r="R71" t="str" cm="1">
        <f t="array" ref="R71">_xlfn.IFS(Q71&lt;=50,"low sales",Q71&lt;=100,"medium sales",Q71&gt;100,"High sales")</f>
        <v>medium sales</v>
      </c>
    </row>
    <row r="72" spans="1:18" x14ac:dyDescent="0.35">
      <c r="A72" s="2" t="s">
        <v>885</v>
      </c>
      <c r="B72" s="3">
        <v>43646</v>
      </c>
      <c r="C72" s="3" t="str">
        <f t="shared" si="4"/>
        <v>Sunday</v>
      </c>
      <c r="D72" s="3" t="str">
        <f t="shared" si="5"/>
        <v>June</v>
      </c>
      <c r="E72" s="3" t="str">
        <f t="shared" si="6"/>
        <v>2019</v>
      </c>
      <c r="F72" s="2" t="s">
        <v>886</v>
      </c>
      <c r="G72" t="s">
        <v>6148</v>
      </c>
      <c r="H72" s="2">
        <v>4</v>
      </c>
      <c r="I72" s="2" t="str">
        <f>_xlfn.XLOOKUP(F72,customers!A:A,customers!B:B)</f>
        <v>Shannon List</v>
      </c>
      <c r="J72" s="2" t="str">
        <f>_xlfn.XLOOKUP(F72,customers!A:A,customers!C:C)</f>
        <v>slist1y@mapquest.com</v>
      </c>
      <c r="K72" s="2" t="str">
        <f>_xlfn.XLOOKUP(F72,customers!A:A,customers!F:F)</f>
        <v>Columbus</v>
      </c>
      <c r="L72" s="2" t="str">
        <f>_xlfn.XLOOKUP(F72,customers!A:A,customers!G:G)</f>
        <v>United States</v>
      </c>
      <c r="M72" t="str">
        <f>_xlfn.XLOOKUP(G72,products!A:A,products!B:B)</f>
        <v>Exc</v>
      </c>
      <c r="N72" t="str">
        <f>_xlfn.XLOOKUP(G72,products!A:A,products!C:C)</f>
        <v>L</v>
      </c>
      <c r="O72">
        <f>_xlfn.XLOOKUP(G72,products!A:A,products!D:D)</f>
        <v>2.5</v>
      </c>
      <c r="P72">
        <f>_xlfn.XLOOKUP(G72,products!A:A,products!E:E)</f>
        <v>34.154999999999994</v>
      </c>
      <c r="Q72">
        <f t="shared" si="7"/>
        <v>136.61999999999998</v>
      </c>
      <c r="R72" t="str" cm="1">
        <f t="array" ref="R72">_xlfn.IFS(Q72&lt;=50,"low sales",Q72&lt;=100,"medium sales",Q72&gt;100,"High sales")</f>
        <v>High sales</v>
      </c>
    </row>
    <row r="73" spans="1:18" x14ac:dyDescent="0.35">
      <c r="A73" s="2" t="s">
        <v>891</v>
      </c>
      <c r="B73" s="3">
        <v>44200</v>
      </c>
      <c r="C73" s="3" t="str">
        <f t="shared" si="4"/>
        <v>Monday</v>
      </c>
      <c r="D73" s="3" t="str">
        <f t="shared" si="5"/>
        <v>January</v>
      </c>
      <c r="E73" s="3" t="str">
        <f t="shared" si="6"/>
        <v>2021</v>
      </c>
      <c r="F73" s="2" t="s">
        <v>892</v>
      </c>
      <c r="G73" t="s">
        <v>6145</v>
      </c>
      <c r="H73" s="2">
        <v>2</v>
      </c>
      <c r="I73" s="2" t="str">
        <f>_xlfn.XLOOKUP(F73,customers!A:A,customers!B:B)</f>
        <v>Shirlene Edmondson</v>
      </c>
      <c r="J73" s="2" t="str">
        <f>_xlfn.XLOOKUP(F73,customers!A:A,customers!C:C)</f>
        <v>sedmondson1z@theguardian.com</v>
      </c>
      <c r="K73" s="2" t="str">
        <f>_xlfn.XLOOKUP(F73,customers!A:A,customers!F:F)</f>
        <v>Newmarket on Fergus</v>
      </c>
      <c r="L73" s="2" t="str">
        <f>_xlfn.XLOOKUP(F73,customers!A:A,customers!G:G)</f>
        <v>Ireland</v>
      </c>
      <c r="M73" t="str">
        <f>_xlfn.XLOOKUP(G73,products!A:A,products!B:B)</f>
        <v>Lib</v>
      </c>
      <c r="N73" t="str">
        <f>_xlfn.XLOOKUP(G73,products!A:A,products!C:C)</f>
        <v>L</v>
      </c>
      <c r="O73">
        <f>_xlfn.XLOOKUP(G73,products!A:A,products!D:D)</f>
        <v>0.2</v>
      </c>
      <c r="P73">
        <f>_xlfn.XLOOKUP(G73,products!A:A,products!E:E)</f>
        <v>4.7549999999999999</v>
      </c>
      <c r="Q73">
        <f t="shared" si="7"/>
        <v>9.51</v>
      </c>
      <c r="R73" t="str" cm="1">
        <f t="array" ref="R73">_xlfn.IFS(Q73&lt;=50,"low sales",Q73&lt;=100,"medium sales",Q73&gt;100,"High sales")</f>
        <v>low sales</v>
      </c>
    </row>
    <row r="74" spans="1:18" x14ac:dyDescent="0.35">
      <c r="A74" s="2" t="s">
        <v>897</v>
      </c>
      <c r="B74" s="3">
        <v>44131</v>
      </c>
      <c r="C74" s="3" t="str">
        <f t="shared" si="4"/>
        <v>Tuesday</v>
      </c>
      <c r="D74" s="3" t="str">
        <f t="shared" si="5"/>
        <v>October</v>
      </c>
      <c r="E74" s="3" t="str">
        <f t="shared" si="6"/>
        <v>2020</v>
      </c>
      <c r="F74" s="2" t="s">
        <v>898</v>
      </c>
      <c r="G74" t="s">
        <v>6175</v>
      </c>
      <c r="H74" s="2">
        <v>3</v>
      </c>
      <c r="I74" s="2" t="str">
        <f>_xlfn.XLOOKUP(F74,customers!A:A,customers!B:B)</f>
        <v>Aurlie McCarl</v>
      </c>
      <c r="J74" s="2">
        <f>_xlfn.XLOOKUP(F74,customers!A:A,customers!C:C)</f>
        <v>0</v>
      </c>
      <c r="K74" s="2" t="str">
        <f>_xlfn.XLOOKUP(F74,customers!A:A,customers!F:F)</f>
        <v>New Orleans</v>
      </c>
      <c r="L74" s="2" t="str">
        <f>_xlfn.XLOOKUP(F74,customers!A:A,customers!G:G)</f>
        <v>United States</v>
      </c>
      <c r="M74" t="str">
        <f>_xlfn.XLOOKUP(G74,products!A:A,products!B:B)</f>
        <v>Ara</v>
      </c>
      <c r="N74" t="str">
        <f>_xlfn.XLOOKUP(G74,products!A:A,products!C:C)</f>
        <v>M</v>
      </c>
      <c r="O74">
        <f>_xlfn.XLOOKUP(G74,products!A:A,products!D:D)</f>
        <v>2.5</v>
      </c>
      <c r="P74">
        <f>_xlfn.XLOOKUP(G74,products!A:A,products!E:E)</f>
        <v>25.874999999999996</v>
      </c>
      <c r="Q74">
        <f t="shared" si="7"/>
        <v>77.624999999999986</v>
      </c>
      <c r="R74" t="str" cm="1">
        <f t="array" ref="R74">_xlfn.IFS(Q74&lt;=50,"low sales",Q74&lt;=100,"medium sales",Q74&gt;100,"High sales")</f>
        <v>medium sales</v>
      </c>
    </row>
    <row r="75" spans="1:18" x14ac:dyDescent="0.35">
      <c r="A75" s="2" t="s">
        <v>902</v>
      </c>
      <c r="B75" s="3">
        <v>44362</v>
      </c>
      <c r="C75" s="3" t="str">
        <f t="shared" si="4"/>
        <v>Tuesday</v>
      </c>
      <c r="D75" s="3" t="str">
        <f t="shared" si="5"/>
        <v>June</v>
      </c>
      <c r="E75" s="3" t="str">
        <f t="shared" si="6"/>
        <v>2021</v>
      </c>
      <c r="F75" s="2" t="s">
        <v>903</v>
      </c>
      <c r="G75" t="s">
        <v>6159</v>
      </c>
      <c r="H75" s="2">
        <v>5</v>
      </c>
      <c r="I75" s="2" t="str">
        <f>_xlfn.XLOOKUP(F75,customers!A:A,customers!B:B)</f>
        <v>Alikee Carryer</v>
      </c>
      <c r="J75" s="2">
        <f>_xlfn.XLOOKUP(F75,customers!A:A,customers!C:C)</f>
        <v>0</v>
      </c>
      <c r="K75" s="2" t="str">
        <f>_xlfn.XLOOKUP(F75,customers!A:A,customers!F:F)</f>
        <v>Charlotte</v>
      </c>
      <c r="L75" s="2" t="str">
        <f>_xlfn.XLOOKUP(F75,customers!A:A,customers!G:G)</f>
        <v>United States</v>
      </c>
      <c r="M75" t="str">
        <f>_xlfn.XLOOKUP(G75,products!A:A,products!B:B)</f>
        <v>Lib</v>
      </c>
      <c r="N75" t="str">
        <f>_xlfn.XLOOKUP(G75,products!A:A,products!C:C)</f>
        <v>M</v>
      </c>
      <c r="O75">
        <f>_xlfn.XLOOKUP(G75,products!A:A,products!D:D)</f>
        <v>0.2</v>
      </c>
      <c r="P75">
        <f>_xlfn.XLOOKUP(G75,products!A:A,products!E:E)</f>
        <v>4.3650000000000002</v>
      </c>
      <c r="Q75">
        <f t="shared" si="7"/>
        <v>21.825000000000003</v>
      </c>
      <c r="R75" t="str" cm="1">
        <f t="array" ref="R75">_xlfn.IFS(Q75&lt;=50,"low sales",Q75&lt;=100,"medium sales",Q75&gt;100,"High sales")</f>
        <v>low sales</v>
      </c>
    </row>
    <row r="76" spans="1:18" x14ac:dyDescent="0.35">
      <c r="A76" s="2" t="s">
        <v>907</v>
      </c>
      <c r="B76" s="3">
        <v>44396</v>
      </c>
      <c r="C76" s="3" t="str">
        <f t="shared" si="4"/>
        <v>Monday</v>
      </c>
      <c r="D76" s="3" t="str">
        <f t="shared" si="5"/>
        <v>July</v>
      </c>
      <c r="E76" s="3" t="str">
        <f t="shared" si="6"/>
        <v>2021</v>
      </c>
      <c r="F76" s="2" t="s">
        <v>908</v>
      </c>
      <c r="G76" t="s">
        <v>6176</v>
      </c>
      <c r="H76" s="2">
        <v>2</v>
      </c>
      <c r="I76" s="2" t="str">
        <f>_xlfn.XLOOKUP(F76,customers!A:A,customers!B:B)</f>
        <v>Jennifer Rangall</v>
      </c>
      <c r="J76" s="2" t="str">
        <f>_xlfn.XLOOKUP(F76,customers!A:A,customers!C:C)</f>
        <v>jrangall22@newsvine.com</v>
      </c>
      <c r="K76" s="2" t="str">
        <f>_xlfn.XLOOKUP(F76,customers!A:A,customers!F:F)</f>
        <v>Springfield</v>
      </c>
      <c r="L76" s="2" t="str">
        <f>_xlfn.XLOOKUP(F76,customers!A:A,customers!G:G)</f>
        <v>United States</v>
      </c>
      <c r="M76" t="str">
        <f>_xlfn.XLOOKUP(G76,products!A:A,products!B:B)</f>
        <v>Exc</v>
      </c>
      <c r="N76" t="str">
        <f>_xlfn.XLOOKUP(G76,products!A:A,products!C:C)</f>
        <v>L</v>
      </c>
      <c r="O76">
        <f>_xlfn.XLOOKUP(G76,products!A:A,products!D:D)</f>
        <v>0.5</v>
      </c>
      <c r="P76">
        <f>_xlfn.XLOOKUP(G76,products!A:A,products!E:E)</f>
        <v>8.91</v>
      </c>
      <c r="Q76">
        <f t="shared" si="7"/>
        <v>17.82</v>
      </c>
      <c r="R76" t="str" cm="1">
        <f t="array" ref="R76">_xlfn.IFS(Q76&lt;=50,"low sales",Q76&lt;=100,"medium sales",Q76&gt;100,"High sales")</f>
        <v>low sales</v>
      </c>
    </row>
    <row r="77" spans="1:18" x14ac:dyDescent="0.35">
      <c r="A77" s="2" t="s">
        <v>913</v>
      </c>
      <c r="B77" s="3">
        <v>44400</v>
      </c>
      <c r="C77" s="3" t="str">
        <f t="shared" si="4"/>
        <v>Friday</v>
      </c>
      <c r="D77" s="3" t="str">
        <f t="shared" si="5"/>
        <v>July</v>
      </c>
      <c r="E77" s="3" t="str">
        <f t="shared" si="6"/>
        <v>2021</v>
      </c>
      <c r="F77" s="2" t="s">
        <v>914</v>
      </c>
      <c r="G77" t="s">
        <v>6177</v>
      </c>
      <c r="H77" s="2">
        <v>6</v>
      </c>
      <c r="I77" s="2" t="str">
        <f>_xlfn.XLOOKUP(F77,customers!A:A,customers!B:B)</f>
        <v>Kipper Boorn</v>
      </c>
      <c r="J77" s="2" t="str">
        <f>_xlfn.XLOOKUP(F77,customers!A:A,customers!C:C)</f>
        <v>kboorn23@ezinearticles.com</v>
      </c>
      <c r="K77" s="2" t="str">
        <f>_xlfn.XLOOKUP(F77,customers!A:A,customers!F:F)</f>
        <v>Listowel</v>
      </c>
      <c r="L77" s="2" t="str">
        <f>_xlfn.XLOOKUP(F77,customers!A:A,customers!G:G)</f>
        <v>Ireland</v>
      </c>
      <c r="M77" t="str">
        <f>_xlfn.XLOOKUP(G77,products!A:A,products!B:B)</f>
        <v>Rob</v>
      </c>
      <c r="N77" t="str">
        <f>_xlfn.XLOOKUP(G77,products!A:A,products!C:C)</f>
        <v>D</v>
      </c>
      <c r="O77">
        <f>_xlfn.XLOOKUP(G77,products!A:A,products!D:D)</f>
        <v>1</v>
      </c>
      <c r="P77">
        <f>_xlfn.XLOOKUP(G77,products!A:A,products!E:E)</f>
        <v>8.9499999999999993</v>
      </c>
      <c r="Q77">
        <f t="shared" si="7"/>
        <v>53.699999999999996</v>
      </c>
      <c r="R77" t="str" cm="1">
        <f t="array" ref="R77">_xlfn.IFS(Q77&lt;=50,"low sales",Q77&lt;=100,"medium sales",Q77&gt;100,"High sales")</f>
        <v>medium sales</v>
      </c>
    </row>
    <row r="78" spans="1:18" x14ac:dyDescent="0.35">
      <c r="A78" s="2" t="s">
        <v>919</v>
      </c>
      <c r="B78" s="3">
        <v>43855</v>
      </c>
      <c r="C78" s="3" t="str">
        <f t="shared" si="4"/>
        <v>Saturday</v>
      </c>
      <c r="D78" s="3" t="str">
        <f t="shared" si="5"/>
        <v>January</v>
      </c>
      <c r="E78" s="3" t="str">
        <f t="shared" si="6"/>
        <v>2020</v>
      </c>
      <c r="F78" s="2" t="s">
        <v>920</v>
      </c>
      <c r="G78" t="s">
        <v>6178</v>
      </c>
      <c r="H78" s="2">
        <v>1</v>
      </c>
      <c r="I78" s="2" t="str">
        <f>_xlfn.XLOOKUP(F78,customers!A:A,customers!B:B)</f>
        <v>Melania Beadle</v>
      </c>
      <c r="J78" s="2">
        <f>_xlfn.XLOOKUP(F78,customers!A:A,customers!C:C)</f>
        <v>0</v>
      </c>
      <c r="K78" s="2" t="str">
        <f>_xlfn.XLOOKUP(F78,customers!A:A,customers!F:F)</f>
        <v>Moycullen</v>
      </c>
      <c r="L78" s="2" t="str">
        <f>_xlfn.XLOOKUP(F78,customers!A:A,customers!G:G)</f>
        <v>Ireland</v>
      </c>
      <c r="M78" t="str">
        <f>_xlfn.XLOOKUP(G78,products!A:A,products!B:B)</f>
        <v>Rob</v>
      </c>
      <c r="N78" t="str">
        <f>_xlfn.XLOOKUP(G78,products!A:A,products!C:C)</f>
        <v>L</v>
      </c>
      <c r="O78">
        <f>_xlfn.XLOOKUP(G78,products!A:A,products!D:D)</f>
        <v>0.2</v>
      </c>
      <c r="P78">
        <f>_xlfn.XLOOKUP(G78,products!A:A,products!E:E)</f>
        <v>3.5849999999999995</v>
      </c>
      <c r="Q78">
        <f t="shared" si="7"/>
        <v>3.5849999999999995</v>
      </c>
      <c r="R78" t="str" cm="1">
        <f t="array" ref="R78">_xlfn.IFS(Q78&lt;=50,"low sales",Q78&lt;=100,"medium sales",Q78&gt;100,"High sales")</f>
        <v>low sales</v>
      </c>
    </row>
    <row r="79" spans="1:18" x14ac:dyDescent="0.35">
      <c r="A79" s="2" t="s">
        <v>924</v>
      </c>
      <c r="B79" s="3">
        <v>43594</v>
      </c>
      <c r="C79" s="3" t="str">
        <f t="shared" si="4"/>
        <v>Thursday</v>
      </c>
      <c r="D79" s="3" t="str">
        <f t="shared" si="5"/>
        <v>May</v>
      </c>
      <c r="E79" s="3" t="str">
        <f t="shared" si="6"/>
        <v>2019</v>
      </c>
      <c r="F79" s="2" t="s">
        <v>925</v>
      </c>
      <c r="G79" t="s">
        <v>6153</v>
      </c>
      <c r="H79" s="2">
        <v>2</v>
      </c>
      <c r="I79" s="2" t="str">
        <f>_xlfn.XLOOKUP(F79,customers!A:A,customers!B:B)</f>
        <v>Colene Elgey</v>
      </c>
      <c r="J79" s="2" t="str">
        <f>_xlfn.XLOOKUP(F79,customers!A:A,customers!C:C)</f>
        <v>celgey25@webs.com</v>
      </c>
      <c r="K79" s="2" t="str">
        <f>_xlfn.XLOOKUP(F79,customers!A:A,customers!F:F)</f>
        <v>Midland</v>
      </c>
      <c r="L79" s="2" t="str">
        <f>_xlfn.XLOOKUP(F79,customers!A:A,customers!G:G)</f>
        <v>United States</v>
      </c>
      <c r="M79" t="str">
        <f>_xlfn.XLOOKUP(G79,products!A:A,products!B:B)</f>
        <v>Exc</v>
      </c>
      <c r="N79" t="str">
        <f>_xlfn.XLOOKUP(G79,products!A:A,products!C:C)</f>
        <v>D</v>
      </c>
      <c r="O79">
        <f>_xlfn.XLOOKUP(G79,products!A:A,products!D:D)</f>
        <v>0.2</v>
      </c>
      <c r="P79">
        <f>_xlfn.XLOOKUP(G79,products!A:A,products!E:E)</f>
        <v>3.645</v>
      </c>
      <c r="Q79">
        <f t="shared" si="7"/>
        <v>7.29</v>
      </c>
      <c r="R79" t="str" cm="1">
        <f t="array" ref="R79">_xlfn.IFS(Q79&lt;=50,"low sales",Q79&lt;=100,"medium sales",Q79&gt;100,"High sales")</f>
        <v>low sales</v>
      </c>
    </row>
    <row r="80" spans="1:18" x14ac:dyDescent="0.35">
      <c r="A80" s="2" t="s">
        <v>930</v>
      </c>
      <c r="B80" s="3">
        <v>43920</v>
      </c>
      <c r="C80" s="3" t="str">
        <f t="shared" si="4"/>
        <v>Monday</v>
      </c>
      <c r="D80" s="3" t="str">
        <f t="shared" si="5"/>
        <v>March</v>
      </c>
      <c r="E80" s="3" t="str">
        <f t="shared" si="6"/>
        <v>2020</v>
      </c>
      <c r="F80" s="2" t="s">
        <v>931</v>
      </c>
      <c r="G80" t="s">
        <v>6157</v>
      </c>
      <c r="H80" s="2">
        <v>6</v>
      </c>
      <c r="I80" s="2" t="str">
        <f>_xlfn.XLOOKUP(F80,customers!A:A,customers!B:B)</f>
        <v>Lothaire Mizzi</v>
      </c>
      <c r="J80" s="2" t="str">
        <f>_xlfn.XLOOKUP(F80,customers!A:A,customers!C:C)</f>
        <v>lmizzi26@rakuten.co.jp</v>
      </c>
      <c r="K80" s="2" t="str">
        <f>_xlfn.XLOOKUP(F80,customers!A:A,customers!F:F)</f>
        <v>Dallas</v>
      </c>
      <c r="L80" s="2" t="str">
        <f>_xlfn.XLOOKUP(F80,customers!A:A,customers!G:G)</f>
        <v>United States</v>
      </c>
      <c r="M80" t="str">
        <f>_xlfn.XLOOKUP(G80,products!A:A,products!B:B)</f>
        <v>Ara</v>
      </c>
      <c r="N80" t="str">
        <f>_xlfn.XLOOKUP(G80,products!A:A,products!C:C)</f>
        <v>M</v>
      </c>
      <c r="O80">
        <f>_xlfn.XLOOKUP(G80,products!A:A,products!D:D)</f>
        <v>0.5</v>
      </c>
      <c r="P80">
        <f>_xlfn.XLOOKUP(G80,products!A:A,products!E:E)</f>
        <v>6.75</v>
      </c>
      <c r="Q80">
        <f t="shared" si="7"/>
        <v>40.5</v>
      </c>
      <c r="R80" t="str" cm="1">
        <f t="array" ref="R80">_xlfn.IFS(Q80&lt;=50,"low sales",Q80&lt;=100,"medium sales",Q80&gt;100,"High sales")</f>
        <v>low sales</v>
      </c>
    </row>
    <row r="81" spans="1:18" x14ac:dyDescent="0.35">
      <c r="A81" s="2" t="s">
        <v>936</v>
      </c>
      <c r="B81" s="3">
        <v>44633</v>
      </c>
      <c r="C81" s="3" t="str">
        <f t="shared" si="4"/>
        <v>Sunday</v>
      </c>
      <c r="D81" s="3" t="str">
        <f t="shared" si="5"/>
        <v>March</v>
      </c>
      <c r="E81" s="3" t="str">
        <f t="shared" si="6"/>
        <v>2022</v>
      </c>
      <c r="F81" s="2" t="s">
        <v>937</v>
      </c>
      <c r="G81" t="s">
        <v>6179</v>
      </c>
      <c r="H81" s="2">
        <v>4</v>
      </c>
      <c r="I81" s="2" t="str">
        <f>_xlfn.XLOOKUP(F81,customers!A:A,customers!B:B)</f>
        <v>Cletis Giacomazzo</v>
      </c>
      <c r="J81" s="2" t="str">
        <f>_xlfn.XLOOKUP(F81,customers!A:A,customers!C:C)</f>
        <v>cgiacomazzo27@jigsy.com</v>
      </c>
      <c r="K81" s="2" t="str">
        <f>_xlfn.XLOOKUP(F81,customers!A:A,customers!F:F)</f>
        <v>Dulles</v>
      </c>
      <c r="L81" s="2" t="str">
        <f>_xlfn.XLOOKUP(F81,customers!A:A,customers!G:G)</f>
        <v>United States</v>
      </c>
      <c r="M81" t="str">
        <f>_xlfn.XLOOKUP(G81,products!A:A,products!B:B)</f>
        <v>Rob</v>
      </c>
      <c r="N81" t="str">
        <f>_xlfn.XLOOKUP(G81,products!A:A,products!C:C)</f>
        <v>L</v>
      </c>
      <c r="O81">
        <f>_xlfn.XLOOKUP(G81,products!A:A,products!D:D)</f>
        <v>1</v>
      </c>
      <c r="P81">
        <f>_xlfn.XLOOKUP(G81,products!A:A,products!E:E)</f>
        <v>11.95</v>
      </c>
      <c r="Q81">
        <f t="shared" si="7"/>
        <v>47.8</v>
      </c>
      <c r="R81" t="str" cm="1">
        <f t="array" ref="R81">_xlfn.IFS(Q81&lt;=50,"low sales",Q81&lt;=100,"medium sales",Q81&gt;100,"High sales")</f>
        <v>low sales</v>
      </c>
    </row>
    <row r="82" spans="1:18" x14ac:dyDescent="0.35">
      <c r="A82" s="2" t="s">
        <v>942</v>
      </c>
      <c r="B82" s="3">
        <v>43572</v>
      </c>
      <c r="C82" s="3" t="str">
        <f t="shared" si="4"/>
        <v>Wednesday</v>
      </c>
      <c r="D82" s="3" t="str">
        <f t="shared" si="5"/>
        <v>April</v>
      </c>
      <c r="E82" s="3" t="str">
        <f t="shared" si="6"/>
        <v>2019</v>
      </c>
      <c r="F82" s="2" t="s">
        <v>943</v>
      </c>
      <c r="G82" t="s">
        <v>6180</v>
      </c>
      <c r="H82" s="2">
        <v>5</v>
      </c>
      <c r="I82" s="2" t="str">
        <f>_xlfn.XLOOKUP(F82,customers!A:A,customers!B:B)</f>
        <v>Ami Arnow</v>
      </c>
      <c r="J82" s="2" t="str">
        <f>_xlfn.XLOOKUP(F82,customers!A:A,customers!C:C)</f>
        <v>aarnow28@arizona.edu</v>
      </c>
      <c r="K82" s="2" t="str">
        <f>_xlfn.XLOOKUP(F82,customers!A:A,customers!F:F)</f>
        <v>Oakland</v>
      </c>
      <c r="L82" s="2" t="str">
        <f>_xlfn.XLOOKUP(F82,customers!A:A,customers!G:G)</f>
        <v>United States</v>
      </c>
      <c r="M82" t="str">
        <f>_xlfn.XLOOKUP(G82,products!A:A,products!B:B)</f>
        <v>Ara</v>
      </c>
      <c r="N82" t="str">
        <f>_xlfn.XLOOKUP(G82,products!A:A,products!C:C)</f>
        <v>L</v>
      </c>
      <c r="O82">
        <f>_xlfn.XLOOKUP(G82,products!A:A,products!D:D)</f>
        <v>0.5</v>
      </c>
      <c r="P82">
        <f>_xlfn.XLOOKUP(G82,products!A:A,products!E:E)</f>
        <v>7.77</v>
      </c>
      <c r="Q82">
        <f t="shared" si="7"/>
        <v>38.849999999999994</v>
      </c>
      <c r="R82" t="str" cm="1">
        <f t="array" ref="R82">_xlfn.IFS(Q82&lt;=50,"low sales",Q82&lt;=100,"medium sales",Q82&gt;100,"High sales")</f>
        <v>low sales</v>
      </c>
    </row>
    <row r="83" spans="1:18" x14ac:dyDescent="0.35">
      <c r="A83" s="2" t="s">
        <v>948</v>
      </c>
      <c r="B83" s="3">
        <v>43763</v>
      </c>
      <c r="C83" s="3" t="str">
        <f t="shared" si="4"/>
        <v>Friday</v>
      </c>
      <c r="D83" s="3" t="str">
        <f t="shared" si="5"/>
        <v>October</v>
      </c>
      <c r="E83" s="3" t="str">
        <f t="shared" si="6"/>
        <v>2019</v>
      </c>
      <c r="F83" s="2" t="s">
        <v>949</v>
      </c>
      <c r="G83" t="s">
        <v>6164</v>
      </c>
      <c r="H83" s="2">
        <v>3</v>
      </c>
      <c r="I83" s="2" t="str">
        <f>_xlfn.XLOOKUP(F83,customers!A:A,customers!B:B)</f>
        <v>Sheppard Yann</v>
      </c>
      <c r="J83" s="2" t="str">
        <f>_xlfn.XLOOKUP(F83,customers!A:A,customers!C:C)</f>
        <v>syann29@senate.gov</v>
      </c>
      <c r="K83" s="2" t="str">
        <f>_xlfn.XLOOKUP(F83,customers!A:A,customers!F:F)</f>
        <v>Colorado Springs</v>
      </c>
      <c r="L83" s="2" t="str">
        <f>_xlfn.XLOOKUP(F83,customers!A:A,customers!G:G)</f>
        <v>United States</v>
      </c>
      <c r="M83" t="str">
        <f>_xlfn.XLOOKUP(G83,products!A:A,products!B:B)</f>
        <v>Lib</v>
      </c>
      <c r="N83" t="str">
        <f>_xlfn.XLOOKUP(G83,products!A:A,products!C:C)</f>
        <v>L</v>
      </c>
      <c r="O83">
        <f>_xlfn.XLOOKUP(G83,products!A:A,products!D:D)</f>
        <v>2.5</v>
      </c>
      <c r="P83">
        <f>_xlfn.XLOOKUP(G83,products!A:A,products!E:E)</f>
        <v>36.454999999999998</v>
      </c>
      <c r="Q83">
        <f t="shared" si="7"/>
        <v>109.36499999999999</v>
      </c>
      <c r="R83" t="str" cm="1">
        <f t="array" ref="R83">_xlfn.IFS(Q83&lt;=50,"low sales",Q83&lt;=100,"medium sales",Q83&gt;100,"High sales")</f>
        <v>High sales</v>
      </c>
    </row>
    <row r="84" spans="1:18" x14ac:dyDescent="0.35">
      <c r="A84" s="2" t="s">
        <v>954</v>
      </c>
      <c r="B84" s="3">
        <v>43721</v>
      </c>
      <c r="C84" s="3" t="str">
        <f t="shared" si="4"/>
        <v>Friday</v>
      </c>
      <c r="D84" s="3" t="str">
        <f t="shared" si="5"/>
        <v>September</v>
      </c>
      <c r="E84" s="3" t="str">
        <f t="shared" si="6"/>
        <v>2019</v>
      </c>
      <c r="F84" s="2" t="s">
        <v>955</v>
      </c>
      <c r="G84" t="s">
        <v>6181</v>
      </c>
      <c r="H84" s="2">
        <v>3</v>
      </c>
      <c r="I84" s="2" t="str">
        <f>_xlfn.XLOOKUP(F84,customers!A:A,customers!B:B)</f>
        <v>Bunny Naulls</v>
      </c>
      <c r="J84" s="2" t="str">
        <f>_xlfn.XLOOKUP(F84,customers!A:A,customers!C:C)</f>
        <v>bnaulls2a@tiny.cc</v>
      </c>
      <c r="K84" s="2" t="str">
        <f>_xlfn.XLOOKUP(F84,customers!A:A,customers!F:F)</f>
        <v>Adare</v>
      </c>
      <c r="L84" s="2" t="str">
        <f>_xlfn.XLOOKUP(F84,customers!A:A,customers!G:G)</f>
        <v>Ireland</v>
      </c>
      <c r="M84" t="str">
        <f>_xlfn.XLOOKUP(G84,products!A:A,products!B:B)</f>
        <v>Lib</v>
      </c>
      <c r="N84" t="str">
        <f>_xlfn.XLOOKUP(G84,products!A:A,products!C:C)</f>
        <v>M</v>
      </c>
      <c r="O84">
        <f>_xlfn.XLOOKUP(G84,products!A:A,products!D:D)</f>
        <v>2.5</v>
      </c>
      <c r="P84">
        <f>_xlfn.XLOOKUP(G84,products!A:A,products!E:E)</f>
        <v>33.464999999999996</v>
      </c>
      <c r="Q84">
        <f t="shared" si="7"/>
        <v>100.39499999999998</v>
      </c>
      <c r="R84" t="str" cm="1">
        <f t="array" ref="R84">_xlfn.IFS(Q84&lt;=50,"low sales",Q84&lt;=100,"medium sales",Q84&gt;100,"High sales")</f>
        <v>High sales</v>
      </c>
    </row>
    <row r="85" spans="1:18" x14ac:dyDescent="0.35">
      <c r="A85" s="2" t="s">
        <v>960</v>
      </c>
      <c r="B85" s="3">
        <v>43933</v>
      </c>
      <c r="C85" s="3" t="str">
        <f t="shared" si="4"/>
        <v>Sunday</v>
      </c>
      <c r="D85" s="3" t="str">
        <f t="shared" si="5"/>
        <v>April</v>
      </c>
      <c r="E85" s="3" t="str">
        <f t="shared" si="6"/>
        <v>2020</v>
      </c>
      <c r="F85" s="2" t="s">
        <v>961</v>
      </c>
      <c r="G85" t="s">
        <v>6149</v>
      </c>
      <c r="H85" s="2">
        <v>4</v>
      </c>
      <c r="I85" s="2" t="str">
        <f>_xlfn.XLOOKUP(F85,customers!A:A,customers!B:B)</f>
        <v>Hally Lorait</v>
      </c>
      <c r="J85" s="2">
        <f>_xlfn.XLOOKUP(F85,customers!A:A,customers!C:C)</f>
        <v>0</v>
      </c>
      <c r="K85" s="2" t="str">
        <f>_xlfn.XLOOKUP(F85,customers!A:A,customers!F:F)</f>
        <v>Buffalo</v>
      </c>
      <c r="L85" s="2" t="str">
        <f>_xlfn.XLOOKUP(F85,customers!A:A,customers!G:G)</f>
        <v>United States</v>
      </c>
      <c r="M85" t="str">
        <f>_xlfn.XLOOKUP(G85,products!A:A,products!B:B)</f>
        <v>Rob</v>
      </c>
      <c r="N85" t="str">
        <f>_xlfn.XLOOKUP(G85,products!A:A,products!C:C)</f>
        <v>D</v>
      </c>
      <c r="O85">
        <f>_xlfn.XLOOKUP(G85,products!A:A,products!D:D)</f>
        <v>2.5</v>
      </c>
      <c r="P85">
        <f>_xlfn.XLOOKUP(G85,products!A:A,products!E:E)</f>
        <v>20.584999999999997</v>
      </c>
      <c r="Q85">
        <f t="shared" si="7"/>
        <v>82.339999999999989</v>
      </c>
      <c r="R85" t="str" cm="1">
        <f t="array" ref="R85">_xlfn.IFS(Q85&lt;=50,"low sales",Q85&lt;=100,"medium sales",Q85&gt;100,"High sales")</f>
        <v>medium sales</v>
      </c>
    </row>
    <row r="86" spans="1:18" x14ac:dyDescent="0.35">
      <c r="A86" s="2" t="s">
        <v>965</v>
      </c>
      <c r="B86" s="3">
        <v>43783</v>
      </c>
      <c r="C86" s="3" t="str">
        <f t="shared" si="4"/>
        <v>Thursday</v>
      </c>
      <c r="D86" s="3" t="str">
        <f t="shared" si="5"/>
        <v>November</v>
      </c>
      <c r="E86" s="3" t="str">
        <f t="shared" si="6"/>
        <v>2019</v>
      </c>
      <c r="F86" s="2" t="s">
        <v>966</v>
      </c>
      <c r="G86" t="s">
        <v>6161</v>
      </c>
      <c r="H86" s="2">
        <v>1</v>
      </c>
      <c r="I86" s="2" t="str">
        <f>_xlfn.XLOOKUP(F86,customers!A:A,customers!B:B)</f>
        <v>Zaccaria Sherewood</v>
      </c>
      <c r="J86" s="2" t="str">
        <f>_xlfn.XLOOKUP(F86,customers!A:A,customers!C:C)</f>
        <v>zsherewood2c@apache.org</v>
      </c>
      <c r="K86" s="2" t="str">
        <f>_xlfn.XLOOKUP(F86,customers!A:A,customers!F:F)</f>
        <v>Fresno</v>
      </c>
      <c r="L86" s="2" t="str">
        <f>_xlfn.XLOOKUP(F86,customers!A:A,customers!G:G)</f>
        <v>United States</v>
      </c>
      <c r="M86" t="str">
        <f>_xlfn.XLOOKUP(G86,products!A:A,products!B:B)</f>
        <v>Lib</v>
      </c>
      <c r="N86" t="str">
        <f>_xlfn.XLOOKUP(G86,products!A:A,products!C:C)</f>
        <v>L</v>
      </c>
      <c r="O86">
        <f>_xlfn.XLOOKUP(G86,products!A:A,products!D:D)</f>
        <v>0.5</v>
      </c>
      <c r="P86">
        <f>_xlfn.XLOOKUP(G86,products!A:A,products!E:E)</f>
        <v>9.51</v>
      </c>
      <c r="Q86">
        <f t="shared" si="7"/>
        <v>9.51</v>
      </c>
      <c r="R86" t="str" cm="1">
        <f t="array" ref="R86">_xlfn.IFS(Q86&lt;=50,"low sales",Q86&lt;=100,"medium sales",Q86&gt;100,"High sales")</f>
        <v>low sales</v>
      </c>
    </row>
    <row r="87" spans="1:18" x14ac:dyDescent="0.35">
      <c r="A87" s="2" t="s">
        <v>971</v>
      </c>
      <c r="B87" s="3">
        <v>43664</v>
      </c>
      <c r="C87" s="3" t="str">
        <f t="shared" si="4"/>
        <v>Thursday</v>
      </c>
      <c r="D87" s="3" t="str">
        <f t="shared" si="5"/>
        <v>July</v>
      </c>
      <c r="E87" s="3" t="str">
        <f t="shared" si="6"/>
        <v>2019</v>
      </c>
      <c r="F87" s="2" t="s">
        <v>972</v>
      </c>
      <c r="G87" t="s">
        <v>6182</v>
      </c>
      <c r="H87" s="2">
        <v>3</v>
      </c>
      <c r="I87" s="2" t="str">
        <f>_xlfn.XLOOKUP(F87,customers!A:A,customers!B:B)</f>
        <v>Jeffrey Dufaire</v>
      </c>
      <c r="J87" s="2" t="str">
        <f>_xlfn.XLOOKUP(F87,customers!A:A,customers!C:C)</f>
        <v>jdufaire2d@fc2.com</v>
      </c>
      <c r="K87" s="2" t="str">
        <f>_xlfn.XLOOKUP(F87,customers!A:A,customers!F:F)</f>
        <v>Fort Worth</v>
      </c>
      <c r="L87" s="2" t="str">
        <f>_xlfn.XLOOKUP(F87,customers!A:A,customers!G:G)</f>
        <v>United States</v>
      </c>
      <c r="M87" t="str">
        <f>_xlfn.XLOOKUP(G87,products!A:A,products!B:B)</f>
        <v>Ara</v>
      </c>
      <c r="N87" t="str">
        <f>_xlfn.XLOOKUP(G87,products!A:A,products!C:C)</f>
        <v>L</v>
      </c>
      <c r="O87">
        <f>_xlfn.XLOOKUP(G87,products!A:A,products!D:D)</f>
        <v>2.5</v>
      </c>
      <c r="P87">
        <f>_xlfn.XLOOKUP(G87,products!A:A,products!E:E)</f>
        <v>29.784999999999997</v>
      </c>
      <c r="Q87">
        <f t="shared" si="7"/>
        <v>89.35499999999999</v>
      </c>
      <c r="R87" t="str" cm="1">
        <f t="array" ref="R87">_xlfn.IFS(Q87&lt;=50,"low sales",Q87&lt;=100,"medium sales",Q87&gt;100,"High sales")</f>
        <v>medium sales</v>
      </c>
    </row>
    <row r="88" spans="1:18" x14ac:dyDescent="0.35">
      <c r="A88" s="2" t="s">
        <v>971</v>
      </c>
      <c r="B88" s="3">
        <v>43664</v>
      </c>
      <c r="C88" s="3" t="str">
        <f t="shared" si="4"/>
        <v>Thursday</v>
      </c>
      <c r="D88" s="3" t="str">
        <f t="shared" si="5"/>
        <v>July</v>
      </c>
      <c r="E88" s="3" t="str">
        <f t="shared" si="6"/>
        <v>2019</v>
      </c>
      <c r="F88" s="2" t="s">
        <v>972</v>
      </c>
      <c r="G88" t="s">
        <v>6154</v>
      </c>
      <c r="H88" s="2">
        <v>4</v>
      </c>
      <c r="I88" s="2" t="str">
        <f>_xlfn.XLOOKUP(F88,customers!A:A,customers!B:B)</f>
        <v>Jeffrey Dufaire</v>
      </c>
      <c r="J88" s="2" t="str">
        <f>_xlfn.XLOOKUP(F88,customers!A:A,customers!C:C)</f>
        <v>jdufaire2d@fc2.com</v>
      </c>
      <c r="K88" s="2" t="str">
        <f>_xlfn.XLOOKUP(F88,customers!A:A,customers!F:F)</f>
        <v>Fort Worth</v>
      </c>
      <c r="L88" s="2" t="str">
        <f>_xlfn.XLOOKUP(F88,customers!A:A,customers!G:G)</f>
        <v>United States</v>
      </c>
      <c r="M88" t="str">
        <f>_xlfn.XLOOKUP(G88,products!A:A,products!B:B)</f>
        <v>Ara</v>
      </c>
      <c r="N88" t="str">
        <f>_xlfn.XLOOKUP(G88,products!A:A,products!C:C)</f>
        <v>D</v>
      </c>
      <c r="O88">
        <f>_xlfn.XLOOKUP(G88,products!A:A,products!D:D)</f>
        <v>0.2</v>
      </c>
      <c r="P88">
        <f>_xlfn.XLOOKUP(G88,products!A:A,products!E:E)</f>
        <v>2.9849999999999999</v>
      </c>
      <c r="Q88">
        <f t="shared" si="7"/>
        <v>11.94</v>
      </c>
      <c r="R88" t="str" cm="1">
        <f t="array" ref="R88">_xlfn.IFS(Q88&lt;=50,"low sales",Q88&lt;=100,"medium sales",Q88&gt;100,"High sales")</f>
        <v>low sales</v>
      </c>
    </row>
    <row r="89" spans="1:18" x14ac:dyDescent="0.35">
      <c r="A89" s="2" t="s">
        <v>980</v>
      </c>
      <c r="B89" s="3">
        <v>44289</v>
      </c>
      <c r="C89" s="3" t="str">
        <f t="shared" si="4"/>
        <v>Saturday</v>
      </c>
      <c r="D89" s="3" t="str">
        <f t="shared" si="5"/>
        <v>April</v>
      </c>
      <c r="E89" s="3" t="str">
        <f t="shared" si="6"/>
        <v>2021</v>
      </c>
      <c r="F89" s="2" t="s">
        <v>981</v>
      </c>
      <c r="G89" t="s">
        <v>6155</v>
      </c>
      <c r="H89" s="2">
        <v>3</v>
      </c>
      <c r="I89" s="2" t="str">
        <f>_xlfn.XLOOKUP(F89,customers!A:A,customers!B:B)</f>
        <v>Beitris Keaveney</v>
      </c>
      <c r="J89" s="2" t="str">
        <f>_xlfn.XLOOKUP(F89,customers!A:A,customers!C:C)</f>
        <v>bkeaveney2f@netlog.com</v>
      </c>
      <c r="K89" s="2" t="str">
        <f>_xlfn.XLOOKUP(F89,customers!A:A,customers!F:F)</f>
        <v>Beaumont</v>
      </c>
      <c r="L89" s="2" t="str">
        <f>_xlfn.XLOOKUP(F89,customers!A:A,customers!G:G)</f>
        <v>United States</v>
      </c>
      <c r="M89" t="str">
        <f>_xlfn.XLOOKUP(G89,products!A:A,products!B:B)</f>
        <v>Ara</v>
      </c>
      <c r="N89" t="str">
        <f>_xlfn.XLOOKUP(G89,products!A:A,products!C:C)</f>
        <v>M</v>
      </c>
      <c r="O89">
        <f>_xlfn.XLOOKUP(G89,products!A:A,products!D:D)</f>
        <v>1</v>
      </c>
      <c r="P89">
        <f>_xlfn.XLOOKUP(G89,products!A:A,products!E:E)</f>
        <v>11.25</v>
      </c>
      <c r="Q89">
        <f t="shared" si="7"/>
        <v>33.75</v>
      </c>
      <c r="R89" t="str" cm="1">
        <f t="array" ref="R89">_xlfn.IFS(Q89&lt;=50,"low sales",Q89&lt;=100,"medium sales",Q89&gt;100,"High sales")</f>
        <v>low sales</v>
      </c>
    </row>
    <row r="90" spans="1:18" x14ac:dyDescent="0.35">
      <c r="A90" s="2" t="s">
        <v>985</v>
      </c>
      <c r="B90" s="3">
        <v>44284</v>
      </c>
      <c r="C90" s="3" t="str">
        <f t="shared" si="4"/>
        <v>Monday</v>
      </c>
      <c r="D90" s="3" t="str">
        <f t="shared" si="5"/>
        <v>March</v>
      </c>
      <c r="E90" s="3" t="str">
        <f t="shared" si="6"/>
        <v>2021</v>
      </c>
      <c r="F90" s="2" t="s">
        <v>986</v>
      </c>
      <c r="G90" t="s">
        <v>6179</v>
      </c>
      <c r="H90" s="2">
        <v>3</v>
      </c>
      <c r="I90" s="2" t="str">
        <f>_xlfn.XLOOKUP(F90,customers!A:A,customers!B:B)</f>
        <v>Elna Grise</v>
      </c>
      <c r="J90" s="2" t="str">
        <f>_xlfn.XLOOKUP(F90,customers!A:A,customers!C:C)</f>
        <v>egrise2g@cargocollective.com</v>
      </c>
      <c r="K90" s="2" t="str">
        <f>_xlfn.XLOOKUP(F90,customers!A:A,customers!F:F)</f>
        <v>Reno</v>
      </c>
      <c r="L90" s="2" t="str">
        <f>_xlfn.XLOOKUP(F90,customers!A:A,customers!G:G)</f>
        <v>United States</v>
      </c>
      <c r="M90" t="str">
        <f>_xlfn.XLOOKUP(G90,products!A:A,products!B:B)</f>
        <v>Rob</v>
      </c>
      <c r="N90" t="str">
        <f>_xlfn.XLOOKUP(G90,products!A:A,products!C:C)</f>
        <v>L</v>
      </c>
      <c r="O90">
        <f>_xlfn.XLOOKUP(G90,products!A:A,products!D:D)</f>
        <v>1</v>
      </c>
      <c r="P90">
        <f>_xlfn.XLOOKUP(G90,products!A:A,products!E:E)</f>
        <v>11.95</v>
      </c>
      <c r="Q90">
        <f t="shared" si="7"/>
        <v>35.849999999999994</v>
      </c>
      <c r="R90" t="str" cm="1">
        <f t="array" ref="R90">_xlfn.IFS(Q90&lt;=50,"low sales",Q90&lt;=100,"medium sales",Q90&gt;100,"High sales")</f>
        <v>low sales</v>
      </c>
    </row>
    <row r="91" spans="1:18" x14ac:dyDescent="0.35">
      <c r="A91" s="2" t="s">
        <v>990</v>
      </c>
      <c r="B91" s="3">
        <v>44545</v>
      </c>
      <c r="C91" s="3" t="str">
        <f t="shared" si="4"/>
        <v>Wednesday</v>
      </c>
      <c r="D91" s="3" t="str">
        <f t="shared" si="5"/>
        <v>December</v>
      </c>
      <c r="E91" s="3" t="str">
        <f t="shared" si="6"/>
        <v>2021</v>
      </c>
      <c r="F91" s="2" t="s">
        <v>991</v>
      </c>
      <c r="G91" t="s">
        <v>6140</v>
      </c>
      <c r="H91" s="2">
        <v>6</v>
      </c>
      <c r="I91" s="2" t="str">
        <f>_xlfn.XLOOKUP(F91,customers!A:A,customers!B:B)</f>
        <v>Torie Gottelier</v>
      </c>
      <c r="J91" s="2" t="str">
        <f>_xlfn.XLOOKUP(F91,customers!A:A,customers!C:C)</f>
        <v>tgottelier2h@vistaprint.com</v>
      </c>
      <c r="K91" s="2" t="str">
        <f>_xlfn.XLOOKUP(F91,customers!A:A,customers!F:F)</f>
        <v>Kansas City</v>
      </c>
      <c r="L91" s="2" t="str">
        <f>_xlfn.XLOOKUP(F91,customers!A:A,customers!G:G)</f>
        <v>United States</v>
      </c>
      <c r="M91" t="str">
        <f>_xlfn.XLOOKUP(G91,products!A:A,products!B:B)</f>
        <v>Ara</v>
      </c>
      <c r="N91" t="str">
        <f>_xlfn.XLOOKUP(G91,products!A:A,products!C:C)</f>
        <v>L</v>
      </c>
      <c r="O91">
        <f>_xlfn.XLOOKUP(G91,products!A:A,products!D:D)</f>
        <v>1</v>
      </c>
      <c r="P91">
        <f>_xlfn.XLOOKUP(G91,products!A:A,products!E:E)</f>
        <v>12.95</v>
      </c>
      <c r="Q91">
        <f t="shared" si="7"/>
        <v>77.699999999999989</v>
      </c>
      <c r="R91" t="str" cm="1">
        <f t="array" ref="R91">_xlfn.IFS(Q91&lt;=50,"low sales",Q91&lt;=100,"medium sales",Q91&gt;100,"High sales")</f>
        <v>medium sales</v>
      </c>
    </row>
    <row r="92" spans="1:18" x14ac:dyDescent="0.35">
      <c r="A92" s="2" t="s">
        <v>996</v>
      </c>
      <c r="B92" s="3">
        <v>43971</v>
      </c>
      <c r="C92" s="3" t="str">
        <f t="shared" si="4"/>
        <v>Wednesday</v>
      </c>
      <c r="D92" s="3" t="str">
        <f t="shared" si="5"/>
        <v>May</v>
      </c>
      <c r="E92" s="3" t="str">
        <f t="shared" si="6"/>
        <v>2020</v>
      </c>
      <c r="F92" s="2" t="s">
        <v>997</v>
      </c>
      <c r="G92" t="s">
        <v>6140</v>
      </c>
      <c r="H92" s="2">
        <v>4</v>
      </c>
      <c r="I92" s="2" t="str">
        <f>_xlfn.XLOOKUP(F92,customers!A:A,customers!B:B)</f>
        <v>Loydie Langlais</v>
      </c>
      <c r="J92" s="2">
        <f>_xlfn.XLOOKUP(F92,customers!A:A,customers!C:C)</f>
        <v>0</v>
      </c>
      <c r="K92" s="2" t="str">
        <f>_xlfn.XLOOKUP(F92,customers!A:A,customers!F:F)</f>
        <v>Crumlin</v>
      </c>
      <c r="L92" s="2" t="str">
        <f>_xlfn.XLOOKUP(F92,customers!A:A,customers!G:G)</f>
        <v>Ireland</v>
      </c>
      <c r="M92" t="str">
        <f>_xlfn.XLOOKUP(G92,products!A:A,products!B:B)</f>
        <v>Ara</v>
      </c>
      <c r="N92" t="str">
        <f>_xlfn.XLOOKUP(G92,products!A:A,products!C:C)</f>
        <v>L</v>
      </c>
      <c r="O92">
        <f>_xlfn.XLOOKUP(G92,products!A:A,products!D:D)</f>
        <v>1</v>
      </c>
      <c r="P92">
        <f>_xlfn.XLOOKUP(G92,products!A:A,products!E:E)</f>
        <v>12.95</v>
      </c>
      <c r="Q92">
        <f t="shared" si="7"/>
        <v>51.8</v>
      </c>
      <c r="R92" t="str" cm="1">
        <f t="array" ref="R92">_xlfn.IFS(Q92&lt;=50,"low sales",Q92&lt;=100,"medium sales",Q92&gt;100,"High sales")</f>
        <v>medium sales</v>
      </c>
    </row>
    <row r="93" spans="1:18" x14ac:dyDescent="0.35">
      <c r="A93" s="2" t="s">
        <v>1001</v>
      </c>
      <c r="B93" s="3">
        <v>44137</v>
      </c>
      <c r="C93" s="3" t="str">
        <f t="shared" si="4"/>
        <v>Monday</v>
      </c>
      <c r="D93" s="3" t="str">
        <f t="shared" si="5"/>
        <v>November</v>
      </c>
      <c r="E93" s="3" t="str">
        <f t="shared" si="6"/>
        <v>2020</v>
      </c>
      <c r="F93" s="2" t="s">
        <v>1002</v>
      </c>
      <c r="G93" t="s">
        <v>6175</v>
      </c>
      <c r="H93" s="2">
        <v>4</v>
      </c>
      <c r="I93" s="2" t="str">
        <f>_xlfn.XLOOKUP(F93,customers!A:A,customers!B:B)</f>
        <v>Adham Greenhead</v>
      </c>
      <c r="J93" s="2" t="str">
        <f>_xlfn.XLOOKUP(F93,customers!A:A,customers!C:C)</f>
        <v>agreenhead2j@dailymail.co.uk</v>
      </c>
      <c r="K93" s="2" t="str">
        <f>_xlfn.XLOOKUP(F93,customers!A:A,customers!F:F)</f>
        <v>Corona</v>
      </c>
      <c r="L93" s="2" t="str">
        <f>_xlfn.XLOOKUP(F93,customers!A:A,customers!G:G)</f>
        <v>United States</v>
      </c>
      <c r="M93" t="str">
        <f>_xlfn.XLOOKUP(G93,products!A:A,products!B:B)</f>
        <v>Ara</v>
      </c>
      <c r="N93" t="str">
        <f>_xlfn.XLOOKUP(G93,products!A:A,products!C:C)</f>
        <v>M</v>
      </c>
      <c r="O93">
        <f>_xlfn.XLOOKUP(G93,products!A:A,products!D:D)</f>
        <v>2.5</v>
      </c>
      <c r="P93">
        <f>_xlfn.XLOOKUP(G93,products!A:A,products!E:E)</f>
        <v>25.874999999999996</v>
      </c>
      <c r="Q93">
        <f t="shared" si="7"/>
        <v>103.49999999999999</v>
      </c>
      <c r="R93" t="str" cm="1">
        <f t="array" ref="R93">_xlfn.IFS(Q93&lt;=50,"low sales",Q93&lt;=100,"medium sales",Q93&gt;100,"High sales")</f>
        <v>High sales</v>
      </c>
    </row>
    <row r="94" spans="1:18" x14ac:dyDescent="0.35">
      <c r="A94" s="2" t="s">
        <v>1007</v>
      </c>
      <c r="B94" s="3">
        <v>44037</v>
      </c>
      <c r="C94" s="3" t="str">
        <f t="shared" si="4"/>
        <v>Saturday</v>
      </c>
      <c r="D94" s="3" t="str">
        <f t="shared" si="5"/>
        <v>July</v>
      </c>
      <c r="E94" s="3" t="str">
        <f t="shared" si="6"/>
        <v>2020</v>
      </c>
      <c r="F94" s="2" t="s">
        <v>1008</v>
      </c>
      <c r="G94" t="s">
        <v>6171</v>
      </c>
      <c r="H94" s="2">
        <v>3</v>
      </c>
      <c r="I94" s="2" t="str">
        <f>_xlfn.XLOOKUP(F94,customers!A:A,customers!B:B)</f>
        <v>Hamish MacSherry</v>
      </c>
      <c r="J94" s="2">
        <f>_xlfn.XLOOKUP(F94,customers!A:A,customers!C:C)</f>
        <v>0</v>
      </c>
      <c r="K94" s="2" t="str">
        <f>_xlfn.XLOOKUP(F94,customers!A:A,customers!F:F)</f>
        <v>Austin</v>
      </c>
      <c r="L94" s="2" t="str">
        <f>_xlfn.XLOOKUP(F94,customers!A:A,customers!G:G)</f>
        <v>United States</v>
      </c>
      <c r="M94" t="str">
        <f>_xlfn.XLOOKUP(G94,products!A:A,products!B:B)</f>
        <v>Exc</v>
      </c>
      <c r="N94" t="str">
        <f>_xlfn.XLOOKUP(G94,products!A:A,products!C:C)</f>
        <v>L</v>
      </c>
      <c r="O94">
        <f>_xlfn.XLOOKUP(G94,products!A:A,products!D:D)</f>
        <v>1</v>
      </c>
      <c r="P94">
        <f>_xlfn.XLOOKUP(G94,products!A:A,products!E:E)</f>
        <v>14.85</v>
      </c>
      <c r="Q94">
        <f t="shared" si="7"/>
        <v>44.55</v>
      </c>
      <c r="R94" t="str" cm="1">
        <f t="array" ref="R94">_xlfn.IFS(Q94&lt;=50,"low sales",Q94&lt;=100,"medium sales",Q94&gt;100,"High sales")</f>
        <v>low sales</v>
      </c>
    </row>
    <row r="95" spans="1:18" x14ac:dyDescent="0.35">
      <c r="A95" s="2" t="s">
        <v>1012</v>
      </c>
      <c r="B95" s="3">
        <v>43538</v>
      </c>
      <c r="C95" s="3" t="str">
        <f t="shared" si="4"/>
        <v>Thursday</v>
      </c>
      <c r="D95" s="3" t="str">
        <f t="shared" si="5"/>
        <v>March</v>
      </c>
      <c r="E95" s="3" t="str">
        <f t="shared" si="6"/>
        <v>2019</v>
      </c>
      <c r="F95" s="2" t="s">
        <v>1013</v>
      </c>
      <c r="G95" t="s">
        <v>6176</v>
      </c>
      <c r="H95" s="2">
        <v>4</v>
      </c>
      <c r="I95" s="2" t="str">
        <f>_xlfn.XLOOKUP(F95,customers!A:A,customers!B:B)</f>
        <v>Else Langcaster</v>
      </c>
      <c r="J95" s="2" t="str">
        <f>_xlfn.XLOOKUP(F95,customers!A:A,customers!C:C)</f>
        <v>elangcaster2l@spotify.com</v>
      </c>
      <c r="K95" s="2" t="str">
        <f>_xlfn.XLOOKUP(F95,customers!A:A,customers!F:F)</f>
        <v>Normanton</v>
      </c>
      <c r="L95" s="2" t="str">
        <f>_xlfn.XLOOKUP(F95,customers!A:A,customers!G:G)</f>
        <v>United Kingdom</v>
      </c>
      <c r="M95" t="str">
        <f>_xlfn.XLOOKUP(G95,products!A:A,products!B:B)</f>
        <v>Exc</v>
      </c>
      <c r="N95" t="str">
        <f>_xlfn.XLOOKUP(G95,products!A:A,products!C:C)</f>
        <v>L</v>
      </c>
      <c r="O95">
        <f>_xlfn.XLOOKUP(G95,products!A:A,products!D:D)</f>
        <v>0.5</v>
      </c>
      <c r="P95">
        <f>_xlfn.XLOOKUP(G95,products!A:A,products!E:E)</f>
        <v>8.91</v>
      </c>
      <c r="Q95">
        <f t="shared" si="7"/>
        <v>35.64</v>
      </c>
      <c r="R95" t="str" cm="1">
        <f t="array" ref="R95">_xlfn.IFS(Q95&lt;=50,"low sales",Q95&lt;=100,"medium sales",Q95&gt;100,"High sales")</f>
        <v>low sales</v>
      </c>
    </row>
    <row r="96" spans="1:18" x14ac:dyDescent="0.35">
      <c r="A96" s="2" t="s">
        <v>1018</v>
      </c>
      <c r="B96" s="3">
        <v>44014</v>
      </c>
      <c r="C96" s="3" t="str">
        <f t="shared" si="4"/>
        <v>Thursday</v>
      </c>
      <c r="D96" s="3" t="str">
        <f t="shared" si="5"/>
        <v>July</v>
      </c>
      <c r="E96" s="3" t="str">
        <f t="shared" si="6"/>
        <v>2020</v>
      </c>
      <c r="F96" s="2" t="s">
        <v>1019</v>
      </c>
      <c r="G96" t="s">
        <v>6154</v>
      </c>
      <c r="H96" s="2">
        <v>6</v>
      </c>
      <c r="I96" s="2" t="str">
        <f>_xlfn.XLOOKUP(F96,customers!A:A,customers!B:B)</f>
        <v>Rudy Farquharson</v>
      </c>
      <c r="J96" s="2">
        <f>_xlfn.XLOOKUP(F96,customers!A:A,customers!C:C)</f>
        <v>0</v>
      </c>
      <c r="K96" s="2" t="str">
        <f>_xlfn.XLOOKUP(F96,customers!A:A,customers!F:F)</f>
        <v>Charlesland</v>
      </c>
      <c r="L96" s="2" t="str">
        <f>_xlfn.XLOOKUP(F96,customers!A:A,customers!G:G)</f>
        <v>Ireland</v>
      </c>
      <c r="M96" t="str">
        <f>_xlfn.XLOOKUP(G96,products!A:A,products!B:B)</f>
        <v>Ara</v>
      </c>
      <c r="N96" t="str">
        <f>_xlfn.XLOOKUP(G96,products!A:A,products!C:C)</f>
        <v>D</v>
      </c>
      <c r="O96">
        <f>_xlfn.XLOOKUP(G96,products!A:A,products!D:D)</f>
        <v>0.2</v>
      </c>
      <c r="P96">
        <f>_xlfn.XLOOKUP(G96,products!A:A,products!E:E)</f>
        <v>2.9849999999999999</v>
      </c>
      <c r="Q96">
        <f t="shared" si="7"/>
        <v>17.91</v>
      </c>
      <c r="R96" t="str" cm="1">
        <f t="array" ref="R96">_xlfn.IFS(Q96&lt;=50,"low sales",Q96&lt;=100,"medium sales",Q96&gt;100,"High sales")</f>
        <v>low sales</v>
      </c>
    </row>
    <row r="97" spans="1:18" x14ac:dyDescent="0.35">
      <c r="A97" s="2" t="s">
        <v>1022</v>
      </c>
      <c r="B97" s="3">
        <v>43816</v>
      </c>
      <c r="C97" s="3" t="str">
        <f t="shared" si="4"/>
        <v>Tuesday</v>
      </c>
      <c r="D97" s="3" t="str">
        <f t="shared" si="5"/>
        <v>December</v>
      </c>
      <c r="E97" s="3" t="str">
        <f t="shared" si="6"/>
        <v>2019</v>
      </c>
      <c r="F97" s="2" t="s">
        <v>1023</v>
      </c>
      <c r="G97" t="s">
        <v>6175</v>
      </c>
      <c r="H97" s="2">
        <v>6</v>
      </c>
      <c r="I97" s="2" t="str">
        <f>_xlfn.XLOOKUP(F97,customers!A:A,customers!B:B)</f>
        <v>Norene Magauran</v>
      </c>
      <c r="J97" s="2" t="str">
        <f>_xlfn.XLOOKUP(F97,customers!A:A,customers!C:C)</f>
        <v>nmagauran2n@51.la</v>
      </c>
      <c r="K97" s="2" t="str">
        <f>_xlfn.XLOOKUP(F97,customers!A:A,customers!F:F)</f>
        <v>Fresno</v>
      </c>
      <c r="L97" s="2" t="str">
        <f>_xlfn.XLOOKUP(F97,customers!A:A,customers!G:G)</f>
        <v>United States</v>
      </c>
      <c r="M97" t="str">
        <f>_xlfn.XLOOKUP(G97,products!A:A,products!B:B)</f>
        <v>Ara</v>
      </c>
      <c r="N97" t="str">
        <f>_xlfn.XLOOKUP(G97,products!A:A,products!C:C)</f>
        <v>M</v>
      </c>
      <c r="O97">
        <f>_xlfn.XLOOKUP(G97,products!A:A,products!D:D)</f>
        <v>2.5</v>
      </c>
      <c r="P97">
        <f>_xlfn.XLOOKUP(G97,products!A:A,products!E:E)</f>
        <v>25.874999999999996</v>
      </c>
      <c r="Q97">
        <f t="shared" si="7"/>
        <v>155.24999999999997</v>
      </c>
      <c r="R97" t="str" cm="1">
        <f t="array" ref="R97">_xlfn.IFS(Q97&lt;=50,"low sales",Q97&lt;=100,"medium sales",Q97&gt;100,"High sales")</f>
        <v>High sales</v>
      </c>
    </row>
    <row r="98" spans="1:18" x14ac:dyDescent="0.35">
      <c r="A98" s="2" t="s">
        <v>1027</v>
      </c>
      <c r="B98" s="3">
        <v>44171</v>
      </c>
      <c r="C98" s="3" t="str">
        <f t="shared" si="4"/>
        <v>Sunday</v>
      </c>
      <c r="D98" s="3" t="str">
        <f t="shared" si="5"/>
        <v>December</v>
      </c>
      <c r="E98" s="3" t="str">
        <f t="shared" si="6"/>
        <v>2020</v>
      </c>
      <c r="F98" s="2" t="s">
        <v>1028</v>
      </c>
      <c r="G98" t="s">
        <v>6154</v>
      </c>
      <c r="H98" s="2">
        <v>2</v>
      </c>
      <c r="I98" s="2" t="str">
        <f>_xlfn.XLOOKUP(F98,customers!A:A,customers!B:B)</f>
        <v>Vicki Kirdsch</v>
      </c>
      <c r="J98" s="2" t="str">
        <f>_xlfn.XLOOKUP(F98,customers!A:A,customers!C:C)</f>
        <v>vkirdsch2o@google.fr</v>
      </c>
      <c r="K98" s="2" t="str">
        <f>_xlfn.XLOOKUP(F98,customers!A:A,customers!F:F)</f>
        <v>Saint Louis</v>
      </c>
      <c r="L98" s="2" t="str">
        <f>_xlfn.XLOOKUP(F98,customers!A:A,customers!G:G)</f>
        <v>United States</v>
      </c>
      <c r="M98" t="str">
        <f>_xlfn.XLOOKUP(G98,products!A:A,products!B:B)</f>
        <v>Ara</v>
      </c>
      <c r="N98" t="str">
        <f>_xlfn.XLOOKUP(G98,products!A:A,products!C:C)</f>
        <v>D</v>
      </c>
      <c r="O98">
        <f>_xlfn.XLOOKUP(G98,products!A:A,products!D:D)</f>
        <v>0.2</v>
      </c>
      <c r="P98">
        <f>_xlfn.XLOOKUP(G98,products!A:A,products!E:E)</f>
        <v>2.9849999999999999</v>
      </c>
      <c r="Q98">
        <f t="shared" si="7"/>
        <v>5.97</v>
      </c>
      <c r="R98" t="str" cm="1">
        <f t="array" ref="R98">_xlfn.IFS(Q98&lt;=50,"low sales",Q98&lt;=100,"medium sales",Q98&gt;100,"High sales")</f>
        <v>low sales</v>
      </c>
    </row>
    <row r="99" spans="1:18" x14ac:dyDescent="0.35">
      <c r="A99" s="2" t="s">
        <v>1032</v>
      </c>
      <c r="B99" s="3">
        <v>44259</v>
      </c>
      <c r="C99" s="3" t="str">
        <f t="shared" si="4"/>
        <v>Thursday</v>
      </c>
      <c r="D99" s="3" t="str">
        <f t="shared" si="5"/>
        <v>March</v>
      </c>
      <c r="E99" s="3" t="str">
        <f t="shared" si="6"/>
        <v>2021</v>
      </c>
      <c r="F99" s="2" t="s">
        <v>1033</v>
      </c>
      <c r="G99" t="s">
        <v>6157</v>
      </c>
      <c r="H99" s="2">
        <v>2</v>
      </c>
      <c r="I99" s="2" t="str">
        <f>_xlfn.XLOOKUP(F99,customers!A:A,customers!B:B)</f>
        <v>Ilysa Whapple</v>
      </c>
      <c r="J99" s="2" t="str">
        <f>_xlfn.XLOOKUP(F99,customers!A:A,customers!C:C)</f>
        <v>iwhapple2p@com.com</v>
      </c>
      <c r="K99" s="2" t="str">
        <f>_xlfn.XLOOKUP(F99,customers!A:A,customers!F:F)</f>
        <v>Fresno</v>
      </c>
      <c r="L99" s="2" t="str">
        <f>_xlfn.XLOOKUP(F99,customers!A:A,customers!G:G)</f>
        <v>United States</v>
      </c>
      <c r="M99" t="str">
        <f>_xlfn.XLOOKUP(G99,products!A:A,products!B:B)</f>
        <v>Ara</v>
      </c>
      <c r="N99" t="str">
        <f>_xlfn.XLOOKUP(G99,products!A:A,products!C:C)</f>
        <v>M</v>
      </c>
      <c r="O99">
        <f>_xlfn.XLOOKUP(G99,products!A:A,products!D:D)</f>
        <v>0.5</v>
      </c>
      <c r="P99">
        <f>_xlfn.XLOOKUP(G99,products!A:A,products!E:E)</f>
        <v>6.75</v>
      </c>
      <c r="Q99">
        <f t="shared" si="7"/>
        <v>13.5</v>
      </c>
      <c r="R99" t="str" cm="1">
        <f t="array" ref="R99">_xlfn.IFS(Q99&lt;=50,"low sales",Q99&lt;=100,"medium sales",Q99&gt;100,"High sales")</f>
        <v>low sales</v>
      </c>
    </row>
    <row r="100" spans="1:18" x14ac:dyDescent="0.35">
      <c r="A100" s="2" t="s">
        <v>1038</v>
      </c>
      <c r="B100" s="3">
        <v>44394</v>
      </c>
      <c r="C100" s="3" t="str">
        <f t="shared" si="4"/>
        <v>Saturday</v>
      </c>
      <c r="D100" s="3" t="str">
        <f t="shared" si="5"/>
        <v>July</v>
      </c>
      <c r="E100" s="3" t="str">
        <f t="shared" si="6"/>
        <v>2021</v>
      </c>
      <c r="F100" s="2" t="s">
        <v>1039</v>
      </c>
      <c r="G100" t="s">
        <v>6154</v>
      </c>
      <c r="H100" s="2">
        <v>1</v>
      </c>
      <c r="I100" s="2" t="str">
        <f>_xlfn.XLOOKUP(F100,customers!A:A,customers!B:B)</f>
        <v>Ruy Cancellieri</v>
      </c>
      <c r="J100" s="2">
        <f>_xlfn.XLOOKUP(F100,customers!A:A,customers!C:C)</f>
        <v>0</v>
      </c>
      <c r="K100" s="2" t="str">
        <f>_xlfn.XLOOKUP(F100,customers!A:A,customers!F:F)</f>
        <v>Confey</v>
      </c>
      <c r="L100" s="2" t="str">
        <f>_xlfn.XLOOKUP(F100,customers!A:A,customers!G:G)</f>
        <v>Ireland</v>
      </c>
      <c r="M100" t="str">
        <f>_xlfn.XLOOKUP(G100,products!A:A,products!B:B)</f>
        <v>Ara</v>
      </c>
      <c r="N100" t="str">
        <f>_xlfn.XLOOKUP(G100,products!A:A,products!C:C)</f>
        <v>D</v>
      </c>
      <c r="O100">
        <f>_xlfn.XLOOKUP(G100,products!A:A,products!D:D)</f>
        <v>0.2</v>
      </c>
      <c r="P100">
        <f>_xlfn.XLOOKUP(G100,products!A:A,products!E:E)</f>
        <v>2.9849999999999999</v>
      </c>
      <c r="Q100">
        <f t="shared" si="7"/>
        <v>2.9849999999999999</v>
      </c>
      <c r="R100" t="str" cm="1">
        <f t="array" ref="R100">_xlfn.IFS(Q100&lt;=50,"low sales",Q100&lt;=100,"medium sales",Q100&gt;100,"High sales")</f>
        <v>low sales</v>
      </c>
    </row>
    <row r="101" spans="1:18" x14ac:dyDescent="0.35">
      <c r="A101" s="2" t="s">
        <v>1043</v>
      </c>
      <c r="B101" s="3">
        <v>44139</v>
      </c>
      <c r="C101" s="3" t="str">
        <f t="shared" si="4"/>
        <v>Wednesday</v>
      </c>
      <c r="D101" s="3" t="str">
        <f t="shared" si="5"/>
        <v>November</v>
      </c>
      <c r="E101" s="3" t="str">
        <f t="shared" si="6"/>
        <v>2020</v>
      </c>
      <c r="F101" s="2" t="s">
        <v>1044</v>
      </c>
      <c r="G101" t="s">
        <v>6159</v>
      </c>
      <c r="H101" s="2">
        <v>3</v>
      </c>
      <c r="I101" s="2" t="str">
        <f>_xlfn.XLOOKUP(F101,customers!A:A,customers!B:B)</f>
        <v>Aube Follett</v>
      </c>
      <c r="J101" s="2">
        <f>_xlfn.XLOOKUP(F101,customers!A:A,customers!C:C)</f>
        <v>0</v>
      </c>
      <c r="K101" s="2" t="str">
        <f>_xlfn.XLOOKUP(F101,customers!A:A,customers!F:F)</f>
        <v>Columbus</v>
      </c>
      <c r="L101" s="2" t="str">
        <f>_xlfn.XLOOKUP(F101,customers!A:A,customers!G:G)</f>
        <v>United States</v>
      </c>
      <c r="M101" t="str">
        <f>_xlfn.XLOOKUP(G101,products!A:A,products!B:B)</f>
        <v>Lib</v>
      </c>
      <c r="N101" t="str">
        <f>_xlfn.XLOOKUP(G101,products!A:A,products!C:C)</f>
        <v>M</v>
      </c>
      <c r="O101">
        <f>_xlfn.XLOOKUP(G101,products!A:A,products!D:D)</f>
        <v>0.2</v>
      </c>
      <c r="P101">
        <f>_xlfn.XLOOKUP(G101,products!A:A,products!E:E)</f>
        <v>4.3650000000000002</v>
      </c>
      <c r="Q101">
        <f t="shared" si="7"/>
        <v>13.095000000000001</v>
      </c>
      <c r="R101" t="str" cm="1">
        <f t="array" ref="R101">_xlfn.IFS(Q101&lt;=50,"low sales",Q101&lt;=100,"medium sales",Q101&gt;100,"High sales")</f>
        <v>low sales</v>
      </c>
    </row>
    <row r="102" spans="1:18" x14ac:dyDescent="0.35">
      <c r="A102" s="2" t="s">
        <v>1048</v>
      </c>
      <c r="B102" s="3">
        <v>44291</v>
      </c>
      <c r="C102" s="3" t="str">
        <f t="shared" si="4"/>
        <v>Monday</v>
      </c>
      <c r="D102" s="3" t="str">
        <f t="shared" si="5"/>
        <v>April</v>
      </c>
      <c r="E102" s="3" t="str">
        <f t="shared" si="6"/>
        <v>2021</v>
      </c>
      <c r="F102" s="2" t="s">
        <v>1049</v>
      </c>
      <c r="G102" t="s">
        <v>6167</v>
      </c>
      <c r="H102" s="2">
        <v>2</v>
      </c>
      <c r="I102" s="2" t="str">
        <f>_xlfn.XLOOKUP(F102,customers!A:A,customers!B:B)</f>
        <v>Rudiger Di Bartolomeo</v>
      </c>
      <c r="J102" s="2">
        <f>_xlfn.XLOOKUP(F102,customers!A:A,customers!C:C)</f>
        <v>0</v>
      </c>
      <c r="K102" s="2" t="str">
        <f>_xlfn.XLOOKUP(F102,customers!A:A,customers!F:F)</f>
        <v>Stockton</v>
      </c>
      <c r="L102" s="2" t="str">
        <f>_xlfn.XLOOKUP(F102,customers!A:A,customers!G:G)</f>
        <v>United States</v>
      </c>
      <c r="M102" t="str">
        <f>_xlfn.XLOOKUP(G102,products!A:A,products!B:B)</f>
        <v>Ara</v>
      </c>
      <c r="N102" t="str">
        <f>_xlfn.XLOOKUP(G102,products!A:A,products!C:C)</f>
        <v>L</v>
      </c>
      <c r="O102">
        <f>_xlfn.XLOOKUP(G102,products!A:A,products!D:D)</f>
        <v>0.2</v>
      </c>
      <c r="P102">
        <f>_xlfn.XLOOKUP(G102,products!A:A,products!E:E)</f>
        <v>3.8849999999999998</v>
      </c>
      <c r="Q102">
        <f t="shared" si="7"/>
        <v>7.77</v>
      </c>
      <c r="R102" t="str" cm="1">
        <f t="array" ref="R102">_xlfn.IFS(Q102&lt;=50,"low sales",Q102&lt;=100,"medium sales",Q102&gt;100,"High sales")</f>
        <v>low sales</v>
      </c>
    </row>
    <row r="103" spans="1:18" x14ac:dyDescent="0.35">
      <c r="A103" s="2" t="s">
        <v>1053</v>
      </c>
      <c r="B103" s="3">
        <v>43891</v>
      </c>
      <c r="C103" s="3" t="str">
        <f t="shared" si="4"/>
        <v>Sunday</v>
      </c>
      <c r="D103" s="3" t="str">
        <f t="shared" si="5"/>
        <v>March</v>
      </c>
      <c r="E103" s="3" t="str">
        <f t="shared" si="6"/>
        <v>2020</v>
      </c>
      <c r="F103" s="2" t="s">
        <v>1054</v>
      </c>
      <c r="G103" t="s">
        <v>6165</v>
      </c>
      <c r="H103" s="2">
        <v>5</v>
      </c>
      <c r="I103" s="2" t="str">
        <f>_xlfn.XLOOKUP(F103,customers!A:A,customers!B:B)</f>
        <v>Nickey Youles</v>
      </c>
      <c r="J103" s="2" t="str">
        <f>_xlfn.XLOOKUP(F103,customers!A:A,customers!C:C)</f>
        <v>nyoules2t@reference.com</v>
      </c>
      <c r="K103" s="2" t="str">
        <f>_xlfn.XLOOKUP(F103,customers!A:A,customers!F:F)</f>
        <v>Edgeworthstown</v>
      </c>
      <c r="L103" s="2" t="str">
        <f>_xlfn.XLOOKUP(F103,customers!A:A,customers!G:G)</f>
        <v>Ireland</v>
      </c>
      <c r="M103" t="str">
        <f>_xlfn.XLOOKUP(G103,products!A:A,products!B:B)</f>
        <v>Lib</v>
      </c>
      <c r="N103" t="str">
        <f>_xlfn.XLOOKUP(G103,products!A:A,products!C:C)</f>
        <v>D</v>
      </c>
      <c r="O103">
        <f>_xlfn.XLOOKUP(G103,products!A:A,products!D:D)</f>
        <v>2.5</v>
      </c>
      <c r="P103">
        <f>_xlfn.XLOOKUP(G103,products!A:A,products!E:E)</f>
        <v>29.784999999999997</v>
      </c>
      <c r="Q103">
        <f t="shared" si="7"/>
        <v>148.92499999999998</v>
      </c>
      <c r="R103" t="str" cm="1">
        <f t="array" ref="R103">_xlfn.IFS(Q103&lt;=50,"low sales",Q103&lt;=100,"medium sales",Q103&gt;100,"High sales")</f>
        <v>High sales</v>
      </c>
    </row>
    <row r="104" spans="1:18" x14ac:dyDescent="0.35">
      <c r="A104" s="2" t="s">
        <v>1059</v>
      </c>
      <c r="B104" s="3">
        <v>44488</v>
      </c>
      <c r="C104" s="3" t="str">
        <f t="shared" si="4"/>
        <v>Tuesday</v>
      </c>
      <c r="D104" s="3" t="str">
        <f t="shared" si="5"/>
        <v>October</v>
      </c>
      <c r="E104" s="3" t="str">
        <f t="shared" si="6"/>
        <v>2021</v>
      </c>
      <c r="F104" s="2" t="s">
        <v>1060</v>
      </c>
      <c r="G104" t="s">
        <v>6143</v>
      </c>
      <c r="H104" s="2">
        <v>3</v>
      </c>
      <c r="I104" s="2" t="str">
        <f>_xlfn.XLOOKUP(F104,customers!A:A,customers!B:B)</f>
        <v>Dyanna Aizikovitz</v>
      </c>
      <c r="J104" s="2" t="str">
        <f>_xlfn.XLOOKUP(F104,customers!A:A,customers!C:C)</f>
        <v>daizikovitz2u@answers.com</v>
      </c>
      <c r="K104" s="2" t="str">
        <f>_xlfn.XLOOKUP(F104,customers!A:A,customers!F:F)</f>
        <v>Leixlip</v>
      </c>
      <c r="L104" s="2" t="str">
        <f>_xlfn.XLOOKUP(F104,customers!A:A,customers!G:G)</f>
        <v>Ireland</v>
      </c>
      <c r="M104" t="str">
        <f>_xlfn.XLOOKUP(G104,products!A:A,products!B:B)</f>
        <v>Lib</v>
      </c>
      <c r="N104" t="str">
        <f>_xlfn.XLOOKUP(G104,products!A:A,products!C:C)</f>
        <v>D</v>
      </c>
      <c r="O104">
        <f>_xlfn.XLOOKUP(G104,products!A:A,products!D:D)</f>
        <v>1</v>
      </c>
      <c r="P104">
        <f>_xlfn.XLOOKUP(G104,products!A:A,products!E:E)</f>
        <v>12.95</v>
      </c>
      <c r="Q104">
        <f t="shared" si="7"/>
        <v>38.849999999999994</v>
      </c>
      <c r="R104" t="str" cm="1">
        <f t="array" ref="R104">_xlfn.IFS(Q104&lt;=50,"low sales",Q104&lt;=100,"medium sales",Q104&gt;100,"High sales")</f>
        <v>low sales</v>
      </c>
    </row>
    <row r="105" spans="1:18" x14ac:dyDescent="0.35">
      <c r="A105" s="2" t="s">
        <v>1065</v>
      </c>
      <c r="B105" s="3">
        <v>44750</v>
      </c>
      <c r="C105" s="3" t="str">
        <f t="shared" si="4"/>
        <v>Friday</v>
      </c>
      <c r="D105" s="3" t="str">
        <f t="shared" si="5"/>
        <v>July</v>
      </c>
      <c r="E105" s="3" t="str">
        <f t="shared" si="6"/>
        <v>2022</v>
      </c>
      <c r="F105" s="2" t="s">
        <v>1066</v>
      </c>
      <c r="G105" t="s">
        <v>6174</v>
      </c>
      <c r="H105" s="2">
        <v>4</v>
      </c>
      <c r="I105" s="2" t="str">
        <f>_xlfn.XLOOKUP(F105,customers!A:A,customers!B:B)</f>
        <v>Bram Revel</v>
      </c>
      <c r="J105" s="2" t="str">
        <f>_xlfn.XLOOKUP(F105,customers!A:A,customers!C:C)</f>
        <v>brevel2v@fastcompany.com</v>
      </c>
      <c r="K105" s="2" t="str">
        <f>_xlfn.XLOOKUP(F105,customers!A:A,customers!F:F)</f>
        <v>Rochester</v>
      </c>
      <c r="L105" s="2" t="str">
        <f>_xlfn.XLOOKUP(F105,customers!A:A,customers!G:G)</f>
        <v>United States</v>
      </c>
      <c r="M105" t="str">
        <f>_xlfn.XLOOKUP(G105,products!A:A,products!B:B)</f>
        <v>Rob</v>
      </c>
      <c r="N105" t="str">
        <f>_xlfn.XLOOKUP(G105,products!A:A,products!C:C)</f>
        <v>M</v>
      </c>
      <c r="O105">
        <f>_xlfn.XLOOKUP(G105,products!A:A,products!D:D)</f>
        <v>0.2</v>
      </c>
      <c r="P105">
        <f>_xlfn.XLOOKUP(G105,products!A:A,products!E:E)</f>
        <v>2.9849999999999999</v>
      </c>
      <c r="Q105">
        <f t="shared" si="7"/>
        <v>11.94</v>
      </c>
      <c r="R105" t="str" cm="1">
        <f t="array" ref="R105">_xlfn.IFS(Q105&lt;=50,"low sales",Q105&lt;=100,"medium sales",Q105&gt;100,"High sales")</f>
        <v>low sales</v>
      </c>
    </row>
    <row r="106" spans="1:18" x14ac:dyDescent="0.35">
      <c r="A106" s="2" t="s">
        <v>1071</v>
      </c>
      <c r="B106" s="3">
        <v>43694</v>
      </c>
      <c r="C106" s="3" t="str">
        <f t="shared" si="4"/>
        <v>Saturday</v>
      </c>
      <c r="D106" s="3" t="str">
        <f t="shared" si="5"/>
        <v>August</v>
      </c>
      <c r="E106" s="3" t="str">
        <f t="shared" si="6"/>
        <v>2019</v>
      </c>
      <c r="F106" s="2" t="s">
        <v>1072</v>
      </c>
      <c r="G106" t="s">
        <v>6162</v>
      </c>
      <c r="H106" s="2">
        <v>6</v>
      </c>
      <c r="I106" s="2" t="str">
        <f>_xlfn.XLOOKUP(F106,customers!A:A,customers!B:B)</f>
        <v>Emiline Priddis</v>
      </c>
      <c r="J106" s="2" t="str">
        <f>_xlfn.XLOOKUP(F106,customers!A:A,customers!C:C)</f>
        <v>epriddis2w@nationalgeographic.com</v>
      </c>
      <c r="K106" s="2" t="str">
        <f>_xlfn.XLOOKUP(F106,customers!A:A,customers!F:F)</f>
        <v>Tuscaloosa</v>
      </c>
      <c r="L106" s="2" t="str">
        <f>_xlfn.XLOOKUP(F106,customers!A:A,customers!G:G)</f>
        <v>United States</v>
      </c>
      <c r="M106" t="str">
        <f>_xlfn.XLOOKUP(G106,products!A:A,products!B:B)</f>
        <v>Lib</v>
      </c>
      <c r="N106" t="str">
        <f>_xlfn.XLOOKUP(G106,products!A:A,products!C:C)</f>
        <v>M</v>
      </c>
      <c r="O106">
        <f>_xlfn.XLOOKUP(G106,products!A:A,products!D:D)</f>
        <v>1</v>
      </c>
      <c r="P106">
        <f>_xlfn.XLOOKUP(G106,products!A:A,products!E:E)</f>
        <v>14.55</v>
      </c>
      <c r="Q106">
        <f t="shared" si="7"/>
        <v>87.300000000000011</v>
      </c>
      <c r="R106" t="str" cm="1">
        <f t="array" ref="R106">_xlfn.IFS(Q106&lt;=50,"low sales",Q106&lt;=100,"medium sales",Q106&gt;100,"High sales")</f>
        <v>medium sales</v>
      </c>
    </row>
    <row r="107" spans="1:18" x14ac:dyDescent="0.35">
      <c r="A107" s="2" t="s">
        <v>1077</v>
      </c>
      <c r="B107" s="3">
        <v>43982</v>
      </c>
      <c r="C107" s="3" t="str">
        <f t="shared" si="4"/>
        <v>Sunday</v>
      </c>
      <c r="D107" s="3" t="str">
        <f t="shared" si="5"/>
        <v>May</v>
      </c>
      <c r="E107" s="3" t="str">
        <f t="shared" si="6"/>
        <v>2020</v>
      </c>
      <c r="F107" s="2" t="s">
        <v>1078</v>
      </c>
      <c r="G107" t="s">
        <v>6157</v>
      </c>
      <c r="H107" s="2">
        <v>6</v>
      </c>
      <c r="I107" s="2" t="str">
        <f>_xlfn.XLOOKUP(F107,customers!A:A,customers!B:B)</f>
        <v>Queenie Veel</v>
      </c>
      <c r="J107" s="2" t="str">
        <f>_xlfn.XLOOKUP(F107,customers!A:A,customers!C:C)</f>
        <v>qveel2x@jugem.jp</v>
      </c>
      <c r="K107" s="2" t="str">
        <f>_xlfn.XLOOKUP(F107,customers!A:A,customers!F:F)</f>
        <v>Houston</v>
      </c>
      <c r="L107" s="2" t="str">
        <f>_xlfn.XLOOKUP(F107,customers!A:A,customers!G:G)</f>
        <v>United States</v>
      </c>
      <c r="M107" t="str">
        <f>_xlfn.XLOOKUP(G107,products!A:A,products!B:B)</f>
        <v>Ara</v>
      </c>
      <c r="N107" t="str">
        <f>_xlfn.XLOOKUP(G107,products!A:A,products!C:C)</f>
        <v>M</v>
      </c>
      <c r="O107">
        <f>_xlfn.XLOOKUP(G107,products!A:A,products!D:D)</f>
        <v>0.5</v>
      </c>
      <c r="P107">
        <f>_xlfn.XLOOKUP(G107,products!A:A,products!E:E)</f>
        <v>6.75</v>
      </c>
      <c r="Q107">
        <f t="shared" si="7"/>
        <v>40.5</v>
      </c>
      <c r="R107" t="str" cm="1">
        <f t="array" ref="R107">_xlfn.IFS(Q107&lt;=50,"low sales",Q107&lt;=100,"medium sales",Q107&gt;100,"High sales")</f>
        <v>low sales</v>
      </c>
    </row>
    <row r="108" spans="1:18" x14ac:dyDescent="0.35">
      <c r="A108" s="2" t="s">
        <v>1083</v>
      </c>
      <c r="B108" s="3">
        <v>43956</v>
      </c>
      <c r="C108" s="3" t="str">
        <f t="shared" si="4"/>
        <v>Tuesday</v>
      </c>
      <c r="D108" s="3" t="str">
        <f t="shared" si="5"/>
        <v>May</v>
      </c>
      <c r="E108" s="3" t="str">
        <f t="shared" si="6"/>
        <v>2020</v>
      </c>
      <c r="F108" s="2" t="s">
        <v>1084</v>
      </c>
      <c r="G108" t="s">
        <v>6183</v>
      </c>
      <c r="H108" s="2">
        <v>2</v>
      </c>
      <c r="I108" s="2" t="str">
        <f>_xlfn.XLOOKUP(F108,customers!A:A,customers!B:B)</f>
        <v>Lind Conyers</v>
      </c>
      <c r="J108" s="2" t="str">
        <f>_xlfn.XLOOKUP(F108,customers!A:A,customers!C:C)</f>
        <v>lconyers2y@twitter.com</v>
      </c>
      <c r="K108" s="2" t="str">
        <f>_xlfn.XLOOKUP(F108,customers!A:A,customers!F:F)</f>
        <v>El Paso</v>
      </c>
      <c r="L108" s="2" t="str">
        <f>_xlfn.XLOOKUP(F108,customers!A:A,customers!G:G)</f>
        <v>United States</v>
      </c>
      <c r="M108" t="str">
        <f>_xlfn.XLOOKUP(G108,products!A:A,products!B:B)</f>
        <v>Exc</v>
      </c>
      <c r="N108" t="str">
        <f>_xlfn.XLOOKUP(G108,products!A:A,products!C:C)</f>
        <v>D</v>
      </c>
      <c r="O108">
        <f>_xlfn.XLOOKUP(G108,products!A:A,products!D:D)</f>
        <v>1</v>
      </c>
      <c r="P108">
        <f>_xlfn.XLOOKUP(G108,products!A:A,products!E:E)</f>
        <v>12.15</v>
      </c>
      <c r="Q108">
        <f t="shared" si="7"/>
        <v>24.3</v>
      </c>
      <c r="R108" t="str" cm="1">
        <f t="array" ref="R108">_xlfn.IFS(Q108&lt;=50,"low sales",Q108&lt;=100,"medium sales",Q108&gt;100,"High sales")</f>
        <v>low sales</v>
      </c>
    </row>
    <row r="109" spans="1:18" x14ac:dyDescent="0.35">
      <c r="A109" s="2" t="s">
        <v>1089</v>
      </c>
      <c r="B109" s="3">
        <v>43569</v>
      </c>
      <c r="C109" s="3" t="str">
        <f t="shared" si="4"/>
        <v>Sunday</v>
      </c>
      <c r="D109" s="3" t="str">
        <f t="shared" si="5"/>
        <v>April</v>
      </c>
      <c r="E109" s="3" t="str">
        <f t="shared" si="6"/>
        <v>2019</v>
      </c>
      <c r="F109" s="2" t="s">
        <v>1090</v>
      </c>
      <c r="G109" t="s">
        <v>6146</v>
      </c>
      <c r="H109" s="2">
        <v>3</v>
      </c>
      <c r="I109" s="2" t="str">
        <f>_xlfn.XLOOKUP(F109,customers!A:A,customers!B:B)</f>
        <v>Pen Wye</v>
      </c>
      <c r="J109" s="2" t="str">
        <f>_xlfn.XLOOKUP(F109,customers!A:A,customers!C:C)</f>
        <v>pwye2z@dagondesign.com</v>
      </c>
      <c r="K109" s="2" t="str">
        <f>_xlfn.XLOOKUP(F109,customers!A:A,customers!F:F)</f>
        <v>Colorado Springs</v>
      </c>
      <c r="L109" s="2" t="str">
        <f>_xlfn.XLOOKUP(F109,customers!A:A,customers!G:G)</f>
        <v>United States</v>
      </c>
      <c r="M109" t="str">
        <f>_xlfn.XLOOKUP(G109,products!A:A,products!B:B)</f>
        <v>Rob</v>
      </c>
      <c r="N109" t="str">
        <f>_xlfn.XLOOKUP(G109,products!A:A,products!C:C)</f>
        <v>M</v>
      </c>
      <c r="O109">
        <f>_xlfn.XLOOKUP(G109,products!A:A,products!D:D)</f>
        <v>0.5</v>
      </c>
      <c r="P109">
        <f>_xlfn.XLOOKUP(G109,products!A:A,products!E:E)</f>
        <v>5.97</v>
      </c>
      <c r="Q109">
        <f t="shared" si="7"/>
        <v>17.91</v>
      </c>
      <c r="R109" t="str" cm="1">
        <f t="array" ref="R109">_xlfn.IFS(Q109&lt;=50,"low sales",Q109&lt;=100,"medium sales",Q109&gt;100,"High sales")</f>
        <v>low sales</v>
      </c>
    </row>
    <row r="110" spans="1:18" x14ac:dyDescent="0.35">
      <c r="A110" s="2" t="s">
        <v>1095</v>
      </c>
      <c r="B110" s="3">
        <v>44041</v>
      </c>
      <c r="C110" s="3" t="str">
        <f t="shared" si="4"/>
        <v>Wednesday</v>
      </c>
      <c r="D110" s="3" t="str">
        <f t="shared" si="5"/>
        <v>July</v>
      </c>
      <c r="E110" s="3" t="str">
        <f t="shared" si="6"/>
        <v>2020</v>
      </c>
      <c r="F110" s="2" t="s">
        <v>1096</v>
      </c>
      <c r="G110" t="s">
        <v>6157</v>
      </c>
      <c r="H110" s="2">
        <v>4</v>
      </c>
      <c r="I110" s="2" t="str">
        <f>_xlfn.XLOOKUP(F110,customers!A:A,customers!B:B)</f>
        <v>Isahella Hagland</v>
      </c>
      <c r="J110" s="2">
        <f>_xlfn.XLOOKUP(F110,customers!A:A,customers!C:C)</f>
        <v>0</v>
      </c>
      <c r="K110" s="2" t="str">
        <f>_xlfn.XLOOKUP(F110,customers!A:A,customers!F:F)</f>
        <v>Fort Wayne</v>
      </c>
      <c r="L110" s="2" t="str">
        <f>_xlfn.XLOOKUP(F110,customers!A:A,customers!G:G)</f>
        <v>United States</v>
      </c>
      <c r="M110" t="str">
        <f>_xlfn.XLOOKUP(G110,products!A:A,products!B:B)</f>
        <v>Ara</v>
      </c>
      <c r="N110" t="str">
        <f>_xlfn.XLOOKUP(G110,products!A:A,products!C:C)</f>
        <v>M</v>
      </c>
      <c r="O110">
        <f>_xlfn.XLOOKUP(G110,products!A:A,products!D:D)</f>
        <v>0.5</v>
      </c>
      <c r="P110">
        <f>_xlfn.XLOOKUP(G110,products!A:A,products!E:E)</f>
        <v>6.75</v>
      </c>
      <c r="Q110">
        <f t="shared" si="7"/>
        <v>27</v>
      </c>
      <c r="R110" t="str" cm="1">
        <f t="array" ref="R110">_xlfn.IFS(Q110&lt;=50,"low sales",Q110&lt;=100,"medium sales",Q110&gt;100,"High sales")</f>
        <v>low sales</v>
      </c>
    </row>
    <row r="111" spans="1:18" x14ac:dyDescent="0.35">
      <c r="A111" s="2" t="s">
        <v>1100</v>
      </c>
      <c r="B111" s="3">
        <v>43811</v>
      </c>
      <c r="C111" s="3" t="str">
        <f t="shared" si="4"/>
        <v>Thursday</v>
      </c>
      <c r="D111" s="3" t="str">
        <f t="shared" si="5"/>
        <v>December</v>
      </c>
      <c r="E111" s="3" t="str">
        <f t="shared" si="6"/>
        <v>2019</v>
      </c>
      <c r="F111" s="2" t="s">
        <v>1101</v>
      </c>
      <c r="G111" t="s">
        <v>6169</v>
      </c>
      <c r="H111" s="2">
        <v>1</v>
      </c>
      <c r="I111" s="2" t="str">
        <f>_xlfn.XLOOKUP(F111,customers!A:A,customers!B:B)</f>
        <v>Terry Sheryn</v>
      </c>
      <c r="J111" s="2" t="str">
        <f>_xlfn.XLOOKUP(F111,customers!A:A,customers!C:C)</f>
        <v>tsheryn31@mtv.com</v>
      </c>
      <c r="K111" s="2" t="str">
        <f>_xlfn.XLOOKUP(F111,customers!A:A,customers!F:F)</f>
        <v>Port Washington</v>
      </c>
      <c r="L111" s="2" t="str">
        <f>_xlfn.XLOOKUP(F111,customers!A:A,customers!G:G)</f>
        <v>United States</v>
      </c>
      <c r="M111" t="str">
        <f>_xlfn.XLOOKUP(G111,products!A:A,products!B:B)</f>
        <v>Lib</v>
      </c>
      <c r="N111" t="str">
        <f>_xlfn.XLOOKUP(G111,products!A:A,products!C:C)</f>
        <v>D</v>
      </c>
      <c r="O111">
        <f>_xlfn.XLOOKUP(G111,products!A:A,products!D:D)</f>
        <v>0.5</v>
      </c>
      <c r="P111">
        <f>_xlfn.XLOOKUP(G111,products!A:A,products!E:E)</f>
        <v>7.77</v>
      </c>
      <c r="Q111">
        <f t="shared" si="7"/>
        <v>7.77</v>
      </c>
      <c r="R111" t="str" cm="1">
        <f t="array" ref="R111">_xlfn.IFS(Q111&lt;=50,"low sales",Q111&lt;=100,"medium sales",Q111&gt;100,"High sales")</f>
        <v>low sales</v>
      </c>
    </row>
    <row r="112" spans="1:18" x14ac:dyDescent="0.35">
      <c r="A112" s="2" t="s">
        <v>1106</v>
      </c>
      <c r="B112" s="3">
        <v>44727</v>
      </c>
      <c r="C112" s="3" t="str">
        <f t="shared" si="4"/>
        <v>Wednesday</v>
      </c>
      <c r="D112" s="3" t="str">
        <f t="shared" si="5"/>
        <v>June</v>
      </c>
      <c r="E112" s="3" t="str">
        <f t="shared" si="6"/>
        <v>2022</v>
      </c>
      <c r="F112" s="2" t="s">
        <v>1107</v>
      </c>
      <c r="G112" t="s">
        <v>6184</v>
      </c>
      <c r="H112" s="2">
        <v>3</v>
      </c>
      <c r="I112" s="2" t="str">
        <f>_xlfn.XLOOKUP(F112,customers!A:A,customers!B:B)</f>
        <v>Marie-jeanne Redgrave</v>
      </c>
      <c r="J112" s="2" t="str">
        <f>_xlfn.XLOOKUP(F112,customers!A:A,customers!C:C)</f>
        <v>mredgrave32@cargocollective.com</v>
      </c>
      <c r="K112" s="2" t="str">
        <f>_xlfn.XLOOKUP(F112,customers!A:A,customers!F:F)</f>
        <v>Springfield</v>
      </c>
      <c r="L112" s="2" t="str">
        <f>_xlfn.XLOOKUP(F112,customers!A:A,customers!G:G)</f>
        <v>United States</v>
      </c>
      <c r="M112" t="str">
        <f>_xlfn.XLOOKUP(G112,products!A:A,products!B:B)</f>
        <v>Exc</v>
      </c>
      <c r="N112" t="str">
        <f>_xlfn.XLOOKUP(G112,products!A:A,products!C:C)</f>
        <v>L</v>
      </c>
      <c r="O112">
        <f>_xlfn.XLOOKUP(G112,products!A:A,products!D:D)</f>
        <v>0.2</v>
      </c>
      <c r="P112">
        <f>_xlfn.XLOOKUP(G112,products!A:A,products!E:E)</f>
        <v>4.4550000000000001</v>
      </c>
      <c r="Q112">
        <f t="shared" si="7"/>
        <v>13.365</v>
      </c>
      <c r="R112" t="str" cm="1">
        <f t="array" ref="R112">_xlfn.IFS(Q112&lt;=50,"low sales",Q112&lt;=100,"medium sales",Q112&gt;100,"High sales")</f>
        <v>low sales</v>
      </c>
    </row>
    <row r="113" spans="1:18" x14ac:dyDescent="0.35">
      <c r="A113" s="2" t="s">
        <v>1112</v>
      </c>
      <c r="B113" s="3">
        <v>43642</v>
      </c>
      <c r="C113" s="3" t="str">
        <f t="shared" si="4"/>
        <v>Wednesday</v>
      </c>
      <c r="D113" s="3" t="str">
        <f t="shared" si="5"/>
        <v>June</v>
      </c>
      <c r="E113" s="3" t="str">
        <f t="shared" si="6"/>
        <v>2019</v>
      </c>
      <c r="F113" s="2" t="s">
        <v>1113</v>
      </c>
      <c r="G113" t="s">
        <v>6172</v>
      </c>
      <c r="H113" s="2">
        <v>5</v>
      </c>
      <c r="I113" s="2" t="str">
        <f>_xlfn.XLOOKUP(F113,customers!A:A,customers!B:B)</f>
        <v>Betty Fominov</v>
      </c>
      <c r="J113" s="2" t="str">
        <f>_xlfn.XLOOKUP(F113,customers!A:A,customers!C:C)</f>
        <v>bfominov33@yale.edu</v>
      </c>
      <c r="K113" s="2" t="str">
        <f>_xlfn.XLOOKUP(F113,customers!A:A,customers!F:F)</f>
        <v>Pensacola</v>
      </c>
      <c r="L113" s="2" t="str">
        <f>_xlfn.XLOOKUP(F113,customers!A:A,customers!G:G)</f>
        <v>United States</v>
      </c>
      <c r="M113" t="str">
        <f>_xlfn.XLOOKUP(G113,products!A:A,products!B:B)</f>
        <v>Rob</v>
      </c>
      <c r="N113" t="str">
        <f>_xlfn.XLOOKUP(G113,products!A:A,products!C:C)</f>
        <v>D</v>
      </c>
      <c r="O113">
        <f>_xlfn.XLOOKUP(G113,products!A:A,products!D:D)</f>
        <v>0.5</v>
      </c>
      <c r="P113">
        <f>_xlfn.XLOOKUP(G113,products!A:A,products!E:E)</f>
        <v>5.3699999999999992</v>
      </c>
      <c r="Q113">
        <f t="shared" si="7"/>
        <v>26.849999999999994</v>
      </c>
      <c r="R113" t="str" cm="1">
        <f t="array" ref="R113">_xlfn.IFS(Q113&lt;=50,"low sales",Q113&lt;=100,"medium sales",Q113&gt;100,"High sales")</f>
        <v>low sales</v>
      </c>
    </row>
    <row r="114" spans="1:18" x14ac:dyDescent="0.35">
      <c r="A114" s="2" t="s">
        <v>1117</v>
      </c>
      <c r="B114" s="3">
        <v>44481</v>
      </c>
      <c r="C114" s="3" t="str">
        <f t="shared" si="4"/>
        <v>Tuesday</v>
      </c>
      <c r="D114" s="3" t="str">
        <f t="shared" si="5"/>
        <v>October</v>
      </c>
      <c r="E114" s="3" t="str">
        <f t="shared" si="6"/>
        <v>2021</v>
      </c>
      <c r="F114" s="2" t="s">
        <v>1118</v>
      </c>
      <c r="G114" t="s">
        <v>6155</v>
      </c>
      <c r="H114" s="2">
        <v>1</v>
      </c>
      <c r="I114" s="2" t="str">
        <f>_xlfn.XLOOKUP(F114,customers!A:A,customers!B:B)</f>
        <v>Shawnee Critchlow</v>
      </c>
      <c r="J114" s="2" t="str">
        <f>_xlfn.XLOOKUP(F114,customers!A:A,customers!C:C)</f>
        <v>scritchlow34@un.org</v>
      </c>
      <c r="K114" s="2" t="str">
        <f>_xlfn.XLOOKUP(F114,customers!A:A,customers!F:F)</f>
        <v>Richmond</v>
      </c>
      <c r="L114" s="2" t="str">
        <f>_xlfn.XLOOKUP(F114,customers!A:A,customers!G:G)</f>
        <v>United States</v>
      </c>
      <c r="M114" t="str">
        <f>_xlfn.XLOOKUP(G114,products!A:A,products!B:B)</f>
        <v>Ara</v>
      </c>
      <c r="N114" t="str">
        <f>_xlfn.XLOOKUP(G114,products!A:A,products!C:C)</f>
        <v>M</v>
      </c>
      <c r="O114">
        <f>_xlfn.XLOOKUP(G114,products!A:A,products!D:D)</f>
        <v>1</v>
      </c>
      <c r="P114">
        <f>_xlfn.XLOOKUP(G114,products!A:A,products!E:E)</f>
        <v>11.25</v>
      </c>
      <c r="Q114">
        <f t="shared" si="7"/>
        <v>11.25</v>
      </c>
      <c r="R114" t="str" cm="1">
        <f t="array" ref="R114">_xlfn.IFS(Q114&lt;=50,"low sales",Q114&lt;=100,"medium sales",Q114&gt;100,"High sales")</f>
        <v>low sales</v>
      </c>
    </row>
    <row r="115" spans="1:18" x14ac:dyDescent="0.35">
      <c r="A115" s="2" t="s">
        <v>1123</v>
      </c>
      <c r="B115" s="3">
        <v>43556</v>
      </c>
      <c r="C115" s="3" t="str">
        <f t="shared" si="4"/>
        <v>Monday</v>
      </c>
      <c r="D115" s="3" t="str">
        <f t="shared" si="5"/>
        <v>April</v>
      </c>
      <c r="E115" s="3" t="str">
        <f t="shared" si="6"/>
        <v>2019</v>
      </c>
      <c r="F115" s="2" t="s">
        <v>1124</v>
      </c>
      <c r="G115" t="s">
        <v>6162</v>
      </c>
      <c r="H115" s="2">
        <v>1</v>
      </c>
      <c r="I115" s="2" t="str">
        <f>_xlfn.XLOOKUP(F115,customers!A:A,customers!B:B)</f>
        <v>Merrel Steptow</v>
      </c>
      <c r="J115" s="2" t="str">
        <f>_xlfn.XLOOKUP(F115,customers!A:A,customers!C:C)</f>
        <v>msteptow35@earthlink.net</v>
      </c>
      <c r="K115" s="2" t="str">
        <f>_xlfn.XLOOKUP(F115,customers!A:A,customers!F:F)</f>
        <v>Cherryville</v>
      </c>
      <c r="L115" s="2" t="str">
        <f>_xlfn.XLOOKUP(F115,customers!A:A,customers!G:G)</f>
        <v>Ireland</v>
      </c>
      <c r="M115" t="str">
        <f>_xlfn.XLOOKUP(G115,products!A:A,products!B:B)</f>
        <v>Lib</v>
      </c>
      <c r="N115" t="str">
        <f>_xlfn.XLOOKUP(G115,products!A:A,products!C:C)</f>
        <v>M</v>
      </c>
      <c r="O115">
        <f>_xlfn.XLOOKUP(G115,products!A:A,products!D:D)</f>
        <v>1</v>
      </c>
      <c r="P115">
        <f>_xlfn.XLOOKUP(G115,products!A:A,products!E:E)</f>
        <v>14.55</v>
      </c>
      <c r="Q115">
        <f t="shared" si="7"/>
        <v>14.55</v>
      </c>
      <c r="R115" t="str" cm="1">
        <f t="array" ref="R115">_xlfn.IFS(Q115&lt;=50,"low sales",Q115&lt;=100,"medium sales",Q115&gt;100,"High sales")</f>
        <v>low sales</v>
      </c>
    </row>
    <row r="116" spans="1:18" x14ac:dyDescent="0.35">
      <c r="A116" s="2" t="s">
        <v>1129</v>
      </c>
      <c r="B116" s="3">
        <v>44265</v>
      </c>
      <c r="C116" s="3" t="str">
        <f t="shared" si="4"/>
        <v>Wednesday</v>
      </c>
      <c r="D116" s="3" t="str">
        <f t="shared" si="5"/>
        <v>March</v>
      </c>
      <c r="E116" s="3" t="str">
        <f t="shared" si="6"/>
        <v>2021</v>
      </c>
      <c r="F116" s="2" t="s">
        <v>1130</v>
      </c>
      <c r="G116" t="s">
        <v>6178</v>
      </c>
      <c r="H116" s="2">
        <v>4</v>
      </c>
      <c r="I116" s="2" t="str">
        <f>_xlfn.XLOOKUP(F116,customers!A:A,customers!B:B)</f>
        <v>Carmina Hubbuck</v>
      </c>
      <c r="J116" s="2">
        <f>_xlfn.XLOOKUP(F116,customers!A:A,customers!C:C)</f>
        <v>0</v>
      </c>
      <c r="K116" s="2" t="str">
        <f>_xlfn.XLOOKUP(F116,customers!A:A,customers!F:F)</f>
        <v>Huntington</v>
      </c>
      <c r="L116" s="2" t="str">
        <f>_xlfn.XLOOKUP(F116,customers!A:A,customers!G:G)</f>
        <v>United States</v>
      </c>
      <c r="M116" t="str">
        <f>_xlfn.XLOOKUP(G116,products!A:A,products!B:B)</f>
        <v>Rob</v>
      </c>
      <c r="N116" t="str">
        <f>_xlfn.XLOOKUP(G116,products!A:A,products!C:C)</f>
        <v>L</v>
      </c>
      <c r="O116">
        <f>_xlfn.XLOOKUP(G116,products!A:A,products!D:D)</f>
        <v>0.2</v>
      </c>
      <c r="P116">
        <f>_xlfn.XLOOKUP(G116,products!A:A,products!E:E)</f>
        <v>3.5849999999999995</v>
      </c>
      <c r="Q116">
        <f t="shared" si="7"/>
        <v>14.339999999999998</v>
      </c>
      <c r="R116" t="str" cm="1">
        <f t="array" ref="R116">_xlfn.IFS(Q116&lt;=50,"low sales",Q116&lt;=100,"medium sales",Q116&gt;100,"High sales")</f>
        <v>low sales</v>
      </c>
    </row>
    <row r="117" spans="1:18" x14ac:dyDescent="0.35">
      <c r="A117" s="2" t="s">
        <v>1134</v>
      </c>
      <c r="B117" s="3">
        <v>43693</v>
      </c>
      <c r="C117" s="3" t="str">
        <f t="shared" si="4"/>
        <v>Friday</v>
      </c>
      <c r="D117" s="3" t="str">
        <f t="shared" si="5"/>
        <v>August</v>
      </c>
      <c r="E117" s="3" t="str">
        <f t="shared" si="6"/>
        <v>2019</v>
      </c>
      <c r="F117" s="2" t="s">
        <v>1135</v>
      </c>
      <c r="G117" t="s">
        <v>6170</v>
      </c>
      <c r="H117" s="2">
        <v>1</v>
      </c>
      <c r="I117" s="2" t="str">
        <f>_xlfn.XLOOKUP(F117,customers!A:A,customers!B:B)</f>
        <v>Ingeberg Mulliner</v>
      </c>
      <c r="J117" s="2" t="str">
        <f>_xlfn.XLOOKUP(F117,customers!A:A,customers!C:C)</f>
        <v>imulliner37@pinterest.com</v>
      </c>
      <c r="K117" s="2" t="str">
        <f>_xlfn.XLOOKUP(F117,customers!A:A,customers!F:F)</f>
        <v>Birmingham</v>
      </c>
      <c r="L117" s="2" t="str">
        <f>_xlfn.XLOOKUP(F117,customers!A:A,customers!G:G)</f>
        <v>United Kingdom</v>
      </c>
      <c r="M117" t="str">
        <f>_xlfn.XLOOKUP(G117,products!A:A,products!B:B)</f>
        <v>Lib</v>
      </c>
      <c r="N117" t="str">
        <f>_xlfn.XLOOKUP(G117,products!A:A,products!C:C)</f>
        <v>L</v>
      </c>
      <c r="O117">
        <f>_xlfn.XLOOKUP(G117,products!A:A,products!D:D)</f>
        <v>1</v>
      </c>
      <c r="P117">
        <f>_xlfn.XLOOKUP(G117,products!A:A,products!E:E)</f>
        <v>15.85</v>
      </c>
      <c r="Q117">
        <f t="shared" si="7"/>
        <v>15.85</v>
      </c>
      <c r="R117" t="str" cm="1">
        <f t="array" ref="R117">_xlfn.IFS(Q117&lt;=50,"low sales",Q117&lt;=100,"medium sales",Q117&gt;100,"High sales")</f>
        <v>low sales</v>
      </c>
    </row>
    <row r="118" spans="1:18" x14ac:dyDescent="0.35">
      <c r="A118" s="2" t="s">
        <v>1140</v>
      </c>
      <c r="B118" s="3">
        <v>44054</v>
      </c>
      <c r="C118" s="3" t="str">
        <f t="shared" si="4"/>
        <v>Tuesday</v>
      </c>
      <c r="D118" s="3" t="str">
        <f t="shared" si="5"/>
        <v>August</v>
      </c>
      <c r="E118" s="3" t="str">
        <f t="shared" si="6"/>
        <v>2020</v>
      </c>
      <c r="F118" s="2" t="s">
        <v>1141</v>
      </c>
      <c r="G118" t="s">
        <v>6145</v>
      </c>
      <c r="H118" s="2">
        <v>4</v>
      </c>
      <c r="I118" s="2" t="str">
        <f>_xlfn.XLOOKUP(F118,customers!A:A,customers!B:B)</f>
        <v>Geneva Standley</v>
      </c>
      <c r="J118" s="2" t="str">
        <f>_xlfn.XLOOKUP(F118,customers!A:A,customers!C:C)</f>
        <v>gstandley38@dion.ne.jp</v>
      </c>
      <c r="K118" s="2" t="str">
        <f>_xlfn.XLOOKUP(F118,customers!A:A,customers!F:F)</f>
        <v>Killorglin</v>
      </c>
      <c r="L118" s="2" t="str">
        <f>_xlfn.XLOOKUP(F118,customers!A:A,customers!G:G)</f>
        <v>Ireland</v>
      </c>
      <c r="M118" t="str">
        <f>_xlfn.XLOOKUP(G118,products!A:A,products!B:B)</f>
        <v>Lib</v>
      </c>
      <c r="N118" t="str">
        <f>_xlfn.XLOOKUP(G118,products!A:A,products!C:C)</f>
        <v>L</v>
      </c>
      <c r="O118">
        <f>_xlfn.XLOOKUP(G118,products!A:A,products!D:D)</f>
        <v>0.2</v>
      </c>
      <c r="P118">
        <f>_xlfn.XLOOKUP(G118,products!A:A,products!E:E)</f>
        <v>4.7549999999999999</v>
      </c>
      <c r="Q118">
        <f t="shared" si="7"/>
        <v>19.02</v>
      </c>
      <c r="R118" t="str" cm="1">
        <f t="array" ref="R118">_xlfn.IFS(Q118&lt;=50,"low sales",Q118&lt;=100,"medium sales",Q118&gt;100,"High sales")</f>
        <v>low sales</v>
      </c>
    </row>
    <row r="119" spans="1:18" x14ac:dyDescent="0.35">
      <c r="A119" s="2" t="s">
        <v>1146</v>
      </c>
      <c r="B119" s="3">
        <v>44656</v>
      </c>
      <c r="C119" s="3" t="str">
        <f t="shared" si="4"/>
        <v>Tuesday</v>
      </c>
      <c r="D119" s="3" t="str">
        <f t="shared" si="5"/>
        <v>April</v>
      </c>
      <c r="E119" s="3" t="str">
        <f t="shared" si="6"/>
        <v>2022</v>
      </c>
      <c r="F119" s="2" t="s">
        <v>1147</v>
      </c>
      <c r="G119" t="s">
        <v>6161</v>
      </c>
      <c r="H119" s="2">
        <v>4</v>
      </c>
      <c r="I119" s="2" t="str">
        <f>_xlfn.XLOOKUP(F119,customers!A:A,customers!B:B)</f>
        <v>Brook Drage</v>
      </c>
      <c r="J119" s="2" t="str">
        <f>_xlfn.XLOOKUP(F119,customers!A:A,customers!C:C)</f>
        <v>bdrage39@youku.com</v>
      </c>
      <c r="K119" s="2" t="str">
        <f>_xlfn.XLOOKUP(F119,customers!A:A,customers!F:F)</f>
        <v>Dayton</v>
      </c>
      <c r="L119" s="2" t="str">
        <f>_xlfn.XLOOKUP(F119,customers!A:A,customers!G:G)</f>
        <v>United States</v>
      </c>
      <c r="M119" t="str">
        <f>_xlfn.XLOOKUP(G119,products!A:A,products!B:B)</f>
        <v>Lib</v>
      </c>
      <c r="N119" t="str">
        <f>_xlfn.XLOOKUP(G119,products!A:A,products!C:C)</f>
        <v>L</v>
      </c>
      <c r="O119">
        <f>_xlfn.XLOOKUP(G119,products!A:A,products!D:D)</f>
        <v>0.5</v>
      </c>
      <c r="P119">
        <f>_xlfn.XLOOKUP(G119,products!A:A,products!E:E)</f>
        <v>9.51</v>
      </c>
      <c r="Q119">
        <f t="shared" si="7"/>
        <v>38.04</v>
      </c>
      <c r="R119" t="str" cm="1">
        <f t="array" ref="R119">_xlfn.IFS(Q119&lt;=50,"low sales",Q119&lt;=100,"medium sales",Q119&gt;100,"High sales")</f>
        <v>low sales</v>
      </c>
    </row>
    <row r="120" spans="1:18" x14ac:dyDescent="0.35">
      <c r="A120" s="2" t="s">
        <v>1152</v>
      </c>
      <c r="B120" s="3">
        <v>43760</v>
      </c>
      <c r="C120" s="3" t="str">
        <f t="shared" si="4"/>
        <v>Tuesday</v>
      </c>
      <c r="D120" s="3" t="str">
        <f t="shared" si="5"/>
        <v>October</v>
      </c>
      <c r="E120" s="3" t="str">
        <f t="shared" si="6"/>
        <v>2019</v>
      </c>
      <c r="F120" s="2" t="s">
        <v>1153</v>
      </c>
      <c r="G120" t="s">
        <v>6144</v>
      </c>
      <c r="H120" s="2">
        <v>3</v>
      </c>
      <c r="I120" s="2" t="str">
        <f>_xlfn.XLOOKUP(F120,customers!A:A,customers!B:B)</f>
        <v>Muffin Yallop</v>
      </c>
      <c r="J120" s="2" t="str">
        <f>_xlfn.XLOOKUP(F120,customers!A:A,customers!C:C)</f>
        <v>myallop3a@fema.gov</v>
      </c>
      <c r="K120" s="2" t="str">
        <f>_xlfn.XLOOKUP(F120,customers!A:A,customers!F:F)</f>
        <v>Anchorage</v>
      </c>
      <c r="L120" s="2" t="str">
        <f>_xlfn.XLOOKUP(F120,customers!A:A,customers!G:G)</f>
        <v>United States</v>
      </c>
      <c r="M120" t="str">
        <f>_xlfn.XLOOKUP(G120,products!A:A,products!B:B)</f>
        <v>Exc</v>
      </c>
      <c r="N120" t="str">
        <f>_xlfn.XLOOKUP(G120,products!A:A,products!C:C)</f>
        <v>D</v>
      </c>
      <c r="O120">
        <f>_xlfn.XLOOKUP(G120,products!A:A,products!D:D)</f>
        <v>0.5</v>
      </c>
      <c r="P120">
        <f>_xlfn.XLOOKUP(G120,products!A:A,products!E:E)</f>
        <v>7.29</v>
      </c>
      <c r="Q120">
        <f t="shared" si="7"/>
        <v>21.87</v>
      </c>
      <c r="R120" t="str" cm="1">
        <f t="array" ref="R120">_xlfn.IFS(Q120&lt;=50,"low sales",Q120&lt;=100,"medium sales",Q120&gt;100,"High sales")</f>
        <v>low sales</v>
      </c>
    </row>
    <row r="121" spans="1:18" x14ac:dyDescent="0.35">
      <c r="A121" s="2" t="s">
        <v>1158</v>
      </c>
      <c r="B121" s="3">
        <v>44471</v>
      </c>
      <c r="C121" s="3" t="str">
        <f t="shared" si="4"/>
        <v>Saturday</v>
      </c>
      <c r="D121" s="3" t="str">
        <f t="shared" si="5"/>
        <v>October</v>
      </c>
      <c r="E121" s="3" t="str">
        <f t="shared" si="6"/>
        <v>2021</v>
      </c>
      <c r="F121" s="2" t="s">
        <v>1159</v>
      </c>
      <c r="G121" t="s">
        <v>6156</v>
      </c>
      <c r="H121" s="2">
        <v>1</v>
      </c>
      <c r="I121" s="2" t="str">
        <f>_xlfn.XLOOKUP(F121,customers!A:A,customers!B:B)</f>
        <v>Cordi Switsur</v>
      </c>
      <c r="J121" s="2" t="str">
        <f>_xlfn.XLOOKUP(F121,customers!A:A,customers!C:C)</f>
        <v>cswitsur3b@chronoengine.com</v>
      </c>
      <c r="K121" s="2" t="str">
        <f>_xlfn.XLOOKUP(F121,customers!A:A,customers!F:F)</f>
        <v>Nashville</v>
      </c>
      <c r="L121" s="2" t="str">
        <f>_xlfn.XLOOKUP(F121,customers!A:A,customers!G:G)</f>
        <v>United States</v>
      </c>
      <c r="M121" t="str">
        <f>_xlfn.XLOOKUP(G121,products!A:A,products!B:B)</f>
        <v>Exc</v>
      </c>
      <c r="N121" t="str">
        <f>_xlfn.XLOOKUP(G121,products!A:A,products!C:C)</f>
        <v>M</v>
      </c>
      <c r="O121">
        <f>_xlfn.XLOOKUP(G121,products!A:A,products!D:D)</f>
        <v>0.2</v>
      </c>
      <c r="P121">
        <f>_xlfn.XLOOKUP(G121,products!A:A,products!E:E)</f>
        <v>4.125</v>
      </c>
      <c r="Q121">
        <f t="shared" si="7"/>
        <v>4.125</v>
      </c>
      <c r="R121" t="str" cm="1">
        <f t="array" ref="R121">_xlfn.IFS(Q121&lt;=50,"low sales",Q121&lt;=100,"medium sales",Q121&gt;100,"High sales")</f>
        <v>low sales</v>
      </c>
    </row>
    <row r="122" spans="1:18" x14ac:dyDescent="0.35">
      <c r="A122" s="2" t="s">
        <v>1158</v>
      </c>
      <c r="B122" s="3">
        <v>44471</v>
      </c>
      <c r="C122" s="3" t="str">
        <f t="shared" si="4"/>
        <v>Saturday</v>
      </c>
      <c r="D122" s="3" t="str">
        <f t="shared" si="5"/>
        <v>October</v>
      </c>
      <c r="E122" s="3" t="str">
        <f t="shared" si="6"/>
        <v>2021</v>
      </c>
      <c r="F122" s="2" t="s">
        <v>1159</v>
      </c>
      <c r="G122" t="s">
        <v>6167</v>
      </c>
      <c r="H122" s="2">
        <v>1</v>
      </c>
      <c r="I122" s="2" t="str">
        <f>_xlfn.XLOOKUP(F122,customers!A:A,customers!B:B)</f>
        <v>Cordi Switsur</v>
      </c>
      <c r="J122" s="2" t="str">
        <f>_xlfn.XLOOKUP(F122,customers!A:A,customers!C:C)</f>
        <v>cswitsur3b@chronoengine.com</v>
      </c>
      <c r="K122" s="2" t="str">
        <f>_xlfn.XLOOKUP(F122,customers!A:A,customers!F:F)</f>
        <v>Nashville</v>
      </c>
      <c r="L122" s="2" t="str">
        <f>_xlfn.XLOOKUP(F122,customers!A:A,customers!G:G)</f>
        <v>United States</v>
      </c>
      <c r="M122" t="str">
        <f>_xlfn.XLOOKUP(G122,products!A:A,products!B:B)</f>
        <v>Ara</v>
      </c>
      <c r="N122" t="str">
        <f>_xlfn.XLOOKUP(G122,products!A:A,products!C:C)</f>
        <v>L</v>
      </c>
      <c r="O122">
        <f>_xlfn.XLOOKUP(G122,products!A:A,products!D:D)</f>
        <v>0.2</v>
      </c>
      <c r="P122">
        <f>_xlfn.XLOOKUP(G122,products!A:A,products!E:E)</f>
        <v>3.8849999999999998</v>
      </c>
      <c r="Q122">
        <f t="shared" si="7"/>
        <v>3.8849999999999998</v>
      </c>
      <c r="R122" t="str" cm="1">
        <f t="array" ref="R122">_xlfn.IFS(Q122&lt;=50,"low sales",Q122&lt;=100,"medium sales",Q122&gt;100,"High sales")</f>
        <v>low sales</v>
      </c>
    </row>
    <row r="123" spans="1:18" x14ac:dyDescent="0.35">
      <c r="A123" s="2" t="s">
        <v>1158</v>
      </c>
      <c r="B123" s="3">
        <v>44471</v>
      </c>
      <c r="C123" s="3" t="str">
        <f t="shared" si="4"/>
        <v>Saturday</v>
      </c>
      <c r="D123" s="3" t="str">
        <f t="shared" si="5"/>
        <v>October</v>
      </c>
      <c r="E123" s="3" t="str">
        <f t="shared" si="6"/>
        <v>2021</v>
      </c>
      <c r="F123" s="2" t="s">
        <v>1159</v>
      </c>
      <c r="G123" t="s">
        <v>6141</v>
      </c>
      <c r="H123" s="2">
        <v>5</v>
      </c>
      <c r="I123" s="2" t="str">
        <f>_xlfn.XLOOKUP(F123,customers!A:A,customers!B:B)</f>
        <v>Cordi Switsur</v>
      </c>
      <c r="J123" s="2" t="str">
        <f>_xlfn.XLOOKUP(F123,customers!A:A,customers!C:C)</f>
        <v>cswitsur3b@chronoengine.com</v>
      </c>
      <c r="K123" s="2" t="str">
        <f>_xlfn.XLOOKUP(F123,customers!A:A,customers!F:F)</f>
        <v>Nashville</v>
      </c>
      <c r="L123" s="2" t="str">
        <f>_xlfn.XLOOKUP(F123,customers!A:A,customers!G:G)</f>
        <v>United States</v>
      </c>
      <c r="M123" t="str">
        <f>_xlfn.XLOOKUP(G123,products!A:A,products!B:B)</f>
        <v>Exc</v>
      </c>
      <c r="N123" t="str">
        <f>_xlfn.XLOOKUP(G123,products!A:A,products!C:C)</f>
        <v>M</v>
      </c>
      <c r="O123">
        <f>_xlfn.XLOOKUP(G123,products!A:A,products!D:D)</f>
        <v>1</v>
      </c>
      <c r="P123">
        <f>_xlfn.XLOOKUP(G123,products!A:A,products!E:E)</f>
        <v>13.75</v>
      </c>
      <c r="Q123">
        <f t="shared" si="7"/>
        <v>68.75</v>
      </c>
      <c r="R123" t="str" cm="1">
        <f t="array" ref="R123">_xlfn.IFS(Q123&lt;=50,"low sales",Q123&lt;=100,"medium sales",Q123&gt;100,"High sales")</f>
        <v>medium sales</v>
      </c>
    </row>
    <row r="124" spans="1:18" x14ac:dyDescent="0.35">
      <c r="A124" s="2" t="s">
        <v>1174</v>
      </c>
      <c r="B124" s="3">
        <v>44268</v>
      </c>
      <c r="C124" s="3" t="str">
        <f t="shared" si="4"/>
        <v>Saturday</v>
      </c>
      <c r="D124" s="3" t="str">
        <f t="shared" si="5"/>
        <v>March</v>
      </c>
      <c r="E124" s="3" t="str">
        <f t="shared" si="6"/>
        <v>2021</v>
      </c>
      <c r="F124" s="2" t="s">
        <v>1175</v>
      </c>
      <c r="G124" t="s">
        <v>6158</v>
      </c>
      <c r="H124" s="2">
        <v>4</v>
      </c>
      <c r="I124" s="2" t="str">
        <f>_xlfn.XLOOKUP(F124,customers!A:A,customers!B:B)</f>
        <v>Mahala Ludwell</v>
      </c>
      <c r="J124" s="2" t="str">
        <f>_xlfn.XLOOKUP(F124,customers!A:A,customers!C:C)</f>
        <v>mludwell3e@blogger.com</v>
      </c>
      <c r="K124" s="2" t="str">
        <f>_xlfn.XLOOKUP(F124,customers!A:A,customers!F:F)</f>
        <v>Denver</v>
      </c>
      <c r="L124" s="2" t="str">
        <f>_xlfn.XLOOKUP(F124,customers!A:A,customers!G:G)</f>
        <v>United States</v>
      </c>
      <c r="M124" t="str">
        <f>_xlfn.XLOOKUP(G124,products!A:A,products!B:B)</f>
        <v>Ara</v>
      </c>
      <c r="N124" t="str">
        <f>_xlfn.XLOOKUP(G124,products!A:A,products!C:C)</f>
        <v>D</v>
      </c>
      <c r="O124">
        <f>_xlfn.XLOOKUP(G124,products!A:A,products!D:D)</f>
        <v>0.5</v>
      </c>
      <c r="P124">
        <f>_xlfn.XLOOKUP(G124,products!A:A,products!E:E)</f>
        <v>5.97</v>
      </c>
      <c r="Q124">
        <f t="shared" si="7"/>
        <v>23.88</v>
      </c>
      <c r="R124" t="str" cm="1">
        <f t="array" ref="R124">_xlfn.IFS(Q124&lt;=50,"low sales",Q124&lt;=100,"medium sales",Q124&gt;100,"High sales")</f>
        <v>low sales</v>
      </c>
    </row>
    <row r="125" spans="1:18" x14ac:dyDescent="0.35">
      <c r="A125" s="2" t="s">
        <v>1180</v>
      </c>
      <c r="B125" s="3">
        <v>44724</v>
      </c>
      <c r="C125" s="3" t="str">
        <f t="shared" si="4"/>
        <v>Sunday</v>
      </c>
      <c r="D125" s="3" t="str">
        <f t="shared" si="5"/>
        <v>June</v>
      </c>
      <c r="E125" s="3" t="str">
        <f t="shared" si="6"/>
        <v>2022</v>
      </c>
      <c r="F125" s="2" t="s">
        <v>1181</v>
      </c>
      <c r="G125" t="s">
        <v>6164</v>
      </c>
      <c r="H125" s="2">
        <v>4</v>
      </c>
      <c r="I125" s="2" t="str">
        <f>_xlfn.XLOOKUP(F125,customers!A:A,customers!B:B)</f>
        <v>Doll Beauchamp</v>
      </c>
      <c r="J125" s="2" t="str">
        <f>_xlfn.XLOOKUP(F125,customers!A:A,customers!C:C)</f>
        <v>dbeauchamp3f@usda.gov</v>
      </c>
      <c r="K125" s="2" t="str">
        <f>_xlfn.XLOOKUP(F125,customers!A:A,customers!F:F)</f>
        <v>Stamford</v>
      </c>
      <c r="L125" s="2" t="str">
        <f>_xlfn.XLOOKUP(F125,customers!A:A,customers!G:G)</f>
        <v>United States</v>
      </c>
      <c r="M125" t="str">
        <f>_xlfn.XLOOKUP(G125,products!A:A,products!B:B)</f>
        <v>Lib</v>
      </c>
      <c r="N125" t="str">
        <f>_xlfn.XLOOKUP(G125,products!A:A,products!C:C)</f>
        <v>L</v>
      </c>
      <c r="O125">
        <f>_xlfn.XLOOKUP(G125,products!A:A,products!D:D)</f>
        <v>2.5</v>
      </c>
      <c r="P125">
        <f>_xlfn.XLOOKUP(G125,products!A:A,products!E:E)</f>
        <v>36.454999999999998</v>
      </c>
      <c r="Q125">
        <f t="shared" si="7"/>
        <v>145.82</v>
      </c>
      <c r="R125" t="str" cm="1">
        <f t="array" ref="R125">_xlfn.IFS(Q125&lt;=50,"low sales",Q125&lt;=100,"medium sales",Q125&gt;100,"High sales")</f>
        <v>High sales</v>
      </c>
    </row>
    <row r="126" spans="1:18" x14ac:dyDescent="0.35">
      <c r="A126" s="2" t="s">
        <v>1186</v>
      </c>
      <c r="B126" s="3">
        <v>43582</v>
      </c>
      <c r="C126" s="3" t="str">
        <f t="shared" si="4"/>
        <v>Saturday</v>
      </c>
      <c r="D126" s="3" t="str">
        <f t="shared" si="5"/>
        <v>April</v>
      </c>
      <c r="E126" s="3" t="str">
        <f t="shared" si="6"/>
        <v>2019</v>
      </c>
      <c r="F126" s="2" t="s">
        <v>1187</v>
      </c>
      <c r="G126" t="s">
        <v>6159</v>
      </c>
      <c r="H126" s="2">
        <v>5</v>
      </c>
      <c r="I126" s="2" t="str">
        <f>_xlfn.XLOOKUP(F126,customers!A:A,customers!B:B)</f>
        <v>Stanford Rodliff</v>
      </c>
      <c r="J126" s="2" t="str">
        <f>_xlfn.XLOOKUP(F126,customers!A:A,customers!C:C)</f>
        <v>srodliff3g@ted.com</v>
      </c>
      <c r="K126" s="2" t="str">
        <f>_xlfn.XLOOKUP(F126,customers!A:A,customers!F:F)</f>
        <v>Newport News</v>
      </c>
      <c r="L126" s="2" t="str">
        <f>_xlfn.XLOOKUP(F126,customers!A:A,customers!G:G)</f>
        <v>United States</v>
      </c>
      <c r="M126" t="str">
        <f>_xlfn.XLOOKUP(G126,products!A:A,products!B:B)</f>
        <v>Lib</v>
      </c>
      <c r="N126" t="str">
        <f>_xlfn.XLOOKUP(G126,products!A:A,products!C:C)</f>
        <v>M</v>
      </c>
      <c r="O126">
        <f>_xlfn.XLOOKUP(G126,products!A:A,products!D:D)</f>
        <v>0.2</v>
      </c>
      <c r="P126">
        <f>_xlfn.XLOOKUP(G126,products!A:A,products!E:E)</f>
        <v>4.3650000000000002</v>
      </c>
      <c r="Q126">
        <f t="shared" si="7"/>
        <v>21.825000000000003</v>
      </c>
      <c r="R126" t="str" cm="1">
        <f t="array" ref="R126">_xlfn.IFS(Q126&lt;=50,"low sales",Q126&lt;=100,"medium sales",Q126&gt;100,"High sales")</f>
        <v>low sales</v>
      </c>
    </row>
    <row r="127" spans="1:18" x14ac:dyDescent="0.35">
      <c r="A127" s="2" t="s">
        <v>1192</v>
      </c>
      <c r="B127" s="3">
        <v>43608</v>
      </c>
      <c r="C127" s="3" t="str">
        <f t="shared" si="4"/>
        <v>Thursday</v>
      </c>
      <c r="D127" s="3" t="str">
        <f t="shared" si="5"/>
        <v>May</v>
      </c>
      <c r="E127" s="3" t="str">
        <f t="shared" si="6"/>
        <v>2019</v>
      </c>
      <c r="F127" s="2" t="s">
        <v>1193</v>
      </c>
      <c r="G127" t="s">
        <v>6160</v>
      </c>
      <c r="H127" s="2">
        <v>3</v>
      </c>
      <c r="I127" s="2" t="str">
        <f>_xlfn.XLOOKUP(F127,customers!A:A,customers!B:B)</f>
        <v>Stevana Woodham</v>
      </c>
      <c r="J127" s="2" t="str">
        <f>_xlfn.XLOOKUP(F127,customers!A:A,customers!C:C)</f>
        <v>swoodham3h@businesswire.com</v>
      </c>
      <c r="K127" s="2" t="str">
        <f>_xlfn.XLOOKUP(F127,customers!A:A,customers!F:F)</f>
        <v>Drumcondra</v>
      </c>
      <c r="L127" s="2" t="str">
        <f>_xlfn.XLOOKUP(F127,customers!A:A,customers!G:G)</f>
        <v>Ireland</v>
      </c>
      <c r="M127" t="str">
        <f>_xlfn.XLOOKUP(G127,products!A:A,products!B:B)</f>
        <v>Lib</v>
      </c>
      <c r="N127" t="str">
        <f>_xlfn.XLOOKUP(G127,products!A:A,products!C:C)</f>
        <v>M</v>
      </c>
      <c r="O127">
        <f>_xlfn.XLOOKUP(G127,products!A:A,products!D:D)</f>
        <v>0.5</v>
      </c>
      <c r="P127">
        <f>_xlfn.XLOOKUP(G127,products!A:A,products!E:E)</f>
        <v>8.73</v>
      </c>
      <c r="Q127">
        <f t="shared" si="7"/>
        <v>26.19</v>
      </c>
      <c r="R127" t="str" cm="1">
        <f t="array" ref="R127">_xlfn.IFS(Q127&lt;=50,"low sales",Q127&lt;=100,"medium sales",Q127&gt;100,"High sales")</f>
        <v>low sales</v>
      </c>
    </row>
    <row r="128" spans="1:18" x14ac:dyDescent="0.35">
      <c r="A128" s="2" t="s">
        <v>1198</v>
      </c>
      <c r="B128" s="3">
        <v>44026</v>
      </c>
      <c r="C128" s="3" t="str">
        <f t="shared" si="4"/>
        <v>Tuesday</v>
      </c>
      <c r="D128" s="3" t="str">
        <f t="shared" si="5"/>
        <v>July</v>
      </c>
      <c r="E128" s="3" t="str">
        <f t="shared" si="6"/>
        <v>2020</v>
      </c>
      <c r="F128" s="2" t="s">
        <v>1199</v>
      </c>
      <c r="G128" t="s">
        <v>6155</v>
      </c>
      <c r="H128" s="2">
        <v>1</v>
      </c>
      <c r="I128" s="2" t="str">
        <f>_xlfn.XLOOKUP(F128,customers!A:A,customers!B:B)</f>
        <v>Hewet Synnot</v>
      </c>
      <c r="J128" s="2" t="str">
        <f>_xlfn.XLOOKUP(F128,customers!A:A,customers!C:C)</f>
        <v>hsynnot3i@about.com</v>
      </c>
      <c r="K128" s="2" t="str">
        <f>_xlfn.XLOOKUP(F128,customers!A:A,customers!F:F)</f>
        <v>Anchorage</v>
      </c>
      <c r="L128" s="2" t="str">
        <f>_xlfn.XLOOKUP(F128,customers!A:A,customers!G:G)</f>
        <v>United States</v>
      </c>
      <c r="M128" t="str">
        <f>_xlfn.XLOOKUP(G128,products!A:A,products!B:B)</f>
        <v>Ara</v>
      </c>
      <c r="N128" t="str">
        <f>_xlfn.XLOOKUP(G128,products!A:A,products!C:C)</f>
        <v>M</v>
      </c>
      <c r="O128">
        <f>_xlfn.XLOOKUP(G128,products!A:A,products!D:D)</f>
        <v>1</v>
      </c>
      <c r="P128">
        <f>_xlfn.XLOOKUP(G128,products!A:A,products!E:E)</f>
        <v>11.25</v>
      </c>
      <c r="Q128">
        <f t="shared" si="7"/>
        <v>11.25</v>
      </c>
      <c r="R128" t="str" cm="1">
        <f t="array" ref="R128">_xlfn.IFS(Q128&lt;=50,"low sales",Q128&lt;=100,"medium sales",Q128&gt;100,"High sales")</f>
        <v>low sales</v>
      </c>
    </row>
    <row r="129" spans="1:18" x14ac:dyDescent="0.35">
      <c r="A129" s="2" t="s">
        <v>1204</v>
      </c>
      <c r="B129" s="3">
        <v>44510</v>
      </c>
      <c r="C129" s="3" t="str">
        <f t="shared" si="4"/>
        <v>Wednesday</v>
      </c>
      <c r="D129" s="3" t="str">
        <f t="shared" si="5"/>
        <v>November</v>
      </c>
      <c r="E129" s="3" t="str">
        <f t="shared" si="6"/>
        <v>2021</v>
      </c>
      <c r="F129" s="2" t="s">
        <v>1205</v>
      </c>
      <c r="G129" t="s">
        <v>6143</v>
      </c>
      <c r="H129" s="2">
        <v>6</v>
      </c>
      <c r="I129" s="2" t="str">
        <f>_xlfn.XLOOKUP(F129,customers!A:A,customers!B:B)</f>
        <v>Raleigh Lepere</v>
      </c>
      <c r="J129" s="2" t="str">
        <f>_xlfn.XLOOKUP(F129,customers!A:A,customers!C:C)</f>
        <v>rlepere3j@shop-pro.jp</v>
      </c>
      <c r="K129" s="2" t="str">
        <f>_xlfn.XLOOKUP(F129,customers!A:A,customers!F:F)</f>
        <v>Beaumont</v>
      </c>
      <c r="L129" s="2" t="str">
        <f>_xlfn.XLOOKUP(F129,customers!A:A,customers!G:G)</f>
        <v>Ireland</v>
      </c>
      <c r="M129" t="str">
        <f>_xlfn.XLOOKUP(G129,products!A:A,products!B:B)</f>
        <v>Lib</v>
      </c>
      <c r="N129" t="str">
        <f>_xlfn.XLOOKUP(G129,products!A:A,products!C:C)</f>
        <v>D</v>
      </c>
      <c r="O129">
        <f>_xlfn.XLOOKUP(G129,products!A:A,products!D:D)</f>
        <v>1</v>
      </c>
      <c r="P129">
        <f>_xlfn.XLOOKUP(G129,products!A:A,products!E:E)</f>
        <v>12.95</v>
      </c>
      <c r="Q129">
        <f t="shared" si="7"/>
        <v>77.699999999999989</v>
      </c>
      <c r="R129" t="str" cm="1">
        <f t="array" ref="R129">_xlfn.IFS(Q129&lt;=50,"low sales",Q129&lt;=100,"medium sales",Q129&gt;100,"High sales")</f>
        <v>medium sales</v>
      </c>
    </row>
    <row r="130" spans="1:18" x14ac:dyDescent="0.35">
      <c r="A130" s="2" t="s">
        <v>1210</v>
      </c>
      <c r="B130" s="3">
        <v>44439</v>
      </c>
      <c r="C130" s="3" t="str">
        <f t="shared" si="4"/>
        <v>Tuesday</v>
      </c>
      <c r="D130" s="3" t="str">
        <f t="shared" si="5"/>
        <v>August</v>
      </c>
      <c r="E130" s="3" t="str">
        <f t="shared" si="6"/>
        <v>2021</v>
      </c>
      <c r="F130" s="2" t="s">
        <v>1211</v>
      </c>
      <c r="G130" t="s">
        <v>6157</v>
      </c>
      <c r="H130" s="2">
        <v>1</v>
      </c>
      <c r="I130" s="2" t="str">
        <f>_xlfn.XLOOKUP(F130,customers!A:A,customers!B:B)</f>
        <v>Timofei Woofinden</v>
      </c>
      <c r="J130" s="2" t="str">
        <f>_xlfn.XLOOKUP(F130,customers!A:A,customers!C:C)</f>
        <v>twoofinden3k@businesswire.com</v>
      </c>
      <c r="K130" s="2" t="str">
        <f>_xlfn.XLOOKUP(F130,customers!A:A,customers!F:F)</f>
        <v>Fargo</v>
      </c>
      <c r="L130" s="2" t="str">
        <f>_xlfn.XLOOKUP(F130,customers!A:A,customers!G:G)</f>
        <v>United States</v>
      </c>
      <c r="M130" t="str">
        <f>_xlfn.XLOOKUP(G130,products!A:A,products!B:B)</f>
        <v>Ara</v>
      </c>
      <c r="N130" t="str">
        <f>_xlfn.XLOOKUP(G130,products!A:A,products!C:C)</f>
        <v>M</v>
      </c>
      <c r="O130">
        <f>_xlfn.XLOOKUP(G130,products!A:A,products!D:D)</f>
        <v>0.5</v>
      </c>
      <c r="P130">
        <f>_xlfn.XLOOKUP(G130,products!A:A,products!E:E)</f>
        <v>6.75</v>
      </c>
      <c r="Q130">
        <f t="shared" si="7"/>
        <v>6.75</v>
      </c>
      <c r="R130" t="str" cm="1">
        <f t="array" ref="R130">_xlfn.IFS(Q130&lt;=50,"low sales",Q130&lt;=100,"medium sales",Q130&gt;100,"High sales")</f>
        <v>low sales</v>
      </c>
    </row>
    <row r="131" spans="1:18" x14ac:dyDescent="0.35">
      <c r="A131" s="2" t="s">
        <v>1216</v>
      </c>
      <c r="B131" s="3">
        <v>43652</v>
      </c>
      <c r="C131" s="3" t="str">
        <f t="shared" ref="C131:C194" si="8">TEXT(B131,"DDDD")</f>
        <v>Saturday</v>
      </c>
      <c r="D131" s="3" t="str">
        <f t="shared" ref="D131:D194" si="9">TEXT(B131,"MMMM")</f>
        <v>July</v>
      </c>
      <c r="E131" s="3" t="str">
        <f t="shared" ref="E131:E194" si="10">TEXT(B131,"YYYY")</f>
        <v>2019</v>
      </c>
      <c r="F131" s="2" t="s">
        <v>1217</v>
      </c>
      <c r="G131" t="s">
        <v>6183</v>
      </c>
      <c r="H131" s="2">
        <v>1</v>
      </c>
      <c r="I131" s="2" t="str">
        <f>_xlfn.XLOOKUP(F131,customers!A:A,customers!B:B)</f>
        <v>Evelina Dacca</v>
      </c>
      <c r="J131" s="2" t="str">
        <f>_xlfn.XLOOKUP(F131,customers!A:A,customers!C:C)</f>
        <v>edacca3l@google.pl</v>
      </c>
      <c r="K131" s="2" t="str">
        <f>_xlfn.XLOOKUP(F131,customers!A:A,customers!F:F)</f>
        <v>Evansville</v>
      </c>
      <c r="L131" s="2" t="str">
        <f>_xlfn.XLOOKUP(F131,customers!A:A,customers!G:G)</f>
        <v>United States</v>
      </c>
      <c r="M131" t="str">
        <f>_xlfn.XLOOKUP(G131,products!A:A,products!B:B)</f>
        <v>Exc</v>
      </c>
      <c r="N131" t="str">
        <f>_xlfn.XLOOKUP(G131,products!A:A,products!C:C)</f>
        <v>D</v>
      </c>
      <c r="O131">
        <f>_xlfn.XLOOKUP(G131,products!A:A,products!D:D)</f>
        <v>1</v>
      </c>
      <c r="P131">
        <f>_xlfn.XLOOKUP(G131,products!A:A,products!E:E)</f>
        <v>12.15</v>
      </c>
      <c r="Q131">
        <f t="shared" ref="Q131:Q194" si="11">P131*H131</f>
        <v>12.15</v>
      </c>
      <c r="R131" t="str" cm="1">
        <f t="array" ref="R131">_xlfn.IFS(Q131&lt;=50,"low sales",Q131&lt;=100,"medium sales",Q131&gt;100,"High sales")</f>
        <v>low sales</v>
      </c>
    </row>
    <row r="132" spans="1:18" x14ac:dyDescent="0.35">
      <c r="A132" s="2" t="s">
        <v>1222</v>
      </c>
      <c r="B132" s="3">
        <v>44624</v>
      </c>
      <c r="C132" s="3" t="str">
        <f t="shared" si="8"/>
        <v>Friday</v>
      </c>
      <c r="D132" s="3" t="str">
        <f t="shared" si="9"/>
        <v>March</v>
      </c>
      <c r="E132" s="3" t="str">
        <f t="shared" si="10"/>
        <v>2022</v>
      </c>
      <c r="F132" s="2" t="s">
        <v>1223</v>
      </c>
      <c r="G132" t="s">
        <v>6182</v>
      </c>
      <c r="H132" s="2">
        <v>5</v>
      </c>
      <c r="I132" s="2" t="str">
        <f>_xlfn.XLOOKUP(F132,customers!A:A,customers!B:B)</f>
        <v>Bidget Tremellier</v>
      </c>
      <c r="J132" s="2">
        <f>_xlfn.XLOOKUP(F132,customers!A:A,customers!C:C)</f>
        <v>0</v>
      </c>
      <c r="K132" s="2" t="str">
        <f>_xlfn.XLOOKUP(F132,customers!A:A,customers!F:F)</f>
        <v>Cherryville</v>
      </c>
      <c r="L132" s="2" t="str">
        <f>_xlfn.XLOOKUP(F132,customers!A:A,customers!G:G)</f>
        <v>Ireland</v>
      </c>
      <c r="M132" t="str">
        <f>_xlfn.XLOOKUP(G132,products!A:A,products!B:B)</f>
        <v>Ara</v>
      </c>
      <c r="N132" t="str">
        <f>_xlfn.XLOOKUP(G132,products!A:A,products!C:C)</f>
        <v>L</v>
      </c>
      <c r="O132">
        <f>_xlfn.XLOOKUP(G132,products!A:A,products!D:D)</f>
        <v>2.5</v>
      </c>
      <c r="P132">
        <f>_xlfn.XLOOKUP(G132,products!A:A,products!E:E)</f>
        <v>29.784999999999997</v>
      </c>
      <c r="Q132">
        <f t="shared" si="11"/>
        <v>148.92499999999998</v>
      </c>
      <c r="R132" t="str" cm="1">
        <f t="array" ref="R132">_xlfn.IFS(Q132&lt;=50,"low sales",Q132&lt;=100,"medium sales",Q132&gt;100,"High sales")</f>
        <v>High sales</v>
      </c>
    </row>
    <row r="133" spans="1:18" x14ac:dyDescent="0.35">
      <c r="A133" s="2" t="s">
        <v>1227</v>
      </c>
      <c r="B133" s="3">
        <v>44196</v>
      </c>
      <c r="C133" s="3" t="str">
        <f t="shared" si="8"/>
        <v>Thursday</v>
      </c>
      <c r="D133" s="3" t="str">
        <f t="shared" si="9"/>
        <v>December</v>
      </c>
      <c r="E133" s="3" t="str">
        <f t="shared" si="10"/>
        <v>2020</v>
      </c>
      <c r="F133" s="2" t="s">
        <v>1228</v>
      </c>
      <c r="G133" t="s">
        <v>6144</v>
      </c>
      <c r="H133" s="2">
        <v>2</v>
      </c>
      <c r="I133" s="2" t="str">
        <f>_xlfn.XLOOKUP(F133,customers!A:A,customers!B:B)</f>
        <v>Bobinette Hindsberg</v>
      </c>
      <c r="J133" s="2" t="str">
        <f>_xlfn.XLOOKUP(F133,customers!A:A,customers!C:C)</f>
        <v>bhindsberg3n@blogs.com</v>
      </c>
      <c r="K133" s="2" t="str">
        <f>_xlfn.XLOOKUP(F133,customers!A:A,customers!F:F)</f>
        <v>Charlotte</v>
      </c>
      <c r="L133" s="2" t="str">
        <f>_xlfn.XLOOKUP(F133,customers!A:A,customers!G:G)</f>
        <v>United States</v>
      </c>
      <c r="M133" t="str">
        <f>_xlfn.XLOOKUP(G133,products!A:A,products!B:B)</f>
        <v>Exc</v>
      </c>
      <c r="N133" t="str">
        <f>_xlfn.XLOOKUP(G133,products!A:A,products!C:C)</f>
        <v>D</v>
      </c>
      <c r="O133">
        <f>_xlfn.XLOOKUP(G133,products!A:A,products!D:D)</f>
        <v>0.5</v>
      </c>
      <c r="P133">
        <f>_xlfn.XLOOKUP(G133,products!A:A,products!E:E)</f>
        <v>7.29</v>
      </c>
      <c r="Q133">
        <f t="shared" si="11"/>
        <v>14.58</v>
      </c>
      <c r="R133" t="str" cm="1">
        <f t="array" ref="R133">_xlfn.IFS(Q133&lt;=50,"low sales",Q133&lt;=100,"medium sales",Q133&gt;100,"High sales")</f>
        <v>low sales</v>
      </c>
    </row>
    <row r="134" spans="1:18" x14ac:dyDescent="0.35">
      <c r="A134" s="2" t="s">
        <v>1233</v>
      </c>
      <c r="B134" s="3">
        <v>44043</v>
      </c>
      <c r="C134" s="3" t="str">
        <f t="shared" si="8"/>
        <v>Friday</v>
      </c>
      <c r="D134" s="3" t="str">
        <f t="shared" si="9"/>
        <v>July</v>
      </c>
      <c r="E134" s="3" t="str">
        <f t="shared" si="10"/>
        <v>2020</v>
      </c>
      <c r="F134" s="2" t="s">
        <v>1234</v>
      </c>
      <c r="G134" t="s">
        <v>6182</v>
      </c>
      <c r="H134" s="2">
        <v>5</v>
      </c>
      <c r="I134" s="2" t="str">
        <f>_xlfn.XLOOKUP(F134,customers!A:A,customers!B:B)</f>
        <v>Osbert Robins</v>
      </c>
      <c r="J134" s="2" t="str">
        <f>_xlfn.XLOOKUP(F134,customers!A:A,customers!C:C)</f>
        <v>orobins3o@salon.com</v>
      </c>
      <c r="K134" s="2" t="str">
        <f>_xlfn.XLOOKUP(F134,customers!A:A,customers!F:F)</f>
        <v>Huntsville</v>
      </c>
      <c r="L134" s="2" t="str">
        <f>_xlfn.XLOOKUP(F134,customers!A:A,customers!G:G)</f>
        <v>United States</v>
      </c>
      <c r="M134" t="str">
        <f>_xlfn.XLOOKUP(G134,products!A:A,products!B:B)</f>
        <v>Ara</v>
      </c>
      <c r="N134" t="str">
        <f>_xlfn.XLOOKUP(G134,products!A:A,products!C:C)</f>
        <v>L</v>
      </c>
      <c r="O134">
        <f>_xlfn.XLOOKUP(G134,products!A:A,products!D:D)</f>
        <v>2.5</v>
      </c>
      <c r="P134">
        <f>_xlfn.XLOOKUP(G134,products!A:A,products!E:E)</f>
        <v>29.784999999999997</v>
      </c>
      <c r="Q134">
        <f t="shared" si="11"/>
        <v>148.92499999999998</v>
      </c>
      <c r="R134" t="str" cm="1">
        <f t="array" ref="R134">_xlfn.IFS(Q134&lt;=50,"low sales",Q134&lt;=100,"medium sales",Q134&gt;100,"High sales")</f>
        <v>High sales</v>
      </c>
    </row>
    <row r="135" spans="1:18" x14ac:dyDescent="0.35">
      <c r="A135" s="2" t="s">
        <v>1239</v>
      </c>
      <c r="B135" s="3">
        <v>44340</v>
      </c>
      <c r="C135" s="3" t="str">
        <f t="shared" si="8"/>
        <v>Monday</v>
      </c>
      <c r="D135" s="3" t="str">
        <f t="shared" si="9"/>
        <v>May</v>
      </c>
      <c r="E135" s="3" t="str">
        <f t="shared" si="10"/>
        <v>2021</v>
      </c>
      <c r="F135" s="2" t="s">
        <v>1240</v>
      </c>
      <c r="G135" t="s">
        <v>6143</v>
      </c>
      <c r="H135" s="2">
        <v>1</v>
      </c>
      <c r="I135" s="2" t="str">
        <f>_xlfn.XLOOKUP(F135,customers!A:A,customers!B:B)</f>
        <v>Othello Syseland</v>
      </c>
      <c r="J135" s="2" t="str">
        <f>_xlfn.XLOOKUP(F135,customers!A:A,customers!C:C)</f>
        <v>osyseland3p@independent.co.uk</v>
      </c>
      <c r="K135" s="2" t="str">
        <f>_xlfn.XLOOKUP(F135,customers!A:A,customers!F:F)</f>
        <v>Santa Ana</v>
      </c>
      <c r="L135" s="2" t="str">
        <f>_xlfn.XLOOKUP(F135,customers!A:A,customers!G:G)</f>
        <v>United States</v>
      </c>
      <c r="M135" t="str">
        <f>_xlfn.XLOOKUP(G135,products!A:A,products!B:B)</f>
        <v>Lib</v>
      </c>
      <c r="N135" t="str">
        <f>_xlfn.XLOOKUP(G135,products!A:A,products!C:C)</f>
        <v>D</v>
      </c>
      <c r="O135">
        <f>_xlfn.XLOOKUP(G135,products!A:A,products!D:D)</f>
        <v>1</v>
      </c>
      <c r="P135">
        <f>_xlfn.XLOOKUP(G135,products!A:A,products!E:E)</f>
        <v>12.95</v>
      </c>
      <c r="Q135">
        <f t="shared" si="11"/>
        <v>12.95</v>
      </c>
      <c r="R135" t="str" cm="1">
        <f t="array" ref="R135">_xlfn.IFS(Q135&lt;=50,"low sales",Q135&lt;=100,"medium sales",Q135&gt;100,"High sales")</f>
        <v>low sales</v>
      </c>
    </row>
    <row r="136" spans="1:18" x14ac:dyDescent="0.35">
      <c r="A136" s="2" t="s">
        <v>1245</v>
      </c>
      <c r="B136" s="3">
        <v>44758</v>
      </c>
      <c r="C136" s="3" t="str">
        <f t="shared" si="8"/>
        <v>Saturday</v>
      </c>
      <c r="D136" s="3" t="str">
        <f t="shared" si="9"/>
        <v>July</v>
      </c>
      <c r="E136" s="3" t="str">
        <f t="shared" si="10"/>
        <v>2022</v>
      </c>
      <c r="F136" s="2" t="s">
        <v>1246</v>
      </c>
      <c r="G136" t="s">
        <v>6166</v>
      </c>
      <c r="H136" s="2">
        <v>3</v>
      </c>
      <c r="I136" s="2" t="str">
        <f>_xlfn.XLOOKUP(F136,customers!A:A,customers!B:B)</f>
        <v>Ewell Hanby</v>
      </c>
      <c r="J136" s="2">
        <f>_xlfn.XLOOKUP(F136,customers!A:A,customers!C:C)</f>
        <v>0</v>
      </c>
      <c r="K136" s="2" t="str">
        <f>_xlfn.XLOOKUP(F136,customers!A:A,customers!F:F)</f>
        <v>Washington</v>
      </c>
      <c r="L136" s="2" t="str">
        <f>_xlfn.XLOOKUP(F136,customers!A:A,customers!G:G)</f>
        <v>United States</v>
      </c>
      <c r="M136" t="str">
        <f>_xlfn.XLOOKUP(G136,products!A:A,products!B:B)</f>
        <v>Exc</v>
      </c>
      <c r="N136" t="str">
        <f>_xlfn.XLOOKUP(G136,products!A:A,products!C:C)</f>
        <v>M</v>
      </c>
      <c r="O136">
        <f>_xlfn.XLOOKUP(G136,products!A:A,products!D:D)</f>
        <v>2.5</v>
      </c>
      <c r="P136">
        <f>_xlfn.XLOOKUP(G136,products!A:A,products!E:E)</f>
        <v>31.624999999999996</v>
      </c>
      <c r="Q136">
        <f t="shared" si="11"/>
        <v>94.874999999999986</v>
      </c>
      <c r="R136" t="str" cm="1">
        <f t="array" ref="R136">_xlfn.IFS(Q136&lt;=50,"low sales",Q136&lt;=100,"medium sales",Q136&gt;100,"High sales")</f>
        <v>medium sales</v>
      </c>
    </row>
    <row r="137" spans="1:18" x14ac:dyDescent="0.35">
      <c r="A137" s="2" t="s">
        <v>1249</v>
      </c>
      <c r="B137" s="3">
        <v>44232</v>
      </c>
      <c r="C137" s="3" t="str">
        <f t="shared" si="8"/>
        <v>Friday</v>
      </c>
      <c r="D137" s="3" t="str">
        <f t="shared" si="9"/>
        <v>February</v>
      </c>
      <c r="E137" s="3" t="str">
        <f t="shared" si="10"/>
        <v>2021</v>
      </c>
      <c r="F137" s="2" t="s">
        <v>976</v>
      </c>
      <c r="G137" t="s">
        <v>6180</v>
      </c>
      <c r="H137" s="2">
        <v>5</v>
      </c>
      <c r="I137" s="2" t="str">
        <f>_xlfn.XLOOKUP(F137,customers!A:A,customers!B:B)</f>
        <v>Blancha McAmish</v>
      </c>
      <c r="J137" s="2" t="str">
        <f>_xlfn.XLOOKUP(F137,customers!A:A,customers!C:C)</f>
        <v>bmcamish2e@tripadvisor.com</v>
      </c>
      <c r="K137" s="2" t="str">
        <f>_xlfn.XLOOKUP(F137,customers!A:A,customers!F:F)</f>
        <v>Oklahoma City</v>
      </c>
      <c r="L137" s="2" t="str">
        <f>_xlfn.XLOOKUP(F137,customers!A:A,customers!G:G)</f>
        <v>United States</v>
      </c>
      <c r="M137" t="str">
        <f>_xlfn.XLOOKUP(G137,products!A:A,products!B:B)</f>
        <v>Ara</v>
      </c>
      <c r="N137" t="str">
        <f>_xlfn.XLOOKUP(G137,products!A:A,products!C:C)</f>
        <v>L</v>
      </c>
      <c r="O137">
        <f>_xlfn.XLOOKUP(G137,products!A:A,products!D:D)</f>
        <v>0.5</v>
      </c>
      <c r="P137">
        <f>_xlfn.XLOOKUP(G137,products!A:A,products!E:E)</f>
        <v>7.77</v>
      </c>
      <c r="Q137">
        <f t="shared" si="11"/>
        <v>38.849999999999994</v>
      </c>
      <c r="R137" t="str" cm="1">
        <f t="array" ref="R137">_xlfn.IFS(Q137&lt;=50,"low sales",Q137&lt;=100,"medium sales",Q137&gt;100,"High sales")</f>
        <v>low sales</v>
      </c>
    </row>
    <row r="138" spans="1:18" x14ac:dyDescent="0.35">
      <c r="A138" s="2" t="s">
        <v>1255</v>
      </c>
      <c r="B138" s="3">
        <v>44406</v>
      </c>
      <c r="C138" s="3" t="str">
        <f t="shared" si="8"/>
        <v>Thursday</v>
      </c>
      <c r="D138" s="3" t="str">
        <f t="shared" si="9"/>
        <v>July</v>
      </c>
      <c r="E138" s="3" t="str">
        <f t="shared" si="10"/>
        <v>2021</v>
      </c>
      <c r="F138" s="2" t="s">
        <v>1256</v>
      </c>
      <c r="G138" t="s">
        <v>6154</v>
      </c>
      <c r="H138" s="2">
        <v>4</v>
      </c>
      <c r="I138" s="2" t="str">
        <f>_xlfn.XLOOKUP(F138,customers!A:A,customers!B:B)</f>
        <v>Lowell Keenleyside</v>
      </c>
      <c r="J138" s="2" t="str">
        <f>_xlfn.XLOOKUP(F138,customers!A:A,customers!C:C)</f>
        <v>lkeenleyside3s@topsy.com</v>
      </c>
      <c r="K138" s="2" t="str">
        <f>_xlfn.XLOOKUP(F138,customers!A:A,customers!F:F)</f>
        <v>Saint Louis</v>
      </c>
      <c r="L138" s="2" t="str">
        <f>_xlfn.XLOOKUP(F138,customers!A:A,customers!G:G)</f>
        <v>United States</v>
      </c>
      <c r="M138" t="str">
        <f>_xlfn.XLOOKUP(G138,products!A:A,products!B:B)</f>
        <v>Ara</v>
      </c>
      <c r="N138" t="str">
        <f>_xlfn.XLOOKUP(G138,products!A:A,products!C:C)</f>
        <v>D</v>
      </c>
      <c r="O138">
        <f>_xlfn.XLOOKUP(G138,products!A:A,products!D:D)</f>
        <v>0.2</v>
      </c>
      <c r="P138">
        <f>_xlfn.XLOOKUP(G138,products!A:A,products!E:E)</f>
        <v>2.9849999999999999</v>
      </c>
      <c r="Q138">
        <f t="shared" si="11"/>
        <v>11.94</v>
      </c>
      <c r="R138" t="str" cm="1">
        <f t="array" ref="R138">_xlfn.IFS(Q138&lt;=50,"low sales",Q138&lt;=100,"medium sales",Q138&gt;100,"High sales")</f>
        <v>low sales</v>
      </c>
    </row>
    <row r="139" spans="1:18" x14ac:dyDescent="0.35">
      <c r="A139" s="2" t="s">
        <v>1261</v>
      </c>
      <c r="B139" s="3">
        <v>44637</v>
      </c>
      <c r="C139" s="3" t="str">
        <f t="shared" si="8"/>
        <v>Thursday</v>
      </c>
      <c r="D139" s="3" t="str">
        <f t="shared" si="9"/>
        <v>March</v>
      </c>
      <c r="E139" s="3" t="str">
        <f t="shared" si="10"/>
        <v>2022</v>
      </c>
      <c r="F139" s="2" t="s">
        <v>1262</v>
      </c>
      <c r="G139" t="s">
        <v>6148</v>
      </c>
      <c r="H139" s="2">
        <v>3</v>
      </c>
      <c r="I139" s="2" t="str">
        <f>_xlfn.XLOOKUP(F139,customers!A:A,customers!B:B)</f>
        <v>Elonore Joliffe</v>
      </c>
      <c r="J139" s="2">
        <f>_xlfn.XLOOKUP(F139,customers!A:A,customers!C:C)</f>
        <v>0</v>
      </c>
      <c r="K139" s="2" t="str">
        <f>_xlfn.XLOOKUP(F139,customers!A:A,customers!F:F)</f>
        <v>Bailieborough</v>
      </c>
      <c r="L139" s="2" t="str">
        <f>_xlfn.XLOOKUP(F139,customers!A:A,customers!G:G)</f>
        <v>Ireland</v>
      </c>
      <c r="M139" t="str">
        <f>_xlfn.XLOOKUP(G139,products!A:A,products!B:B)</f>
        <v>Exc</v>
      </c>
      <c r="N139" t="str">
        <f>_xlfn.XLOOKUP(G139,products!A:A,products!C:C)</f>
        <v>L</v>
      </c>
      <c r="O139">
        <f>_xlfn.XLOOKUP(G139,products!A:A,products!D:D)</f>
        <v>2.5</v>
      </c>
      <c r="P139">
        <f>_xlfn.XLOOKUP(G139,products!A:A,products!E:E)</f>
        <v>34.154999999999994</v>
      </c>
      <c r="Q139">
        <f t="shared" si="11"/>
        <v>102.46499999999997</v>
      </c>
      <c r="R139" t="str" cm="1">
        <f t="array" ref="R139">_xlfn.IFS(Q139&lt;=50,"low sales",Q139&lt;=100,"medium sales",Q139&gt;100,"High sales")</f>
        <v>High sales</v>
      </c>
    </row>
    <row r="140" spans="1:18" x14ac:dyDescent="0.35">
      <c r="A140" s="2" t="s">
        <v>1266</v>
      </c>
      <c r="B140" s="3">
        <v>44238</v>
      </c>
      <c r="C140" s="3" t="str">
        <f t="shared" si="8"/>
        <v>Thursday</v>
      </c>
      <c r="D140" s="3" t="str">
        <f t="shared" si="9"/>
        <v>February</v>
      </c>
      <c r="E140" s="3" t="str">
        <f t="shared" si="10"/>
        <v>2021</v>
      </c>
      <c r="F140" s="2" t="s">
        <v>1267</v>
      </c>
      <c r="G140" t="s">
        <v>6183</v>
      </c>
      <c r="H140" s="2">
        <v>4</v>
      </c>
      <c r="I140" s="2" t="str">
        <f>_xlfn.XLOOKUP(F140,customers!A:A,customers!B:B)</f>
        <v>Abraham Coleman</v>
      </c>
      <c r="J140" s="2">
        <f>_xlfn.XLOOKUP(F140,customers!A:A,customers!C:C)</f>
        <v>0</v>
      </c>
      <c r="K140" s="2" t="str">
        <f>_xlfn.XLOOKUP(F140,customers!A:A,customers!F:F)</f>
        <v>Honolulu</v>
      </c>
      <c r="L140" s="2" t="str">
        <f>_xlfn.XLOOKUP(F140,customers!A:A,customers!G:G)</f>
        <v>United States</v>
      </c>
      <c r="M140" t="str">
        <f>_xlfn.XLOOKUP(G140,products!A:A,products!B:B)</f>
        <v>Exc</v>
      </c>
      <c r="N140" t="str">
        <f>_xlfn.XLOOKUP(G140,products!A:A,products!C:C)</f>
        <v>D</v>
      </c>
      <c r="O140">
        <f>_xlfn.XLOOKUP(G140,products!A:A,products!D:D)</f>
        <v>1</v>
      </c>
      <c r="P140">
        <f>_xlfn.XLOOKUP(G140,products!A:A,products!E:E)</f>
        <v>12.15</v>
      </c>
      <c r="Q140">
        <f t="shared" si="11"/>
        <v>48.6</v>
      </c>
      <c r="R140" t="str" cm="1">
        <f t="array" ref="R140">_xlfn.IFS(Q140&lt;=50,"low sales",Q140&lt;=100,"medium sales",Q140&gt;100,"High sales")</f>
        <v>low sales</v>
      </c>
    </row>
    <row r="141" spans="1:18" x14ac:dyDescent="0.35">
      <c r="A141" s="2" t="s">
        <v>1271</v>
      </c>
      <c r="B141" s="3">
        <v>43509</v>
      </c>
      <c r="C141" s="3" t="str">
        <f t="shared" si="8"/>
        <v>Wednesday</v>
      </c>
      <c r="D141" s="3" t="str">
        <f t="shared" si="9"/>
        <v>February</v>
      </c>
      <c r="E141" s="3" t="str">
        <f t="shared" si="10"/>
        <v>2019</v>
      </c>
      <c r="F141" s="2" t="s">
        <v>1272</v>
      </c>
      <c r="G141" t="s">
        <v>6143</v>
      </c>
      <c r="H141" s="2">
        <v>6</v>
      </c>
      <c r="I141" s="2" t="str">
        <f>_xlfn.XLOOKUP(F141,customers!A:A,customers!B:B)</f>
        <v>Rivy Farington</v>
      </c>
      <c r="J141" s="2">
        <f>_xlfn.XLOOKUP(F141,customers!A:A,customers!C:C)</f>
        <v>0</v>
      </c>
      <c r="K141" s="2" t="str">
        <f>_xlfn.XLOOKUP(F141,customers!A:A,customers!F:F)</f>
        <v>Corona</v>
      </c>
      <c r="L141" s="2" t="str">
        <f>_xlfn.XLOOKUP(F141,customers!A:A,customers!G:G)</f>
        <v>United States</v>
      </c>
      <c r="M141" t="str">
        <f>_xlfn.XLOOKUP(G141,products!A:A,products!B:B)</f>
        <v>Lib</v>
      </c>
      <c r="N141" t="str">
        <f>_xlfn.XLOOKUP(G141,products!A:A,products!C:C)</f>
        <v>D</v>
      </c>
      <c r="O141">
        <f>_xlfn.XLOOKUP(G141,products!A:A,products!D:D)</f>
        <v>1</v>
      </c>
      <c r="P141">
        <f>_xlfn.XLOOKUP(G141,products!A:A,products!E:E)</f>
        <v>12.95</v>
      </c>
      <c r="Q141">
        <f t="shared" si="11"/>
        <v>77.699999999999989</v>
      </c>
      <c r="R141" t="str" cm="1">
        <f t="array" ref="R141">_xlfn.IFS(Q141&lt;=50,"low sales",Q141&lt;=100,"medium sales",Q141&gt;100,"High sales")</f>
        <v>medium sales</v>
      </c>
    </row>
    <row r="142" spans="1:18" x14ac:dyDescent="0.35">
      <c r="A142" s="2" t="s">
        <v>1276</v>
      </c>
      <c r="B142" s="3">
        <v>44694</v>
      </c>
      <c r="C142" s="3" t="str">
        <f t="shared" si="8"/>
        <v>Friday</v>
      </c>
      <c r="D142" s="3" t="str">
        <f t="shared" si="9"/>
        <v>May</v>
      </c>
      <c r="E142" s="3" t="str">
        <f t="shared" si="10"/>
        <v>2022</v>
      </c>
      <c r="F142" s="2" t="s">
        <v>1277</v>
      </c>
      <c r="G142" t="s">
        <v>6165</v>
      </c>
      <c r="H142" s="2">
        <v>1</v>
      </c>
      <c r="I142" s="2" t="str">
        <f>_xlfn.XLOOKUP(F142,customers!A:A,customers!B:B)</f>
        <v>Vallie Kundt</v>
      </c>
      <c r="J142" s="2" t="str">
        <f>_xlfn.XLOOKUP(F142,customers!A:A,customers!C:C)</f>
        <v>vkundt3w@bigcartel.com</v>
      </c>
      <c r="K142" s="2" t="str">
        <f>_xlfn.XLOOKUP(F142,customers!A:A,customers!F:F)</f>
        <v>Ballivor</v>
      </c>
      <c r="L142" s="2" t="str">
        <f>_xlfn.XLOOKUP(F142,customers!A:A,customers!G:G)</f>
        <v>Ireland</v>
      </c>
      <c r="M142" t="str">
        <f>_xlfn.XLOOKUP(G142,products!A:A,products!B:B)</f>
        <v>Lib</v>
      </c>
      <c r="N142" t="str">
        <f>_xlfn.XLOOKUP(G142,products!A:A,products!C:C)</f>
        <v>D</v>
      </c>
      <c r="O142">
        <f>_xlfn.XLOOKUP(G142,products!A:A,products!D:D)</f>
        <v>2.5</v>
      </c>
      <c r="P142">
        <f>_xlfn.XLOOKUP(G142,products!A:A,products!E:E)</f>
        <v>29.784999999999997</v>
      </c>
      <c r="Q142">
        <f t="shared" si="11"/>
        <v>29.784999999999997</v>
      </c>
      <c r="R142" t="str" cm="1">
        <f t="array" ref="R142">_xlfn.IFS(Q142&lt;=50,"low sales",Q142&lt;=100,"medium sales",Q142&gt;100,"High sales")</f>
        <v>low sales</v>
      </c>
    </row>
    <row r="143" spans="1:18" x14ac:dyDescent="0.35">
      <c r="A143" s="2" t="s">
        <v>1283</v>
      </c>
      <c r="B143" s="3">
        <v>43970</v>
      </c>
      <c r="C143" s="3" t="str">
        <f t="shared" si="8"/>
        <v>Tuesday</v>
      </c>
      <c r="D143" s="3" t="str">
        <f t="shared" si="9"/>
        <v>May</v>
      </c>
      <c r="E143" s="3" t="str">
        <f t="shared" si="10"/>
        <v>2020</v>
      </c>
      <c r="F143" s="2" t="s">
        <v>1284</v>
      </c>
      <c r="G143" t="s">
        <v>6167</v>
      </c>
      <c r="H143" s="2">
        <v>4</v>
      </c>
      <c r="I143" s="2" t="str">
        <f>_xlfn.XLOOKUP(F143,customers!A:A,customers!B:B)</f>
        <v>Boyd Bett</v>
      </c>
      <c r="J143" s="2" t="str">
        <f>_xlfn.XLOOKUP(F143,customers!A:A,customers!C:C)</f>
        <v>bbett3x@google.de</v>
      </c>
      <c r="K143" s="2" t="str">
        <f>_xlfn.XLOOKUP(F143,customers!A:A,customers!F:F)</f>
        <v>Washington</v>
      </c>
      <c r="L143" s="2" t="str">
        <f>_xlfn.XLOOKUP(F143,customers!A:A,customers!G:G)</f>
        <v>United States</v>
      </c>
      <c r="M143" t="str">
        <f>_xlfn.XLOOKUP(G143,products!A:A,products!B:B)</f>
        <v>Ara</v>
      </c>
      <c r="N143" t="str">
        <f>_xlfn.XLOOKUP(G143,products!A:A,products!C:C)</f>
        <v>L</v>
      </c>
      <c r="O143">
        <f>_xlfn.XLOOKUP(G143,products!A:A,products!D:D)</f>
        <v>0.2</v>
      </c>
      <c r="P143">
        <f>_xlfn.XLOOKUP(G143,products!A:A,products!E:E)</f>
        <v>3.8849999999999998</v>
      </c>
      <c r="Q143">
        <f t="shared" si="11"/>
        <v>15.54</v>
      </c>
      <c r="R143" t="str" cm="1">
        <f t="array" ref="R143">_xlfn.IFS(Q143&lt;=50,"low sales",Q143&lt;=100,"medium sales",Q143&gt;100,"High sales")</f>
        <v>low sales</v>
      </c>
    </row>
    <row r="144" spans="1:18" x14ac:dyDescent="0.35">
      <c r="A144" s="2" t="s">
        <v>1289</v>
      </c>
      <c r="B144" s="3">
        <v>44678</v>
      </c>
      <c r="C144" s="3" t="str">
        <f t="shared" si="8"/>
        <v>Wednesday</v>
      </c>
      <c r="D144" s="3" t="str">
        <f t="shared" si="9"/>
        <v>April</v>
      </c>
      <c r="E144" s="3" t="str">
        <f t="shared" si="10"/>
        <v>2022</v>
      </c>
      <c r="F144" s="2" t="s">
        <v>1290</v>
      </c>
      <c r="G144" t="s">
        <v>6148</v>
      </c>
      <c r="H144" s="2">
        <v>4</v>
      </c>
      <c r="I144" s="2" t="str">
        <f>_xlfn.XLOOKUP(F144,customers!A:A,customers!B:B)</f>
        <v>Julio Armytage</v>
      </c>
      <c r="J144" s="2">
        <f>_xlfn.XLOOKUP(F144,customers!A:A,customers!C:C)</f>
        <v>0</v>
      </c>
      <c r="K144" s="2" t="str">
        <f>_xlfn.XLOOKUP(F144,customers!A:A,customers!F:F)</f>
        <v>Portumna</v>
      </c>
      <c r="L144" s="2" t="str">
        <f>_xlfn.XLOOKUP(F144,customers!A:A,customers!G:G)</f>
        <v>Ireland</v>
      </c>
      <c r="M144" t="str">
        <f>_xlfn.XLOOKUP(G144,products!A:A,products!B:B)</f>
        <v>Exc</v>
      </c>
      <c r="N144" t="str">
        <f>_xlfn.XLOOKUP(G144,products!A:A,products!C:C)</f>
        <v>L</v>
      </c>
      <c r="O144">
        <f>_xlfn.XLOOKUP(G144,products!A:A,products!D:D)</f>
        <v>2.5</v>
      </c>
      <c r="P144">
        <f>_xlfn.XLOOKUP(G144,products!A:A,products!E:E)</f>
        <v>34.154999999999994</v>
      </c>
      <c r="Q144">
        <f t="shared" si="11"/>
        <v>136.61999999999998</v>
      </c>
      <c r="R144" t="str" cm="1">
        <f t="array" ref="R144">_xlfn.IFS(Q144&lt;=50,"low sales",Q144&lt;=100,"medium sales",Q144&gt;100,"High sales")</f>
        <v>High sales</v>
      </c>
    </row>
    <row r="145" spans="1:18" x14ac:dyDescent="0.35">
      <c r="A145" s="2" t="s">
        <v>1293</v>
      </c>
      <c r="B145" s="3">
        <v>44083</v>
      </c>
      <c r="C145" s="3" t="str">
        <f t="shared" si="8"/>
        <v>Wednesday</v>
      </c>
      <c r="D145" s="3" t="str">
        <f t="shared" si="9"/>
        <v>September</v>
      </c>
      <c r="E145" s="3" t="str">
        <f t="shared" si="10"/>
        <v>2020</v>
      </c>
      <c r="F145" s="2" t="s">
        <v>1294</v>
      </c>
      <c r="G145" t="s">
        <v>6160</v>
      </c>
      <c r="H145" s="2">
        <v>2</v>
      </c>
      <c r="I145" s="2" t="str">
        <f>_xlfn.XLOOKUP(F145,customers!A:A,customers!B:B)</f>
        <v>Deana Staite</v>
      </c>
      <c r="J145" s="2" t="str">
        <f>_xlfn.XLOOKUP(F145,customers!A:A,customers!C:C)</f>
        <v>dstaite3z@scientificamerican.com</v>
      </c>
      <c r="K145" s="2" t="str">
        <f>_xlfn.XLOOKUP(F145,customers!A:A,customers!F:F)</f>
        <v>Houston</v>
      </c>
      <c r="L145" s="2" t="str">
        <f>_xlfn.XLOOKUP(F145,customers!A:A,customers!G:G)</f>
        <v>United States</v>
      </c>
      <c r="M145" t="str">
        <f>_xlfn.XLOOKUP(G145,products!A:A,products!B:B)</f>
        <v>Lib</v>
      </c>
      <c r="N145" t="str">
        <f>_xlfn.XLOOKUP(G145,products!A:A,products!C:C)</f>
        <v>M</v>
      </c>
      <c r="O145">
        <f>_xlfn.XLOOKUP(G145,products!A:A,products!D:D)</f>
        <v>0.5</v>
      </c>
      <c r="P145">
        <f>_xlfn.XLOOKUP(G145,products!A:A,products!E:E)</f>
        <v>8.73</v>
      </c>
      <c r="Q145">
        <f t="shared" si="11"/>
        <v>17.46</v>
      </c>
      <c r="R145" t="str" cm="1">
        <f t="array" ref="R145">_xlfn.IFS(Q145&lt;=50,"low sales",Q145&lt;=100,"medium sales",Q145&gt;100,"High sales")</f>
        <v>low sales</v>
      </c>
    </row>
    <row r="146" spans="1:18" x14ac:dyDescent="0.35">
      <c r="A146" s="2" t="s">
        <v>1299</v>
      </c>
      <c r="B146" s="3">
        <v>44265</v>
      </c>
      <c r="C146" s="3" t="str">
        <f t="shared" si="8"/>
        <v>Wednesday</v>
      </c>
      <c r="D146" s="3" t="str">
        <f t="shared" si="9"/>
        <v>March</v>
      </c>
      <c r="E146" s="3" t="str">
        <f t="shared" si="10"/>
        <v>2021</v>
      </c>
      <c r="F146" s="2" t="s">
        <v>1300</v>
      </c>
      <c r="G146" t="s">
        <v>6148</v>
      </c>
      <c r="H146" s="2">
        <v>2</v>
      </c>
      <c r="I146" s="2" t="str">
        <f>_xlfn.XLOOKUP(F146,customers!A:A,customers!B:B)</f>
        <v>Winn Keyse</v>
      </c>
      <c r="J146" s="2" t="str">
        <f>_xlfn.XLOOKUP(F146,customers!A:A,customers!C:C)</f>
        <v>wkeyse40@apple.com</v>
      </c>
      <c r="K146" s="2" t="str">
        <f>_xlfn.XLOOKUP(F146,customers!A:A,customers!F:F)</f>
        <v>Orange</v>
      </c>
      <c r="L146" s="2" t="str">
        <f>_xlfn.XLOOKUP(F146,customers!A:A,customers!G:G)</f>
        <v>United States</v>
      </c>
      <c r="M146" t="str">
        <f>_xlfn.XLOOKUP(G146,products!A:A,products!B:B)</f>
        <v>Exc</v>
      </c>
      <c r="N146" t="str">
        <f>_xlfn.XLOOKUP(G146,products!A:A,products!C:C)</f>
        <v>L</v>
      </c>
      <c r="O146">
        <f>_xlfn.XLOOKUP(G146,products!A:A,products!D:D)</f>
        <v>2.5</v>
      </c>
      <c r="P146">
        <f>_xlfn.XLOOKUP(G146,products!A:A,products!E:E)</f>
        <v>34.154999999999994</v>
      </c>
      <c r="Q146">
        <f t="shared" si="11"/>
        <v>68.309999999999988</v>
      </c>
      <c r="R146" t="str" cm="1">
        <f t="array" ref="R146">_xlfn.IFS(Q146&lt;=50,"low sales",Q146&lt;=100,"medium sales",Q146&gt;100,"High sales")</f>
        <v>medium sales</v>
      </c>
    </row>
    <row r="147" spans="1:18" x14ac:dyDescent="0.35">
      <c r="A147" s="2" t="s">
        <v>1305</v>
      </c>
      <c r="B147" s="3">
        <v>43562</v>
      </c>
      <c r="C147" s="3" t="str">
        <f t="shared" si="8"/>
        <v>Sunday</v>
      </c>
      <c r="D147" s="3" t="str">
        <f t="shared" si="9"/>
        <v>April</v>
      </c>
      <c r="E147" s="3" t="str">
        <f t="shared" si="10"/>
        <v>2019</v>
      </c>
      <c r="F147" s="2" t="s">
        <v>1306</v>
      </c>
      <c r="G147" t="s">
        <v>6159</v>
      </c>
      <c r="H147" s="2">
        <v>4</v>
      </c>
      <c r="I147" s="2" t="str">
        <f>_xlfn.XLOOKUP(F147,customers!A:A,customers!B:B)</f>
        <v>Osmund Clausen-Thue</v>
      </c>
      <c r="J147" s="2" t="str">
        <f>_xlfn.XLOOKUP(F147,customers!A:A,customers!C:C)</f>
        <v>oclausenthue41@marriott.com</v>
      </c>
      <c r="K147" s="2" t="str">
        <f>_xlfn.XLOOKUP(F147,customers!A:A,customers!F:F)</f>
        <v>El Paso</v>
      </c>
      <c r="L147" s="2" t="str">
        <f>_xlfn.XLOOKUP(F147,customers!A:A,customers!G:G)</f>
        <v>United States</v>
      </c>
      <c r="M147" t="str">
        <f>_xlfn.XLOOKUP(G147,products!A:A,products!B:B)</f>
        <v>Lib</v>
      </c>
      <c r="N147" t="str">
        <f>_xlfn.XLOOKUP(G147,products!A:A,products!C:C)</f>
        <v>M</v>
      </c>
      <c r="O147">
        <f>_xlfn.XLOOKUP(G147,products!A:A,products!D:D)</f>
        <v>0.2</v>
      </c>
      <c r="P147">
        <f>_xlfn.XLOOKUP(G147,products!A:A,products!E:E)</f>
        <v>4.3650000000000002</v>
      </c>
      <c r="Q147">
        <f t="shared" si="11"/>
        <v>17.46</v>
      </c>
      <c r="R147" t="str" cm="1">
        <f t="array" ref="R147">_xlfn.IFS(Q147&lt;=50,"low sales",Q147&lt;=100,"medium sales",Q147&gt;100,"High sales")</f>
        <v>low sales</v>
      </c>
    </row>
    <row r="148" spans="1:18" x14ac:dyDescent="0.35">
      <c r="A148" s="2" t="s">
        <v>1311</v>
      </c>
      <c r="B148" s="3">
        <v>44024</v>
      </c>
      <c r="C148" s="3" t="str">
        <f t="shared" si="8"/>
        <v>Sunday</v>
      </c>
      <c r="D148" s="3" t="str">
        <f t="shared" si="9"/>
        <v>July</v>
      </c>
      <c r="E148" s="3" t="str">
        <f t="shared" si="10"/>
        <v>2020</v>
      </c>
      <c r="F148" s="2" t="s">
        <v>1312</v>
      </c>
      <c r="G148" t="s">
        <v>6162</v>
      </c>
      <c r="H148" s="2">
        <v>3</v>
      </c>
      <c r="I148" s="2" t="str">
        <f>_xlfn.XLOOKUP(F148,customers!A:A,customers!B:B)</f>
        <v>Leonore Francisco</v>
      </c>
      <c r="J148" s="2" t="str">
        <f>_xlfn.XLOOKUP(F148,customers!A:A,customers!C:C)</f>
        <v>lfrancisco42@fema.gov</v>
      </c>
      <c r="K148" s="2" t="str">
        <f>_xlfn.XLOOKUP(F148,customers!A:A,customers!F:F)</f>
        <v>Carson City</v>
      </c>
      <c r="L148" s="2" t="str">
        <f>_xlfn.XLOOKUP(F148,customers!A:A,customers!G:G)</f>
        <v>United States</v>
      </c>
      <c r="M148" t="str">
        <f>_xlfn.XLOOKUP(G148,products!A:A,products!B:B)</f>
        <v>Lib</v>
      </c>
      <c r="N148" t="str">
        <f>_xlfn.XLOOKUP(G148,products!A:A,products!C:C)</f>
        <v>M</v>
      </c>
      <c r="O148">
        <f>_xlfn.XLOOKUP(G148,products!A:A,products!D:D)</f>
        <v>1</v>
      </c>
      <c r="P148">
        <f>_xlfn.XLOOKUP(G148,products!A:A,products!E:E)</f>
        <v>14.55</v>
      </c>
      <c r="Q148">
        <f t="shared" si="11"/>
        <v>43.650000000000006</v>
      </c>
      <c r="R148" t="str" cm="1">
        <f t="array" ref="R148">_xlfn.IFS(Q148&lt;=50,"low sales",Q148&lt;=100,"medium sales",Q148&gt;100,"High sales")</f>
        <v>low sales</v>
      </c>
    </row>
    <row r="149" spans="1:18" x14ac:dyDescent="0.35">
      <c r="A149" s="2" t="s">
        <v>1311</v>
      </c>
      <c r="B149" s="3">
        <v>44024</v>
      </c>
      <c r="C149" s="3" t="str">
        <f t="shared" si="8"/>
        <v>Sunday</v>
      </c>
      <c r="D149" s="3" t="str">
        <f t="shared" si="9"/>
        <v>July</v>
      </c>
      <c r="E149" s="3" t="str">
        <f t="shared" si="10"/>
        <v>2020</v>
      </c>
      <c r="F149" s="2" t="s">
        <v>1312</v>
      </c>
      <c r="G149" t="s">
        <v>6141</v>
      </c>
      <c r="H149" s="2">
        <v>2</v>
      </c>
      <c r="I149" s="2" t="str">
        <f>_xlfn.XLOOKUP(F149,customers!A:A,customers!B:B)</f>
        <v>Leonore Francisco</v>
      </c>
      <c r="J149" s="2" t="str">
        <f>_xlfn.XLOOKUP(F149,customers!A:A,customers!C:C)</f>
        <v>lfrancisco42@fema.gov</v>
      </c>
      <c r="K149" s="2" t="str">
        <f>_xlfn.XLOOKUP(F149,customers!A:A,customers!F:F)</f>
        <v>Carson City</v>
      </c>
      <c r="L149" s="2" t="str">
        <f>_xlfn.XLOOKUP(F149,customers!A:A,customers!G:G)</f>
        <v>United States</v>
      </c>
      <c r="M149" t="str">
        <f>_xlfn.XLOOKUP(G149,products!A:A,products!B:B)</f>
        <v>Exc</v>
      </c>
      <c r="N149" t="str">
        <f>_xlfn.XLOOKUP(G149,products!A:A,products!C:C)</f>
        <v>M</v>
      </c>
      <c r="O149">
        <f>_xlfn.XLOOKUP(G149,products!A:A,products!D:D)</f>
        <v>1</v>
      </c>
      <c r="P149">
        <f>_xlfn.XLOOKUP(G149,products!A:A,products!E:E)</f>
        <v>13.75</v>
      </c>
      <c r="Q149">
        <f t="shared" si="11"/>
        <v>27.5</v>
      </c>
      <c r="R149" t="str" cm="1">
        <f t="array" ref="R149">_xlfn.IFS(Q149&lt;=50,"low sales",Q149&lt;=100,"medium sales",Q149&gt;100,"High sales")</f>
        <v>low sales</v>
      </c>
    </row>
    <row r="150" spans="1:18" x14ac:dyDescent="0.35">
      <c r="A150" s="2" t="s">
        <v>1322</v>
      </c>
      <c r="B150" s="3">
        <v>44551</v>
      </c>
      <c r="C150" s="3" t="str">
        <f t="shared" si="8"/>
        <v>Tuesday</v>
      </c>
      <c r="D150" s="3" t="str">
        <f t="shared" si="9"/>
        <v>December</v>
      </c>
      <c r="E150" s="3" t="str">
        <f t="shared" si="10"/>
        <v>2021</v>
      </c>
      <c r="F150" s="2" t="s">
        <v>1323</v>
      </c>
      <c r="G150" t="s">
        <v>6153</v>
      </c>
      <c r="H150" s="2">
        <v>5</v>
      </c>
      <c r="I150" s="2" t="str">
        <f>_xlfn.XLOOKUP(F150,customers!A:A,customers!B:B)</f>
        <v>Giacobo Skingle</v>
      </c>
      <c r="J150" s="2" t="str">
        <f>_xlfn.XLOOKUP(F150,customers!A:A,customers!C:C)</f>
        <v>gskingle44@clickbank.net</v>
      </c>
      <c r="K150" s="2" t="str">
        <f>_xlfn.XLOOKUP(F150,customers!A:A,customers!F:F)</f>
        <v>Provo</v>
      </c>
      <c r="L150" s="2" t="str">
        <f>_xlfn.XLOOKUP(F150,customers!A:A,customers!G:G)</f>
        <v>United States</v>
      </c>
      <c r="M150" t="str">
        <f>_xlfn.XLOOKUP(G150,products!A:A,products!B:B)</f>
        <v>Exc</v>
      </c>
      <c r="N150" t="str">
        <f>_xlfn.XLOOKUP(G150,products!A:A,products!C:C)</f>
        <v>D</v>
      </c>
      <c r="O150">
        <f>_xlfn.XLOOKUP(G150,products!A:A,products!D:D)</f>
        <v>0.2</v>
      </c>
      <c r="P150">
        <f>_xlfn.XLOOKUP(G150,products!A:A,products!E:E)</f>
        <v>3.645</v>
      </c>
      <c r="Q150">
        <f t="shared" si="11"/>
        <v>18.225000000000001</v>
      </c>
      <c r="R150" t="str" cm="1">
        <f t="array" ref="R150">_xlfn.IFS(Q150&lt;=50,"low sales",Q150&lt;=100,"medium sales",Q150&gt;100,"High sales")</f>
        <v>low sales</v>
      </c>
    </row>
    <row r="151" spans="1:18" x14ac:dyDescent="0.35">
      <c r="A151" s="2" t="s">
        <v>1328</v>
      </c>
      <c r="B151" s="3">
        <v>44108</v>
      </c>
      <c r="C151" s="3" t="str">
        <f t="shared" si="8"/>
        <v>Sunday</v>
      </c>
      <c r="D151" s="3" t="str">
        <f t="shared" si="9"/>
        <v>October</v>
      </c>
      <c r="E151" s="3" t="str">
        <f t="shared" si="10"/>
        <v>2020</v>
      </c>
      <c r="F151" s="2" t="s">
        <v>1329</v>
      </c>
      <c r="G151" t="s">
        <v>6175</v>
      </c>
      <c r="H151" s="2">
        <v>2</v>
      </c>
      <c r="I151" s="2" t="str">
        <f>_xlfn.XLOOKUP(F151,customers!A:A,customers!B:B)</f>
        <v>Gerard Pirdy</v>
      </c>
      <c r="J151" s="2">
        <f>_xlfn.XLOOKUP(F151,customers!A:A,customers!C:C)</f>
        <v>0</v>
      </c>
      <c r="K151" s="2" t="str">
        <f>_xlfn.XLOOKUP(F151,customers!A:A,customers!F:F)</f>
        <v>Boca Raton</v>
      </c>
      <c r="L151" s="2" t="str">
        <f>_xlfn.XLOOKUP(F151,customers!A:A,customers!G:G)</f>
        <v>United States</v>
      </c>
      <c r="M151" t="str">
        <f>_xlfn.XLOOKUP(G151,products!A:A,products!B:B)</f>
        <v>Ara</v>
      </c>
      <c r="N151" t="str">
        <f>_xlfn.XLOOKUP(G151,products!A:A,products!C:C)</f>
        <v>M</v>
      </c>
      <c r="O151">
        <f>_xlfn.XLOOKUP(G151,products!A:A,products!D:D)</f>
        <v>2.5</v>
      </c>
      <c r="P151">
        <f>_xlfn.XLOOKUP(G151,products!A:A,products!E:E)</f>
        <v>25.874999999999996</v>
      </c>
      <c r="Q151">
        <f t="shared" si="11"/>
        <v>51.749999999999993</v>
      </c>
      <c r="R151" t="str" cm="1">
        <f t="array" ref="R151">_xlfn.IFS(Q151&lt;=50,"low sales",Q151&lt;=100,"medium sales",Q151&gt;100,"High sales")</f>
        <v>medium sales</v>
      </c>
    </row>
    <row r="152" spans="1:18" x14ac:dyDescent="0.35">
      <c r="A152" s="2" t="s">
        <v>1333</v>
      </c>
      <c r="B152" s="3">
        <v>44051</v>
      </c>
      <c r="C152" s="3" t="str">
        <f t="shared" si="8"/>
        <v>Saturday</v>
      </c>
      <c r="D152" s="3" t="str">
        <f t="shared" si="9"/>
        <v>August</v>
      </c>
      <c r="E152" s="3" t="str">
        <f t="shared" si="10"/>
        <v>2020</v>
      </c>
      <c r="F152" s="2" t="s">
        <v>1334</v>
      </c>
      <c r="G152" t="s">
        <v>6143</v>
      </c>
      <c r="H152" s="2">
        <v>1</v>
      </c>
      <c r="I152" s="2" t="str">
        <f>_xlfn.XLOOKUP(F152,customers!A:A,customers!B:B)</f>
        <v>Jacinthe Balsillie</v>
      </c>
      <c r="J152" s="2" t="str">
        <f>_xlfn.XLOOKUP(F152,customers!A:A,customers!C:C)</f>
        <v>jbalsillie46@princeton.edu</v>
      </c>
      <c r="K152" s="2" t="str">
        <f>_xlfn.XLOOKUP(F152,customers!A:A,customers!F:F)</f>
        <v>Roanoke</v>
      </c>
      <c r="L152" s="2" t="str">
        <f>_xlfn.XLOOKUP(F152,customers!A:A,customers!G:G)</f>
        <v>United States</v>
      </c>
      <c r="M152" t="str">
        <f>_xlfn.XLOOKUP(G152,products!A:A,products!B:B)</f>
        <v>Lib</v>
      </c>
      <c r="N152" t="str">
        <f>_xlfn.XLOOKUP(G152,products!A:A,products!C:C)</f>
        <v>D</v>
      </c>
      <c r="O152">
        <f>_xlfn.XLOOKUP(G152,products!A:A,products!D:D)</f>
        <v>1</v>
      </c>
      <c r="P152">
        <f>_xlfn.XLOOKUP(G152,products!A:A,products!E:E)</f>
        <v>12.95</v>
      </c>
      <c r="Q152">
        <f t="shared" si="11"/>
        <v>12.95</v>
      </c>
      <c r="R152" t="str" cm="1">
        <f t="array" ref="R152">_xlfn.IFS(Q152&lt;=50,"low sales",Q152&lt;=100,"medium sales",Q152&gt;100,"High sales")</f>
        <v>low sales</v>
      </c>
    </row>
    <row r="153" spans="1:18" x14ac:dyDescent="0.35">
      <c r="A153" s="2" t="s">
        <v>1339</v>
      </c>
      <c r="B153" s="3">
        <v>44115</v>
      </c>
      <c r="C153" s="3" t="str">
        <f t="shared" si="8"/>
        <v>Sunday</v>
      </c>
      <c r="D153" s="3" t="str">
        <f t="shared" si="9"/>
        <v>October</v>
      </c>
      <c r="E153" s="3" t="str">
        <f t="shared" si="10"/>
        <v>2020</v>
      </c>
      <c r="F153" s="2" t="s">
        <v>1340</v>
      </c>
      <c r="G153" t="s">
        <v>6155</v>
      </c>
      <c r="H153" s="2">
        <v>3</v>
      </c>
      <c r="I153" s="2" t="str">
        <f>_xlfn.XLOOKUP(F153,customers!A:A,customers!B:B)</f>
        <v>Quinton Fouracres</v>
      </c>
      <c r="J153" s="2">
        <f>_xlfn.XLOOKUP(F153,customers!A:A,customers!C:C)</f>
        <v>0</v>
      </c>
      <c r="K153" s="2" t="str">
        <f>_xlfn.XLOOKUP(F153,customers!A:A,customers!F:F)</f>
        <v>Des Moines</v>
      </c>
      <c r="L153" s="2" t="str">
        <f>_xlfn.XLOOKUP(F153,customers!A:A,customers!G:G)</f>
        <v>United States</v>
      </c>
      <c r="M153" t="str">
        <f>_xlfn.XLOOKUP(G153,products!A:A,products!B:B)</f>
        <v>Ara</v>
      </c>
      <c r="N153" t="str">
        <f>_xlfn.XLOOKUP(G153,products!A:A,products!C:C)</f>
        <v>M</v>
      </c>
      <c r="O153">
        <f>_xlfn.XLOOKUP(G153,products!A:A,products!D:D)</f>
        <v>1</v>
      </c>
      <c r="P153">
        <f>_xlfn.XLOOKUP(G153,products!A:A,products!E:E)</f>
        <v>11.25</v>
      </c>
      <c r="Q153">
        <f t="shared" si="11"/>
        <v>33.75</v>
      </c>
      <c r="R153" t="str" cm="1">
        <f t="array" ref="R153">_xlfn.IFS(Q153&lt;=50,"low sales",Q153&lt;=100,"medium sales",Q153&gt;100,"High sales")</f>
        <v>low sales</v>
      </c>
    </row>
    <row r="154" spans="1:18" x14ac:dyDescent="0.35">
      <c r="A154" s="2" t="s">
        <v>1344</v>
      </c>
      <c r="B154" s="3">
        <v>44510</v>
      </c>
      <c r="C154" s="3" t="str">
        <f t="shared" si="8"/>
        <v>Wednesday</v>
      </c>
      <c r="D154" s="3" t="str">
        <f t="shared" si="9"/>
        <v>November</v>
      </c>
      <c r="E154" s="3" t="str">
        <f t="shared" si="10"/>
        <v>2021</v>
      </c>
      <c r="F154" s="2" t="s">
        <v>1345</v>
      </c>
      <c r="G154" t="s">
        <v>6151</v>
      </c>
      <c r="H154" s="2">
        <v>3</v>
      </c>
      <c r="I154" s="2" t="str">
        <f>_xlfn.XLOOKUP(F154,customers!A:A,customers!B:B)</f>
        <v>Bettina Leffek</v>
      </c>
      <c r="J154" s="2" t="str">
        <f>_xlfn.XLOOKUP(F154,customers!A:A,customers!C:C)</f>
        <v>bleffek48@ning.com</v>
      </c>
      <c r="K154" s="2" t="str">
        <f>_xlfn.XLOOKUP(F154,customers!A:A,customers!F:F)</f>
        <v>Honolulu</v>
      </c>
      <c r="L154" s="2" t="str">
        <f>_xlfn.XLOOKUP(F154,customers!A:A,customers!G:G)</f>
        <v>United States</v>
      </c>
      <c r="M154" t="str">
        <f>_xlfn.XLOOKUP(G154,products!A:A,products!B:B)</f>
        <v>Rob</v>
      </c>
      <c r="N154" t="str">
        <f>_xlfn.XLOOKUP(G154,products!A:A,products!C:C)</f>
        <v>M</v>
      </c>
      <c r="O154">
        <f>_xlfn.XLOOKUP(G154,products!A:A,products!D:D)</f>
        <v>2.5</v>
      </c>
      <c r="P154">
        <f>_xlfn.XLOOKUP(G154,products!A:A,products!E:E)</f>
        <v>22.884999999999998</v>
      </c>
      <c r="Q154">
        <f t="shared" si="11"/>
        <v>68.655000000000001</v>
      </c>
      <c r="R154" t="str" cm="1">
        <f t="array" ref="R154">_xlfn.IFS(Q154&lt;=50,"low sales",Q154&lt;=100,"medium sales",Q154&gt;100,"High sales")</f>
        <v>medium sales</v>
      </c>
    </row>
    <row r="155" spans="1:18" x14ac:dyDescent="0.35">
      <c r="A155" s="2" t="s">
        <v>1350</v>
      </c>
      <c r="B155" s="3">
        <v>44367</v>
      </c>
      <c r="C155" s="3" t="str">
        <f t="shared" si="8"/>
        <v>Sunday</v>
      </c>
      <c r="D155" s="3" t="str">
        <f t="shared" si="9"/>
        <v>June</v>
      </c>
      <c r="E155" s="3" t="str">
        <f t="shared" si="10"/>
        <v>2021</v>
      </c>
      <c r="F155" s="2" t="s">
        <v>1351</v>
      </c>
      <c r="G155" t="s">
        <v>6163</v>
      </c>
      <c r="H155" s="2">
        <v>1</v>
      </c>
      <c r="I155" s="2" t="str">
        <f>_xlfn.XLOOKUP(F155,customers!A:A,customers!B:B)</f>
        <v>Hetti Penson</v>
      </c>
      <c r="J155" s="2">
        <f>_xlfn.XLOOKUP(F155,customers!A:A,customers!C:C)</f>
        <v>0</v>
      </c>
      <c r="K155" s="2" t="str">
        <f>_xlfn.XLOOKUP(F155,customers!A:A,customers!F:F)</f>
        <v>Fort Lauderdale</v>
      </c>
      <c r="L155" s="2" t="str">
        <f>_xlfn.XLOOKUP(F155,customers!A:A,customers!G:G)</f>
        <v>United States</v>
      </c>
      <c r="M155" t="str">
        <f>_xlfn.XLOOKUP(G155,products!A:A,products!B:B)</f>
        <v>Rob</v>
      </c>
      <c r="N155" t="str">
        <f>_xlfn.XLOOKUP(G155,products!A:A,products!C:C)</f>
        <v>D</v>
      </c>
      <c r="O155">
        <f>_xlfn.XLOOKUP(G155,products!A:A,products!D:D)</f>
        <v>0.2</v>
      </c>
      <c r="P155">
        <f>_xlfn.XLOOKUP(G155,products!A:A,products!E:E)</f>
        <v>2.6849999999999996</v>
      </c>
      <c r="Q155">
        <f t="shared" si="11"/>
        <v>2.6849999999999996</v>
      </c>
      <c r="R155" t="str" cm="1">
        <f t="array" ref="R155">_xlfn.IFS(Q155&lt;=50,"low sales",Q155&lt;=100,"medium sales",Q155&gt;100,"High sales")</f>
        <v>low sales</v>
      </c>
    </row>
    <row r="156" spans="1:18" x14ac:dyDescent="0.35">
      <c r="A156" s="2" t="s">
        <v>1355</v>
      </c>
      <c r="B156" s="3">
        <v>44473</v>
      </c>
      <c r="C156" s="3" t="str">
        <f t="shared" si="8"/>
        <v>Monday</v>
      </c>
      <c r="D156" s="3" t="str">
        <f t="shared" si="9"/>
        <v>October</v>
      </c>
      <c r="E156" s="3" t="str">
        <f t="shared" si="10"/>
        <v>2021</v>
      </c>
      <c r="F156" s="2" t="s">
        <v>1356</v>
      </c>
      <c r="G156" t="s">
        <v>6168</v>
      </c>
      <c r="H156" s="2">
        <v>5</v>
      </c>
      <c r="I156" s="2" t="str">
        <f>_xlfn.XLOOKUP(F156,customers!A:A,customers!B:B)</f>
        <v>Jocko Pray</v>
      </c>
      <c r="J156" s="2" t="str">
        <f>_xlfn.XLOOKUP(F156,customers!A:A,customers!C:C)</f>
        <v>jpray4a@youtube.com</v>
      </c>
      <c r="K156" s="2" t="str">
        <f>_xlfn.XLOOKUP(F156,customers!A:A,customers!F:F)</f>
        <v>Philadelphia</v>
      </c>
      <c r="L156" s="2" t="str">
        <f>_xlfn.XLOOKUP(F156,customers!A:A,customers!G:G)</f>
        <v>United States</v>
      </c>
      <c r="M156" t="str">
        <f>_xlfn.XLOOKUP(G156,products!A:A,products!B:B)</f>
        <v>Ara</v>
      </c>
      <c r="N156" t="str">
        <f>_xlfn.XLOOKUP(G156,products!A:A,products!C:C)</f>
        <v>D</v>
      </c>
      <c r="O156">
        <f>_xlfn.XLOOKUP(G156,products!A:A,products!D:D)</f>
        <v>2.5</v>
      </c>
      <c r="P156">
        <f>_xlfn.XLOOKUP(G156,products!A:A,products!E:E)</f>
        <v>22.884999999999998</v>
      </c>
      <c r="Q156">
        <f t="shared" si="11"/>
        <v>114.42499999999998</v>
      </c>
      <c r="R156" t="str" cm="1">
        <f t="array" ref="R156">_xlfn.IFS(Q156&lt;=50,"low sales",Q156&lt;=100,"medium sales",Q156&gt;100,"High sales")</f>
        <v>High sales</v>
      </c>
    </row>
    <row r="157" spans="1:18" x14ac:dyDescent="0.35">
      <c r="A157" s="2" t="s">
        <v>1361</v>
      </c>
      <c r="B157" s="3">
        <v>43640</v>
      </c>
      <c r="C157" s="3" t="str">
        <f t="shared" si="8"/>
        <v>Monday</v>
      </c>
      <c r="D157" s="3" t="str">
        <f t="shared" si="9"/>
        <v>June</v>
      </c>
      <c r="E157" s="3" t="str">
        <f t="shared" si="10"/>
        <v>2019</v>
      </c>
      <c r="F157" s="2" t="s">
        <v>1362</v>
      </c>
      <c r="G157" t="s">
        <v>6175</v>
      </c>
      <c r="H157" s="2">
        <v>6</v>
      </c>
      <c r="I157" s="2" t="str">
        <f>_xlfn.XLOOKUP(F157,customers!A:A,customers!B:B)</f>
        <v>Grete Holborn</v>
      </c>
      <c r="J157" s="2" t="str">
        <f>_xlfn.XLOOKUP(F157,customers!A:A,customers!C:C)</f>
        <v>gholborn4b@ow.ly</v>
      </c>
      <c r="K157" s="2" t="str">
        <f>_xlfn.XLOOKUP(F157,customers!A:A,customers!F:F)</f>
        <v>Norwalk</v>
      </c>
      <c r="L157" s="2" t="str">
        <f>_xlfn.XLOOKUP(F157,customers!A:A,customers!G:G)</f>
        <v>United States</v>
      </c>
      <c r="M157" t="str">
        <f>_xlfn.XLOOKUP(G157,products!A:A,products!B:B)</f>
        <v>Ara</v>
      </c>
      <c r="N157" t="str">
        <f>_xlfn.XLOOKUP(G157,products!A:A,products!C:C)</f>
        <v>M</v>
      </c>
      <c r="O157">
        <f>_xlfn.XLOOKUP(G157,products!A:A,products!D:D)</f>
        <v>2.5</v>
      </c>
      <c r="P157">
        <f>_xlfn.XLOOKUP(G157,products!A:A,products!E:E)</f>
        <v>25.874999999999996</v>
      </c>
      <c r="Q157">
        <f t="shared" si="11"/>
        <v>155.24999999999997</v>
      </c>
      <c r="R157" t="str" cm="1">
        <f t="array" ref="R157">_xlfn.IFS(Q157&lt;=50,"low sales",Q157&lt;=100,"medium sales",Q157&gt;100,"High sales")</f>
        <v>High sales</v>
      </c>
    </row>
    <row r="158" spans="1:18" x14ac:dyDescent="0.35">
      <c r="A158" s="2" t="s">
        <v>1367</v>
      </c>
      <c r="B158" s="3">
        <v>43764</v>
      </c>
      <c r="C158" s="3" t="str">
        <f t="shared" si="8"/>
        <v>Saturday</v>
      </c>
      <c r="D158" s="3" t="str">
        <f t="shared" si="9"/>
        <v>October</v>
      </c>
      <c r="E158" s="3" t="str">
        <f t="shared" si="10"/>
        <v>2019</v>
      </c>
      <c r="F158" s="2" t="s">
        <v>1368</v>
      </c>
      <c r="G158" t="s">
        <v>6175</v>
      </c>
      <c r="H158" s="2">
        <v>3</v>
      </c>
      <c r="I158" s="2" t="str">
        <f>_xlfn.XLOOKUP(F158,customers!A:A,customers!B:B)</f>
        <v>Fielding Keinrat</v>
      </c>
      <c r="J158" s="2" t="str">
        <f>_xlfn.XLOOKUP(F158,customers!A:A,customers!C:C)</f>
        <v>fkeinrat4c@dailymail.co.uk</v>
      </c>
      <c r="K158" s="2" t="str">
        <f>_xlfn.XLOOKUP(F158,customers!A:A,customers!F:F)</f>
        <v>Arlington</v>
      </c>
      <c r="L158" s="2" t="str">
        <f>_xlfn.XLOOKUP(F158,customers!A:A,customers!G:G)</f>
        <v>United States</v>
      </c>
      <c r="M158" t="str">
        <f>_xlfn.XLOOKUP(G158,products!A:A,products!B:B)</f>
        <v>Ara</v>
      </c>
      <c r="N158" t="str">
        <f>_xlfn.XLOOKUP(G158,products!A:A,products!C:C)</f>
        <v>M</v>
      </c>
      <c r="O158">
        <f>_xlfn.XLOOKUP(G158,products!A:A,products!D:D)</f>
        <v>2.5</v>
      </c>
      <c r="P158">
        <f>_xlfn.XLOOKUP(G158,products!A:A,products!E:E)</f>
        <v>25.874999999999996</v>
      </c>
      <c r="Q158">
        <f t="shared" si="11"/>
        <v>77.624999999999986</v>
      </c>
      <c r="R158" t="str" cm="1">
        <f t="array" ref="R158">_xlfn.IFS(Q158&lt;=50,"low sales",Q158&lt;=100,"medium sales",Q158&gt;100,"High sales")</f>
        <v>medium sales</v>
      </c>
    </row>
    <row r="159" spans="1:18" x14ac:dyDescent="0.35">
      <c r="A159" s="2" t="s">
        <v>1373</v>
      </c>
      <c r="B159" s="3">
        <v>44374</v>
      </c>
      <c r="C159" s="3" t="str">
        <f t="shared" si="8"/>
        <v>Sunday</v>
      </c>
      <c r="D159" s="3" t="str">
        <f t="shared" si="9"/>
        <v>June</v>
      </c>
      <c r="E159" s="3" t="str">
        <f t="shared" si="10"/>
        <v>2021</v>
      </c>
      <c r="F159" s="2" t="s">
        <v>1374</v>
      </c>
      <c r="G159" t="s">
        <v>6149</v>
      </c>
      <c r="H159" s="2">
        <v>3</v>
      </c>
      <c r="I159" s="2" t="str">
        <f>_xlfn.XLOOKUP(F159,customers!A:A,customers!B:B)</f>
        <v>Paulo Yea</v>
      </c>
      <c r="J159" s="2" t="str">
        <f>_xlfn.XLOOKUP(F159,customers!A:A,customers!C:C)</f>
        <v>pyea4d@aol.com</v>
      </c>
      <c r="K159" s="2" t="str">
        <f>_xlfn.XLOOKUP(F159,customers!A:A,customers!F:F)</f>
        <v>Ashford</v>
      </c>
      <c r="L159" s="2" t="str">
        <f>_xlfn.XLOOKUP(F159,customers!A:A,customers!G:G)</f>
        <v>Ireland</v>
      </c>
      <c r="M159" t="str">
        <f>_xlfn.XLOOKUP(G159,products!A:A,products!B:B)</f>
        <v>Rob</v>
      </c>
      <c r="N159" t="str">
        <f>_xlfn.XLOOKUP(G159,products!A:A,products!C:C)</f>
        <v>D</v>
      </c>
      <c r="O159">
        <f>_xlfn.XLOOKUP(G159,products!A:A,products!D:D)</f>
        <v>2.5</v>
      </c>
      <c r="P159">
        <f>_xlfn.XLOOKUP(G159,products!A:A,products!E:E)</f>
        <v>20.584999999999997</v>
      </c>
      <c r="Q159">
        <f t="shared" si="11"/>
        <v>61.754999999999995</v>
      </c>
      <c r="R159" t="str" cm="1">
        <f t="array" ref="R159">_xlfn.IFS(Q159&lt;=50,"low sales",Q159&lt;=100,"medium sales",Q159&gt;100,"High sales")</f>
        <v>medium sales</v>
      </c>
    </row>
    <row r="160" spans="1:18" x14ac:dyDescent="0.35">
      <c r="A160" s="2" t="s">
        <v>1379</v>
      </c>
      <c r="B160" s="3">
        <v>43714</v>
      </c>
      <c r="C160" s="3" t="str">
        <f t="shared" si="8"/>
        <v>Friday</v>
      </c>
      <c r="D160" s="3" t="str">
        <f t="shared" si="9"/>
        <v>September</v>
      </c>
      <c r="E160" s="3" t="str">
        <f t="shared" si="10"/>
        <v>2019</v>
      </c>
      <c r="F160" s="2" t="s">
        <v>1380</v>
      </c>
      <c r="G160" t="s">
        <v>6149</v>
      </c>
      <c r="H160" s="2">
        <v>6</v>
      </c>
      <c r="I160" s="2" t="str">
        <f>_xlfn.XLOOKUP(F160,customers!A:A,customers!B:B)</f>
        <v>Say Risborough</v>
      </c>
      <c r="J160" s="2">
        <f>_xlfn.XLOOKUP(F160,customers!A:A,customers!C:C)</f>
        <v>0</v>
      </c>
      <c r="K160" s="2" t="str">
        <f>_xlfn.XLOOKUP(F160,customers!A:A,customers!F:F)</f>
        <v>Chattanooga</v>
      </c>
      <c r="L160" s="2" t="str">
        <f>_xlfn.XLOOKUP(F160,customers!A:A,customers!G:G)</f>
        <v>United States</v>
      </c>
      <c r="M160" t="str">
        <f>_xlfn.XLOOKUP(G160,products!A:A,products!B:B)</f>
        <v>Rob</v>
      </c>
      <c r="N160" t="str">
        <f>_xlfn.XLOOKUP(G160,products!A:A,products!C:C)</f>
        <v>D</v>
      </c>
      <c r="O160">
        <f>_xlfn.XLOOKUP(G160,products!A:A,products!D:D)</f>
        <v>2.5</v>
      </c>
      <c r="P160">
        <f>_xlfn.XLOOKUP(G160,products!A:A,products!E:E)</f>
        <v>20.584999999999997</v>
      </c>
      <c r="Q160">
        <f t="shared" si="11"/>
        <v>123.50999999999999</v>
      </c>
      <c r="R160" t="str" cm="1">
        <f t="array" ref="R160">_xlfn.IFS(Q160&lt;=50,"low sales",Q160&lt;=100,"medium sales",Q160&gt;100,"High sales")</f>
        <v>High sales</v>
      </c>
    </row>
    <row r="161" spans="1:18" x14ac:dyDescent="0.35">
      <c r="A161" s="2" t="s">
        <v>1384</v>
      </c>
      <c r="B161" s="3">
        <v>44316</v>
      </c>
      <c r="C161" s="3" t="str">
        <f t="shared" si="8"/>
        <v>Friday</v>
      </c>
      <c r="D161" s="3" t="str">
        <f t="shared" si="9"/>
        <v>April</v>
      </c>
      <c r="E161" s="3" t="str">
        <f t="shared" si="10"/>
        <v>2021</v>
      </c>
      <c r="F161" s="2" t="s">
        <v>1385</v>
      </c>
      <c r="G161" t="s">
        <v>6164</v>
      </c>
      <c r="H161" s="2">
        <v>6</v>
      </c>
      <c r="I161" s="2" t="str">
        <f>_xlfn.XLOOKUP(F161,customers!A:A,customers!B:B)</f>
        <v>Alexa Sizey</v>
      </c>
      <c r="J161" s="2">
        <f>_xlfn.XLOOKUP(F161,customers!A:A,customers!C:C)</f>
        <v>0</v>
      </c>
      <c r="K161" s="2" t="str">
        <f>_xlfn.XLOOKUP(F161,customers!A:A,customers!F:F)</f>
        <v>Portland</v>
      </c>
      <c r="L161" s="2" t="str">
        <f>_xlfn.XLOOKUP(F161,customers!A:A,customers!G:G)</f>
        <v>United States</v>
      </c>
      <c r="M161" t="str">
        <f>_xlfn.XLOOKUP(G161,products!A:A,products!B:B)</f>
        <v>Lib</v>
      </c>
      <c r="N161" t="str">
        <f>_xlfn.XLOOKUP(G161,products!A:A,products!C:C)</f>
        <v>L</v>
      </c>
      <c r="O161">
        <f>_xlfn.XLOOKUP(G161,products!A:A,products!D:D)</f>
        <v>2.5</v>
      </c>
      <c r="P161">
        <f>_xlfn.XLOOKUP(G161,products!A:A,products!E:E)</f>
        <v>36.454999999999998</v>
      </c>
      <c r="Q161">
        <f t="shared" si="11"/>
        <v>218.73</v>
      </c>
      <c r="R161" t="str" cm="1">
        <f t="array" ref="R161">_xlfn.IFS(Q161&lt;=50,"low sales",Q161&lt;=100,"medium sales",Q161&gt;100,"High sales")</f>
        <v>High sales</v>
      </c>
    </row>
    <row r="162" spans="1:18" x14ac:dyDescent="0.35">
      <c r="A162" s="2" t="s">
        <v>1389</v>
      </c>
      <c r="B162" s="3">
        <v>43837</v>
      </c>
      <c r="C162" s="3" t="str">
        <f t="shared" si="8"/>
        <v>Tuesday</v>
      </c>
      <c r="D162" s="3" t="str">
        <f t="shared" si="9"/>
        <v>January</v>
      </c>
      <c r="E162" s="3" t="str">
        <f t="shared" si="10"/>
        <v>2020</v>
      </c>
      <c r="F162" s="2" t="s">
        <v>1390</v>
      </c>
      <c r="G162" t="s">
        <v>6139</v>
      </c>
      <c r="H162" s="2">
        <v>4</v>
      </c>
      <c r="I162" s="2" t="str">
        <f>_xlfn.XLOOKUP(F162,customers!A:A,customers!B:B)</f>
        <v>Kari Swede</v>
      </c>
      <c r="J162" s="2" t="str">
        <f>_xlfn.XLOOKUP(F162,customers!A:A,customers!C:C)</f>
        <v>kswede4g@addthis.com</v>
      </c>
      <c r="K162" s="2" t="str">
        <f>_xlfn.XLOOKUP(F162,customers!A:A,customers!F:F)</f>
        <v>Oklahoma City</v>
      </c>
      <c r="L162" s="2" t="str">
        <f>_xlfn.XLOOKUP(F162,customers!A:A,customers!G:G)</f>
        <v>United States</v>
      </c>
      <c r="M162" t="str">
        <f>_xlfn.XLOOKUP(G162,products!A:A,products!B:B)</f>
        <v>Exc</v>
      </c>
      <c r="N162" t="str">
        <f>_xlfn.XLOOKUP(G162,products!A:A,products!C:C)</f>
        <v>M</v>
      </c>
      <c r="O162">
        <f>_xlfn.XLOOKUP(G162,products!A:A,products!D:D)</f>
        <v>0.5</v>
      </c>
      <c r="P162">
        <f>_xlfn.XLOOKUP(G162,products!A:A,products!E:E)</f>
        <v>8.25</v>
      </c>
      <c r="Q162">
        <f t="shared" si="11"/>
        <v>33</v>
      </c>
      <c r="R162" t="str" cm="1">
        <f t="array" ref="R162">_xlfn.IFS(Q162&lt;=50,"low sales",Q162&lt;=100,"medium sales",Q162&gt;100,"High sales")</f>
        <v>low sales</v>
      </c>
    </row>
    <row r="163" spans="1:18" x14ac:dyDescent="0.35">
      <c r="A163" s="2" t="s">
        <v>1395</v>
      </c>
      <c r="B163" s="3">
        <v>44207</v>
      </c>
      <c r="C163" s="3" t="str">
        <f t="shared" si="8"/>
        <v>Monday</v>
      </c>
      <c r="D163" s="3" t="str">
        <f t="shared" si="9"/>
        <v>January</v>
      </c>
      <c r="E163" s="3" t="str">
        <f t="shared" si="10"/>
        <v>2021</v>
      </c>
      <c r="F163" s="2" t="s">
        <v>1396</v>
      </c>
      <c r="G163" t="s">
        <v>6180</v>
      </c>
      <c r="H163" s="2">
        <v>3</v>
      </c>
      <c r="I163" s="2" t="str">
        <f>_xlfn.XLOOKUP(F163,customers!A:A,customers!B:B)</f>
        <v>Leontine Rubrow</v>
      </c>
      <c r="J163" s="2" t="str">
        <f>_xlfn.XLOOKUP(F163,customers!A:A,customers!C:C)</f>
        <v>lrubrow4h@microsoft.com</v>
      </c>
      <c r="K163" s="2" t="str">
        <f>_xlfn.XLOOKUP(F163,customers!A:A,customers!F:F)</f>
        <v>Washington</v>
      </c>
      <c r="L163" s="2" t="str">
        <f>_xlfn.XLOOKUP(F163,customers!A:A,customers!G:G)</f>
        <v>United States</v>
      </c>
      <c r="M163" t="str">
        <f>_xlfn.XLOOKUP(G163,products!A:A,products!B:B)</f>
        <v>Ara</v>
      </c>
      <c r="N163" t="str">
        <f>_xlfn.XLOOKUP(G163,products!A:A,products!C:C)</f>
        <v>L</v>
      </c>
      <c r="O163">
        <f>_xlfn.XLOOKUP(G163,products!A:A,products!D:D)</f>
        <v>0.5</v>
      </c>
      <c r="P163">
        <f>_xlfn.XLOOKUP(G163,products!A:A,products!E:E)</f>
        <v>7.77</v>
      </c>
      <c r="Q163">
        <f t="shared" si="11"/>
        <v>23.31</v>
      </c>
      <c r="R163" t="str" cm="1">
        <f t="array" ref="R163">_xlfn.IFS(Q163&lt;=50,"low sales",Q163&lt;=100,"medium sales",Q163&gt;100,"High sales")</f>
        <v>low sales</v>
      </c>
    </row>
    <row r="164" spans="1:18" x14ac:dyDescent="0.35">
      <c r="A164" s="2" t="s">
        <v>1401</v>
      </c>
      <c r="B164" s="3">
        <v>44515</v>
      </c>
      <c r="C164" s="3" t="str">
        <f t="shared" si="8"/>
        <v>Monday</v>
      </c>
      <c r="D164" s="3" t="str">
        <f t="shared" si="9"/>
        <v>November</v>
      </c>
      <c r="E164" s="3" t="str">
        <f t="shared" si="10"/>
        <v>2021</v>
      </c>
      <c r="F164" s="2" t="s">
        <v>1402</v>
      </c>
      <c r="G164" t="s">
        <v>6144</v>
      </c>
      <c r="H164" s="2">
        <v>3</v>
      </c>
      <c r="I164" s="2" t="str">
        <f>_xlfn.XLOOKUP(F164,customers!A:A,customers!B:B)</f>
        <v>Dottie Tift</v>
      </c>
      <c r="J164" s="2" t="str">
        <f>_xlfn.XLOOKUP(F164,customers!A:A,customers!C:C)</f>
        <v>dtift4i@netvibes.com</v>
      </c>
      <c r="K164" s="2" t="str">
        <f>_xlfn.XLOOKUP(F164,customers!A:A,customers!F:F)</f>
        <v>Greensboro</v>
      </c>
      <c r="L164" s="2" t="str">
        <f>_xlfn.XLOOKUP(F164,customers!A:A,customers!G:G)</f>
        <v>United States</v>
      </c>
      <c r="M164" t="str">
        <f>_xlfn.XLOOKUP(G164,products!A:A,products!B:B)</f>
        <v>Exc</v>
      </c>
      <c r="N164" t="str">
        <f>_xlfn.XLOOKUP(G164,products!A:A,products!C:C)</f>
        <v>D</v>
      </c>
      <c r="O164">
        <f>_xlfn.XLOOKUP(G164,products!A:A,products!D:D)</f>
        <v>0.5</v>
      </c>
      <c r="P164">
        <f>_xlfn.XLOOKUP(G164,products!A:A,products!E:E)</f>
        <v>7.29</v>
      </c>
      <c r="Q164">
        <f t="shared" si="11"/>
        <v>21.87</v>
      </c>
      <c r="R164" t="str" cm="1">
        <f t="array" ref="R164">_xlfn.IFS(Q164&lt;=50,"low sales",Q164&lt;=100,"medium sales",Q164&gt;100,"High sales")</f>
        <v>low sales</v>
      </c>
    </row>
    <row r="165" spans="1:18" x14ac:dyDescent="0.35">
      <c r="A165" s="2" t="s">
        <v>1407</v>
      </c>
      <c r="B165" s="3">
        <v>43619</v>
      </c>
      <c r="C165" s="3" t="str">
        <f t="shared" si="8"/>
        <v>Monday</v>
      </c>
      <c r="D165" s="3" t="str">
        <f t="shared" si="9"/>
        <v>June</v>
      </c>
      <c r="E165" s="3" t="str">
        <f t="shared" si="10"/>
        <v>2019</v>
      </c>
      <c r="F165" s="2" t="s">
        <v>1408</v>
      </c>
      <c r="G165" t="s">
        <v>6163</v>
      </c>
      <c r="H165" s="2">
        <v>6</v>
      </c>
      <c r="I165" s="2" t="str">
        <f>_xlfn.XLOOKUP(F165,customers!A:A,customers!B:B)</f>
        <v>Gerardo Schonfeld</v>
      </c>
      <c r="J165" s="2" t="str">
        <f>_xlfn.XLOOKUP(F165,customers!A:A,customers!C:C)</f>
        <v>gschonfeld4j@oracle.com</v>
      </c>
      <c r="K165" s="2" t="str">
        <f>_xlfn.XLOOKUP(F165,customers!A:A,customers!F:F)</f>
        <v>Alexandria</v>
      </c>
      <c r="L165" s="2" t="str">
        <f>_xlfn.XLOOKUP(F165,customers!A:A,customers!G:G)</f>
        <v>United States</v>
      </c>
      <c r="M165" t="str">
        <f>_xlfn.XLOOKUP(G165,products!A:A,products!B:B)</f>
        <v>Rob</v>
      </c>
      <c r="N165" t="str">
        <f>_xlfn.XLOOKUP(G165,products!A:A,products!C:C)</f>
        <v>D</v>
      </c>
      <c r="O165">
        <f>_xlfn.XLOOKUP(G165,products!A:A,products!D:D)</f>
        <v>0.2</v>
      </c>
      <c r="P165">
        <f>_xlfn.XLOOKUP(G165,products!A:A,products!E:E)</f>
        <v>2.6849999999999996</v>
      </c>
      <c r="Q165">
        <f t="shared" si="11"/>
        <v>16.11</v>
      </c>
      <c r="R165" t="str" cm="1">
        <f t="array" ref="R165">_xlfn.IFS(Q165&lt;=50,"low sales",Q165&lt;=100,"medium sales",Q165&gt;100,"High sales")</f>
        <v>low sales</v>
      </c>
    </row>
    <row r="166" spans="1:18" x14ac:dyDescent="0.35">
      <c r="A166" s="2" t="s">
        <v>1413</v>
      </c>
      <c r="B166" s="3">
        <v>44182</v>
      </c>
      <c r="C166" s="3" t="str">
        <f t="shared" si="8"/>
        <v>Thursday</v>
      </c>
      <c r="D166" s="3" t="str">
        <f t="shared" si="9"/>
        <v>December</v>
      </c>
      <c r="E166" s="3" t="str">
        <f t="shared" si="10"/>
        <v>2020</v>
      </c>
      <c r="F166" s="2" t="s">
        <v>1414</v>
      </c>
      <c r="G166" t="s">
        <v>6144</v>
      </c>
      <c r="H166" s="2">
        <v>4</v>
      </c>
      <c r="I166" s="2" t="str">
        <f>_xlfn.XLOOKUP(F166,customers!A:A,customers!B:B)</f>
        <v>Claiborne Feye</v>
      </c>
      <c r="J166" s="2" t="str">
        <f>_xlfn.XLOOKUP(F166,customers!A:A,customers!C:C)</f>
        <v>cfeye4k@google.co.jp</v>
      </c>
      <c r="K166" s="2" t="str">
        <f>_xlfn.XLOOKUP(F166,customers!A:A,customers!F:F)</f>
        <v>Castlebridge</v>
      </c>
      <c r="L166" s="2" t="str">
        <f>_xlfn.XLOOKUP(F166,customers!A:A,customers!G:G)</f>
        <v>Ireland</v>
      </c>
      <c r="M166" t="str">
        <f>_xlfn.XLOOKUP(G166,products!A:A,products!B:B)</f>
        <v>Exc</v>
      </c>
      <c r="N166" t="str">
        <f>_xlfn.XLOOKUP(G166,products!A:A,products!C:C)</f>
        <v>D</v>
      </c>
      <c r="O166">
        <f>_xlfn.XLOOKUP(G166,products!A:A,products!D:D)</f>
        <v>0.5</v>
      </c>
      <c r="P166">
        <f>_xlfn.XLOOKUP(G166,products!A:A,products!E:E)</f>
        <v>7.29</v>
      </c>
      <c r="Q166">
        <f t="shared" si="11"/>
        <v>29.16</v>
      </c>
      <c r="R166" t="str" cm="1">
        <f t="array" ref="R166">_xlfn.IFS(Q166&lt;=50,"low sales",Q166&lt;=100,"medium sales",Q166&gt;100,"High sales")</f>
        <v>low sales</v>
      </c>
    </row>
    <row r="167" spans="1:18" x14ac:dyDescent="0.35">
      <c r="A167" s="2" t="s">
        <v>1420</v>
      </c>
      <c r="B167" s="3">
        <v>44234</v>
      </c>
      <c r="C167" s="3" t="str">
        <f t="shared" si="8"/>
        <v>Sunday</v>
      </c>
      <c r="D167" s="3" t="str">
        <f t="shared" si="9"/>
        <v>February</v>
      </c>
      <c r="E167" s="3" t="str">
        <f t="shared" si="10"/>
        <v>2021</v>
      </c>
      <c r="F167" s="2" t="s">
        <v>1421</v>
      </c>
      <c r="G167" t="s">
        <v>6177</v>
      </c>
      <c r="H167" s="2">
        <v>6</v>
      </c>
      <c r="I167" s="2" t="str">
        <f>_xlfn.XLOOKUP(F167,customers!A:A,customers!B:B)</f>
        <v>Mina Elstone</v>
      </c>
      <c r="J167" s="2">
        <f>_xlfn.XLOOKUP(F167,customers!A:A,customers!C:C)</f>
        <v>0</v>
      </c>
      <c r="K167" s="2" t="str">
        <f>_xlfn.XLOOKUP(F167,customers!A:A,customers!F:F)</f>
        <v>Racine</v>
      </c>
      <c r="L167" s="2" t="str">
        <f>_xlfn.XLOOKUP(F167,customers!A:A,customers!G:G)</f>
        <v>United States</v>
      </c>
      <c r="M167" t="str">
        <f>_xlfn.XLOOKUP(G167,products!A:A,products!B:B)</f>
        <v>Rob</v>
      </c>
      <c r="N167" t="str">
        <f>_xlfn.XLOOKUP(G167,products!A:A,products!C:C)</f>
        <v>D</v>
      </c>
      <c r="O167">
        <f>_xlfn.XLOOKUP(G167,products!A:A,products!D:D)</f>
        <v>1</v>
      </c>
      <c r="P167">
        <f>_xlfn.XLOOKUP(G167,products!A:A,products!E:E)</f>
        <v>8.9499999999999993</v>
      </c>
      <c r="Q167">
        <f t="shared" si="11"/>
        <v>53.699999999999996</v>
      </c>
      <c r="R167" t="str" cm="1">
        <f t="array" ref="R167">_xlfn.IFS(Q167&lt;=50,"low sales",Q167&lt;=100,"medium sales",Q167&gt;100,"High sales")</f>
        <v>medium sales</v>
      </c>
    </row>
    <row r="168" spans="1:18" x14ac:dyDescent="0.35">
      <c r="A168" s="2" t="s">
        <v>1425</v>
      </c>
      <c r="B168" s="3">
        <v>44270</v>
      </c>
      <c r="C168" s="3" t="str">
        <f t="shared" si="8"/>
        <v>Monday</v>
      </c>
      <c r="D168" s="3" t="str">
        <f t="shared" si="9"/>
        <v>March</v>
      </c>
      <c r="E168" s="3" t="str">
        <f t="shared" si="10"/>
        <v>2021</v>
      </c>
      <c r="F168" s="2" t="s">
        <v>1426</v>
      </c>
      <c r="G168" t="s">
        <v>6172</v>
      </c>
      <c r="H168" s="2">
        <v>5</v>
      </c>
      <c r="I168" s="2" t="str">
        <f>_xlfn.XLOOKUP(F168,customers!A:A,customers!B:B)</f>
        <v>Sherman Mewrcik</v>
      </c>
      <c r="J168" s="2">
        <f>_xlfn.XLOOKUP(F168,customers!A:A,customers!C:C)</f>
        <v>0</v>
      </c>
      <c r="K168" s="2" t="str">
        <f>_xlfn.XLOOKUP(F168,customers!A:A,customers!F:F)</f>
        <v>Clearwater</v>
      </c>
      <c r="L168" s="2" t="str">
        <f>_xlfn.XLOOKUP(F168,customers!A:A,customers!G:G)</f>
        <v>United States</v>
      </c>
      <c r="M168" t="str">
        <f>_xlfn.XLOOKUP(G168,products!A:A,products!B:B)</f>
        <v>Rob</v>
      </c>
      <c r="N168" t="str">
        <f>_xlfn.XLOOKUP(G168,products!A:A,products!C:C)</f>
        <v>D</v>
      </c>
      <c r="O168">
        <f>_xlfn.XLOOKUP(G168,products!A:A,products!D:D)</f>
        <v>0.5</v>
      </c>
      <c r="P168">
        <f>_xlfn.XLOOKUP(G168,products!A:A,products!E:E)</f>
        <v>5.3699999999999992</v>
      </c>
      <c r="Q168">
        <f t="shared" si="11"/>
        <v>26.849999999999994</v>
      </c>
      <c r="R168" t="str" cm="1">
        <f t="array" ref="R168">_xlfn.IFS(Q168&lt;=50,"low sales",Q168&lt;=100,"medium sales",Q168&gt;100,"High sales")</f>
        <v>low sales</v>
      </c>
    </row>
    <row r="169" spans="1:18" x14ac:dyDescent="0.35">
      <c r="A169" s="2" t="s">
        <v>1430</v>
      </c>
      <c r="B169" s="3">
        <v>44777</v>
      </c>
      <c r="C169" s="3" t="str">
        <f t="shared" si="8"/>
        <v>Thursday</v>
      </c>
      <c r="D169" s="3" t="str">
        <f t="shared" si="9"/>
        <v>August</v>
      </c>
      <c r="E169" s="3" t="str">
        <f t="shared" si="10"/>
        <v>2022</v>
      </c>
      <c r="F169" s="2" t="s">
        <v>1431</v>
      </c>
      <c r="G169" t="s">
        <v>6139</v>
      </c>
      <c r="H169" s="2">
        <v>5</v>
      </c>
      <c r="I169" s="2" t="str">
        <f>_xlfn.XLOOKUP(F169,customers!A:A,customers!B:B)</f>
        <v>Tamarah Fero</v>
      </c>
      <c r="J169" s="2" t="str">
        <f>_xlfn.XLOOKUP(F169,customers!A:A,customers!C:C)</f>
        <v>tfero4n@comsenz.com</v>
      </c>
      <c r="K169" s="2" t="str">
        <f>_xlfn.XLOOKUP(F169,customers!A:A,customers!F:F)</f>
        <v>Racine</v>
      </c>
      <c r="L169" s="2" t="str">
        <f>_xlfn.XLOOKUP(F169,customers!A:A,customers!G:G)</f>
        <v>United States</v>
      </c>
      <c r="M169" t="str">
        <f>_xlfn.XLOOKUP(G169,products!A:A,products!B:B)</f>
        <v>Exc</v>
      </c>
      <c r="N169" t="str">
        <f>_xlfn.XLOOKUP(G169,products!A:A,products!C:C)</f>
        <v>M</v>
      </c>
      <c r="O169">
        <f>_xlfn.XLOOKUP(G169,products!A:A,products!D:D)</f>
        <v>0.5</v>
      </c>
      <c r="P169">
        <f>_xlfn.XLOOKUP(G169,products!A:A,products!E:E)</f>
        <v>8.25</v>
      </c>
      <c r="Q169">
        <f t="shared" si="11"/>
        <v>41.25</v>
      </c>
      <c r="R169" t="str" cm="1">
        <f t="array" ref="R169">_xlfn.IFS(Q169&lt;=50,"low sales",Q169&lt;=100,"medium sales",Q169&gt;100,"High sales")</f>
        <v>low sales</v>
      </c>
    </row>
    <row r="170" spans="1:18" x14ac:dyDescent="0.35">
      <c r="A170" s="2" t="s">
        <v>1436</v>
      </c>
      <c r="B170" s="3">
        <v>43484</v>
      </c>
      <c r="C170" s="3" t="str">
        <f t="shared" si="8"/>
        <v>Saturday</v>
      </c>
      <c r="D170" s="3" t="str">
        <f t="shared" si="9"/>
        <v>January</v>
      </c>
      <c r="E170" s="3" t="str">
        <f t="shared" si="10"/>
        <v>2019</v>
      </c>
      <c r="F170" s="2" t="s">
        <v>1437</v>
      </c>
      <c r="G170" t="s">
        <v>6157</v>
      </c>
      <c r="H170" s="2">
        <v>6</v>
      </c>
      <c r="I170" s="2" t="str">
        <f>_xlfn.XLOOKUP(F170,customers!A:A,customers!B:B)</f>
        <v>Stanislaus Valsler</v>
      </c>
      <c r="J170" s="2">
        <f>_xlfn.XLOOKUP(F170,customers!A:A,customers!C:C)</f>
        <v>0</v>
      </c>
      <c r="K170" s="2" t="str">
        <f>_xlfn.XLOOKUP(F170,customers!A:A,customers!F:F)</f>
        <v>Castlebridge</v>
      </c>
      <c r="L170" s="2" t="str">
        <f>_xlfn.XLOOKUP(F170,customers!A:A,customers!G:G)</f>
        <v>Ireland</v>
      </c>
      <c r="M170" t="str">
        <f>_xlfn.XLOOKUP(G170,products!A:A,products!B:B)</f>
        <v>Ara</v>
      </c>
      <c r="N170" t="str">
        <f>_xlfn.XLOOKUP(G170,products!A:A,products!C:C)</f>
        <v>M</v>
      </c>
      <c r="O170">
        <f>_xlfn.XLOOKUP(G170,products!A:A,products!D:D)</f>
        <v>0.5</v>
      </c>
      <c r="P170">
        <f>_xlfn.XLOOKUP(G170,products!A:A,products!E:E)</f>
        <v>6.75</v>
      </c>
      <c r="Q170">
        <f t="shared" si="11"/>
        <v>40.5</v>
      </c>
      <c r="R170" t="str" cm="1">
        <f t="array" ref="R170">_xlfn.IFS(Q170&lt;=50,"low sales",Q170&lt;=100,"medium sales",Q170&gt;100,"High sales")</f>
        <v>low sales</v>
      </c>
    </row>
    <row r="171" spans="1:18" x14ac:dyDescent="0.35">
      <c r="A171" s="2" t="s">
        <v>1441</v>
      </c>
      <c r="B171" s="3">
        <v>44643</v>
      </c>
      <c r="C171" s="3" t="str">
        <f t="shared" si="8"/>
        <v>Wednesday</v>
      </c>
      <c r="D171" s="3" t="str">
        <f t="shared" si="9"/>
        <v>March</v>
      </c>
      <c r="E171" s="3" t="str">
        <f t="shared" si="10"/>
        <v>2022</v>
      </c>
      <c r="F171" s="2" t="s">
        <v>1442</v>
      </c>
      <c r="G171" t="s">
        <v>6177</v>
      </c>
      <c r="H171" s="2">
        <v>2</v>
      </c>
      <c r="I171" s="2" t="str">
        <f>_xlfn.XLOOKUP(F171,customers!A:A,customers!B:B)</f>
        <v>Felita Dauney</v>
      </c>
      <c r="J171" s="2" t="str">
        <f>_xlfn.XLOOKUP(F171,customers!A:A,customers!C:C)</f>
        <v>fdauney4p@sphinn.com</v>
      </c>
      <c r="K171" s="2" t="str">
        <f>_xlfn.XLOOKUP(F171,customers!A:A,customers!F:F)</f>
        <v>Castlebellingham</v>
      </c>
      <c r="L171" s="2" t="str">
        <f>_xlfn.XLOOKUP(F171,customers!A:A,customers!G:G)</f>
        <v>Ireland</v>
      </c>
      <c r="M171" t="str">
        <f>_xlfn.XLOOKUP(G171,products!A:A,products!B:B)</f>
        <v>Rob</v>
      </c>
      <c r="N171" t="str">
        <f>_xlfn.XLOOKUP(G171,products!A:A,products!C:C)</f>
        <v>D</v>
      </c>
      <c r="O171">
        <f>_xlfn.XLOOKUP(G171,products!A:A,products!D:D)</f>
        <v>1</v>
      </c>
      <c r="P171">
        <f>_xlfn.XLOOKUP(G171,products!A:A,products!E:E)</f>
        <v>8.9499999999999993</v>
      </c>
      <c r="Q171">
        <f t="shared" si="11"/>
        <v>17.899999999999999</v>
      </c>
      <c r="R171" t="str" cm="1">
        <f t="array" ref="R171">_xlfn.IFS(Q171&lt;=50,"low sales",Q171&lt;=100,"medium sales",Q171&gt;100,"High sales")</f>
        <v>low sales</v>
      </c>
    </row>
    <row r="172" spans="1:18" x14ac:dyDescent="0.35">
      <c r="A172" s="2" t="s">
        <v>1448</v>
      </c>
      <c r="B172" s="3">
        <v>44476</v>
      </c>
      <c r="C172" s="3" t="str">
        <f t="shared" si="8"/>
        <v>Thursday</v>
      </c>
      <c r="D172" s="3" t="str">
        <f t="shared" si="9"/>
        <v>October</v>
      </c>
      <c r="E172" s="3" t="str">
        <f t="shared" si="10"/>
        <v>2021</v>
      </c>
      <c r="F172" s="2" t="s">
        <v>1449</v>
      </c>
      <c r="G172" t="s">
        <v>6148</v>
      </c>
      <c r="H172" s="2">
        <v>2</v>
      </c>
      <c r="I172" s="2" t="str">
        <f>_xlfn.XLOOKUP(F172,customers!A:A,customers!B:B)</f>
        <v>Serena Earley</v>
      </c>
      <c r="J172" s="2" t="str">
        <f>_xlfn.XLOOKUP(F172,customers!A:A,customers!C:C)</f>
        <v>searley4q@youku.com</v>
      </c>
      <c r="K172" s="2" t="str">
        <f>_xlfn.XLOOKUP(F172,customers!A:A,customers!F:F)</f>
        <v>Craigavon</v>
      </c>
      <c r="L172" s="2" t="str">
        <f>_xlfn.XLOOKUP(F172,customers!A:A,customers!G:G)</f>
        <v>United Kingdom</v>
      </c>
      <c r="M172" t="str">
        <f>_xlfn.XLOOKUP(G172,products!A:A,products!B:B)</f>
        <v>Exc</v>
      </c>
      <c r="N172" t="str">
        <f>_xlfn.XLOOKUP(G172,products!A:A,products!C:C)</f>
        <v>L</v>
      </c>
      <c r="O172">
        <f>_xlfn.XLOOKUP(G172,products!A:A,products!D:D)</f>
        <v>2.5</v>
      </c>
      <c r="P172">
        <f>_xlfn.XLOOKUP(G172,products!A:A,products!E:E)</f>
        <v>34.154999999999994</v>
      </c>
      <c r="Q172">
        <f t="shared" si="11"/>
        <v>68.309999999999988</v>
      </c>
      <c r="R172" t="str" cm="1">
        <f t="array" ref="R172">_xlfn.IFS(Q172&lt;=50,"low sales",Q172&lt;=100,"medium sales",Q172&gt;100,"High sales")</f>
        <v>medium sales</v>
      </c>
    </row>
    <row r="173" spans="1:18" x14ac:dyDescent="0.35">
      <c r="A173" s="2" t="s">
        <v>1453</v>
      </c>
      <c r="B173" s="3">
        <v>43544</v>
      </c>
      <c r="C173" s="3" t="str">
        <f t="shared" si="8"/>
        <v>Wednesday</v>
      </c>
      <c r="D173" s="3" t="str">
        <f t="shared" si="9"/>
        <v>March</v>
      </c>
      <c r="E173" s="3" t="str">
        <f t="shared" si="10"/>
        <v>2019</v>
      </c>
      <c r="F173" s="2" t="s">
        <v>1454</v>
      </c>
      <c r="G173" t="s">
        <v>6166</v>
      </c>
      <c r="H173" s="2">
        <v>2</v>
      </c>
      <c r="I173" s="2" t="str">
        <f>_xlfn.XLOOKUP(F173,customers!A:A,customers!B:B)</f>
        <v>Minny Chamberlayne</v>
      </c>
      <c r="J173" s="2" t="str">
        <f>_xlfn.XLOOKUP(F173,customers!A:A,customers!C:C)</f>
        <v>mchamberlayne4r@bigcartel.com</v>
      </c>
      <c r="K173" s="2" t="str">
        <f>_xlfn.XLOOKUP(F173,customers!A:A,customers!F:F)</f>
        <v>Tampa</v>
      </c>
      <c r="L173" s="2" t="str">
        <f>_xlfn.XLOOKUP(F173,customers!A:A,customers!G:G)</f>
        <v>United States</v>
      </c>
      <c r="M173" t="str">
        <f>_xlfn.XLOOKUP(G173,products!A:A,products!B:B)</f>
        <v>Exc</v>
      </c>
      <c r="N173" t="str">
        <f>_xlfn.XLOOKUP(G173,products!A:A,products!C:C)</f>
        <v>M</v>
      </c>
      <c r="O173">
        <f>_xlfn.XLOOKUP(G173,products!A:A,products!D:D)</f>
        <v>2.5</v>
      </c>
      <c r="P173">
        <f>_xlfn.XLOOKUP(G173,products!A:A,products!E:E)</f>
        <v>31.624999999999996</v>
      </c>
      <c r="Q173">
        <f t="shared" si="11"/>
        <v>63.249999999999993</v>
      </c>
      <c r="R173" t="str" cm="1">
        <f t="array" ref="R173">_xlfn.IFS(Q173&lt;=50,"low sales",Q173&lt;=100,"medium sales",Q173&gt;100,"High sales")</f>
        <v>medium sales</v>
      </c>
    </row>
    <row r="174" spans="1:18" x14ac:dyDescent="0.35">
      <c r="A174" s="2" t="s">
        <v>1459</v>
      </c>
      <c r="B174" s="3">
        <v>44545</v>
      </c>
      <c r="C174" s="3" t="str">
        <f t="shared" si="8"/>
        <v>Wednesday</v>
      </c>
      <c r="D174" s="3" t="str">
        <f t="shared" si="9"/>
        <v>December</v>
      </c>
      <c r="E174" s="3" t="str">
        <f t="shared" si="10"/>
        <v>2021</v>
      </c>
      <c r="F174" s="2" t="s">
        <v>1460</v>
      </c>
      <c r="G174" t="s">
        <v>6144</v>
      </c>
      <c r="H174" s="2">
        <v>3</v>
      </c>
      <c r="I174" s="2" t="str">
        <f>_xlfn.XLOOKUP(F174,customers!A:A,customers!B:B)</f>
        <v>Bartholemy Flaherty</v>
      </c>
      <c r="J174" s="2" t="str">
        <f>_xlfn.XLOOKUP(F174,customers!A:A,customers!C:C)</f>
        <v>bflaherty4s@moonfruit.com</v>
      </c>
      <c r="K174" s="2" t="str">
        <f>_xlfn.XLOOKUP(F174,customers!A:A,customers!F:F)</f>
        <v>Eadestown</v>
      </c>
      <c r="L174" s="2" t="str">
        <f>_xlfn.XLOOKUP(F174,customers!A:A,customers!G:G)</f>
        <v>Ireland</v>
      </c>
      <c r="M174" t="str">
        <f>_xlfn.XLOOKUP(G174,products!A:A,products!B:B)</f>
        <v>Exc</v>
      </c>
      <c r="N174" t="str">
        <f>_xlfn.XLOOKUP(G174,products!A:A,products!C:C)</f>
        <v>D</v>
      </c>
      <c r="O174">
        <f>_xlfn.XLOOKUP(G174,products!A:A,products!D:D)</f>
        <v>0.5</v>
      </c>
      <c r="P174">
        <f>_xlfn.XLOOKUP(G174,products!A:A,products!E:E)</f>
        <v>7.29</v>
      </c>
      <c r="Q174">
        <f t="shared" si="11"/>
        <v>21.87</v>
      </c>
      <c r="R174" t="str" cm="1">
        <f t="array" ref="R174">_xlfn.IFS(Q174&lt;=50,"low sales",Q174&lt;=100,"medium sales",Q174&gt;100,"High sales")</f>
        <v>low sales</v>
      </c>
    </row>
    <row r="175" spans="1:18" x14ac:dyDescent="0.35">
      <c r="A175" s="2" t="s">
        <v>1464</v>
      </c>
      <c r="B175" s="3">
        <v>44720</v>
      </c>
      <c r="C175" s="3" t="str">
        <f t="shared" si="8"/>
        <v>Wednesday</v>
      </c>
      <c r="D175" s="3" t="str">
        <f t="shared" si="9"/>
        <v>June</v>
      </c>
      <c r="E175" s="3" t="str">
        <f t="shared" si="10"/>
        <v>2022</v>
      </c>
      <c r="F175" s="2" t="s">
        <v>1465</v>
      </c>
      <c r="G175" t="s">
        <v>6151</v>
      </c>
      <c r="H175" s="2">
        <v>4</v>
      </c>
      <c r="I175" s="2" t="str">
        <f>_xlfn.XLOOKUP(F175,customers!A:A,customers!B:B)</f>
        <v>Oran Colbeck</v>
      </c>
      <c r="J175" s="2" t="str">
        <f>_xlfn.XLOOKUP(F175,customers!A:A,customers!C:C)</f>
        <v>ocolbeck4t@sina.com.cn</v>
      </c>
      <c r="K175" s="2" t="str">
        <f>_xlfn.XLOOKUP(F175,customers!A:A,customers!F:F)</f>
        <v>Montgomery</v>
      </c>
      <c r="L175" s="2" t="str">
        <f>_xlfn.XLOOKUP(F175,customers!A:A,customers!G:G)</f>
        <v>United States</v>
      </c>
      <c r="M175" t="str">
        <f>_xlfn.XLOOKUP(G175,products!A:A,products!B:B)</f>
        <v>Rob</v>
      </c>
      <c r="N175" t="str">
        <f>_xlfn.XLOOKUP(G175,products!A:A,products!C:C)</f>
        <v>M</v>
      </c>
      <c r="O175">
        <f>_xlfn.XLOOKUP(G175,products!A:A,products!D:D)</f>
        <v>2.5</v>
      </c>
      <c r="P175">
        <f>_xlfn.XLOOKUP(G175,products!A:A,products!E:E)</f>
        <v>22.884999999999998</v>
      </c>
      <c r="Q175">
        <f t="shared" si="11"/>
        <v>91.539999999999992</v>
      </c>
      <c r="R175" t="str" cm="1">
        <f t="array" ref="R175">_xlfn.IFS(Q175&lt;=50,"low sales",Q175&lt;=100,"medium sales",Q175&gt;100,"High sales")</f>
        <v>medium sales</v>
      </c>
    </row>
    <row r="176" spans="1:18" x14ac:dyDescent="0.35">
      <c r="A176" s="2" t="s">
        <v>1470</v>
      </c>
      <c r="B176" s="3">
        <v>43813</v>
      </c>
      <c r="C176" s="3" t="str">
        <f t="shared" si="8"/>
        <v>Saturday</v>
      </c>
      <c r="D176" s="3" t="str">
        <f t="shared" si="9"/>
        <v>December</v>
      </c>
      <c r="E176" s="3" t="str">
        <f t="shared" si="10"/>
        <v>2019</v>
      </c>
      <c r="F176" s="2" t="s">
        <v>1471</v>
      </c>
      <c r="G176" t="s">
        <v>6148</v>
      </c>
      <c r="H176" s="2">
        <v>6</v>
      </c>
      <c r="I176" s="2" t="str">
        <f>_xlfn.XLOOKUP(F176,customers!A:A,customers!B:B)</f>
        <v>Elysee Sketch</v>
      </c>
      <c r="J176" s="2">
        <f>_xlfn.XLOOKUP(F176,customers!A:A,customers!C:C)</f>
        <v>0</v>
      </c>
      <c r="K176" s="2" t="str">
        <f>_xlfn.XLOOKUP(F176,customers!A:A,customers!F:F)</f>
        <v>Sparks</v>
      </c>
      <c r="L176" s="2" t="str">
        <f>_xlfn.XLOOKUP(F176,customers!A:A,customers!G:G)</f>
        <v>United States</v>
      </c>
      <c r="M176" t="str">
        <f>_xlfn.XLOOKUP(G176,products!A:A,products!B:B)</f>
        <v>Exc</v>
      </c>
      <c r="N176" t="str">
        <f>_xlfn.XLOOKUP(G176,products!A:A,products!C:C)</f>
        <v>L</v>
      </c>
      <c r="O176">
        <f>_xlfn.XLOOKUP(G176,products!A:A,products!D:D)</f>
        <v>2.5</v>
      </c>
      <c r="P176">
        <f>_xlfn.XLOOKUP(G176,products!A:A,products!E:E)</f>
        <v>34.154999999999994</v>
      </c>
      <c r="Q176">
        <f t="shared" si="11"/>
        <v>204.92999999999995</v>
      </c>
      <c r="R176" t="str" cm="1">
        <f t="array" ref="R176">_xlfn.IFS(Q176&lt;=50,"low sales",Q176&lt;=100,"medium sales",Q176&gt;100,"High sales")</f>
        <v>High sales</v>
      </c>
    </row>
    <row r="177" spans="1:18" x14ac:dyDescent="0.35">
      <c r="A177" s="2" t="s">
        <v>1475</v>
      </c>
      <c r="B177" s="3">
        <v>44296</v>
      </c>
      <c r="C177" s="3" t="str">
        <f t="shared" si="8"/>
        <v>Saturday</v>
      </c>
      <c r="D177" s="3" t="str">
        <f t="shared" si="9"/>
        <v>April</v>
      </c>
      <c r="E177" s="3" t="str">
        <f t="shared" si="10"/>
        <v>2021</v>
      </c>
      <c r="F177" s="2" t="s">
        <v>1476</v>
      </c>
      <c r="G177" t="s">
        <v>6166</v>
      </c>
      <c r="H177" s="2">
        <v>2</v>
      </c>
      <c r="I177" s="2" t="str">
        <f>_xlfn.XLOOKUP(F177,customers!A:A,customers!B:B)</f>
        <v>Ethelda Hobbing</v>
      </c>
      <c r="J177" s="2" t="str">
        <f>_xlfn.XLOOKUP(F177,customers!A:A,customers!C:C)</f>
        <v>ehobbing4v@nsw.gov.au</v>
      </c>
      <c r="K177" s="2" t="str">
        <f>_xlfn.XLOOKUP(F177,customers!A:A,customers!F:F)</f>
        <v>Macon</v>
      </c>
      <c r="L177" s="2" t="str">
        <f>_xlfn.XLOOKUP(F177,customers!A:A,customers!G:G)</f>
        <v>United States</v>
      </c>
      <c r="M177" t="str">
        <f>_xlfn.XLOOKUP(G177,products!A:A,products!B:B)</f>
        <v>Exc</v>
      </c>
      <c r="N177" t="str">
        <f>_xlfn.XLOOKUP(G177,products!A:A,products!C:C)</f>
        <v>M</v>
      </c>
      <c r="O177">
        <f>_xlfn.XLOOKUP(G177,products!A:A,products!D:D)</f>
        <v>2.5</v>
      </c>
      <c r="P177">
        <f>_xlfn.XLOOKUP(G177,products!A:A,products!E:E)</f>
        <v>31.624999999999996</v>
      </c>
      <c r="Q177">
        <f t="shared" si="11"/>
        <v>63.249999999999993</v>
      </c>
      <c r="R177" t="str" cm="1">
        <f t="array" ref="R177">_xlfn.IFS(Q177&lt;=50,"low sales",Q177&lt;=100,"medium sales",Q177&gt;100,"High sales")</f>
        <v>medium sales</v>
      </c>
    </row>
    <row r="178" spans="1:18" x14ac:dyDescent="0.35">
      <c r="A178" s="2" t="s">
        <v>1481</v>
      </c>
      <c r="B178" s="3">
        <v>43900</v>
      </c>
      <c r="C178" s="3" t="str">
        <f t="shared" si="8"/>
        <v>Tuesday</v>
      </c>
      <c r="D178" s="3" t="str">
        <f t="shared" si="9"/>
        <v>March</v>
      </c>
      <c r="E178" s="3" t="str">
        <f t="shared" si="10"/>
        <v>2020</v>
      </c>
      <c r="F178" s="2" t="s">
        <v>1482</v>
      </c>
      <c r="G178" t="s">
        <v>6148</v>
      </c>
      <c r="H178" s="2">
        <v>1</v>
      </c>
      <c r="I178" s="2" t="str">
        <f>_xlfn.XLOOKUP(F178,customers!A:A,customers!B:B)</f>
        <v>Odille Thynne</v>
      </c>
      <c r="J178" s="2" t="str">
        <f>_xlfn.XLOOKUP(F178,customers!A:A,customers!C:C)</f>
        <v>othynne4w@auda.org.au</v>
      </c>
      <c r="K178" s="2" t="str">
        <f>_xlfn.XLOOKUP(F178,customers!A:A,customers!F:F)</f>
        <v>Whittier</v>
      </c>
      <c r="L178" s="2" t="str">
        <f>_xlfn.XLOOKUP(F178,customers!A:A,customers!G:G)</f>
        <v>United States</v>
      </c>
      <c r="M178" t="str">
        <f>_xlfn.XLOOKUP(G178,products!A:A,products!B:B)</f>
        <v>Exc</v>
      </c>
      <c r="N178" t="str">
        <f>_xlfn.XLOOKUP(G178,products!A:A,products!C:C)</f>
        <v>L</v>
      </c>
      <c r="O178">
        <f>_xlfn.XLOOKUP(G178,products!A:A,products!D:D)</f>
        <v>2.5</v>
      </c>
      <c r="P178">
        <f>_xlfn.XLOOKUP(G178,products!A:A,products!E:E)</f>
        <v>34.154999999999994</v>
      </c>
      <c r="Q178">
        <f t="shared" si="11"/>
        <v>34.154999999999994</v>
      </c>
      <c r="R178" t="str" cm="1">
        <f t="array" ref="R178">_xlfn.IFS(Q178&lt;=50,"low sales",Q178&lt;=100,"medium sales",Q178&gt;100,"High sales")</f>
        <v>low sales</v>
      </c>
    </row>
    <row r="179" spans="1:18" x14ac:dyDescent="0.35">
      <c r="A179" s="2" t="s">
        <v>1487</v>
      </c>
      <c r="B179" s="3">
        <v>44120</v>
      </c>
      <c r="C179" s="3" t="str">
        <f t="shared" si="8"/>
        <v>Friday</v>
      </c>
      <c r="D179" s="3" t="str">
        <f t="shared" si="9"/>
        <v>October</v>
      </c>
      <c r="E179" s="3" t="str">
        <f t="shared" si="10"/>
        <v>2020</v>
      </c>
      <c r="F179" s="2" t="s">
        <v>1488</v>
      </c>
      <c r="G179" t="s">
        <v>6142</v>
      </c>
      <c r="H179" s="2">
        <v>4</v>
      </c>
      <c r="I179" s="2" t="str">
        <f>_xlfn.XLOOKUP(F179,customers!A:A,customers!B:B)</f>
        <v>Emlynne Heining</v>
      </c>
      <c r="J179" s="2" t="str">
        <f>_xlfn.XLOOKUP(F179,customers!A:A,customers!C:C)</f>
        <v>eheining4x@flickr.com</v>
      </c>
      <c r="K179" s="2" t="str">
        <f>_xlfn.XLOOKUP(F179,customers!A:A,customers!F:F)</f>
        <v>Johnson City</v>
      </c>
      <c r="L179" s="2" t="str">
        <f>_xlfn.XLOOKUP(F179,customers!A:A,customers!G:G)</f>
        <v>United States</v>
      </c>
      <c r="M179" t="str">
        <f>_xlfn.XLOOKUP(G179,products!A:A,products!B:B)</f>
        <v>Rob</v>
      </c>
      <c r="N179" t="str">
        <f>_xlfn.XLOOKUP(G179,products!A:A,products!C:C)</f>
        <v>L</v>
      </c>
      <c r="O179">
        <f>_xlfn.XLOOKUP(G179,products!A:A,products!D:D)</f>
        <v>2.5</v>
      </c>
      <c r="P179">
        <f>_xlfn.XLOOKUP(G179,products!A:A,products!E:E)</f>
        <v>27.484999999999996</v>
      </c>
      <c r="Q179">
        <f t="shared" si="11"/>
        <v>109.93999999999998</v>
      </c>
      <c r="R179" t="str" cm="1">
        <f t="array" ref="R179">_xlfn.IFS(Q179&lt;=50,"low sales",Q179&lt;=100,"medium sales",Q179&gt;100,"High sales")</f>
        <v>High sales</v>
      </c>
    </row>
    <row r="180" spans="1:18" x14ac:dyDescent="0.35">
      <c r="A180" s="2" t="s">
        <v>1492</v>
      </c>
      <c r="B180" s="3">
        <v>43746</v>
      </c>
      <c r="C180" s="3" t="str">
        <f t="shared" si="8"/>
        <v>Tuesday</v>
      </c>
      <c r="D180" s="3" t="str">
        <f t="shared" si="9"/>
        <v>October</v>
      </c>
      <c r="E180" s="3" t="str">
        <f t="shared" si="10"/>
        <v>2019</v>
      </c>
      <c r="F180" s="2" t="s">
        <v>1493</v>
      </c>
      <c r="G180" t="s">
        <v>6140</v>
      </c>
      <c r="H180" s="2">
        <v>2</v>
      </c>
      <c r="I180" s="2" t="str">
        <f>_xlfn.XLOOKUP(F180,customers!A:A,customers!B:B)</f>
        <v>Katerina Melloi</v>
      </c>
      <c r="J180" s="2" t="str">
        <f>_xlfn.XLOOKUP(F180,customers!A:A,customers!C:C)</f>
        <v>kmelloi4y@imdb.com</v>
      </c>
      <c r="K180" s="2" t="str">
        <f>_xlfn.XLOOKUP(F180,customers!A:A,customers!F:F)</f>
        <v>Rochester</v>
      </c>
      <c r="L180" s="2" t="str">
        <f>_xlfn.XLOOKUP(F180,customers!A:A,customers!G:G)</f>
        <v>United States</v>
      </c>
      <c r="M180" t="str">
        <f>_xlfn.XLOOKUP(G180,products!A:A,products!B:B)</f>
        <v>Ara</v>
      </c>
      <c r="N180" t="str">
        <f>_xlfn.XLOOKUP(G180,products!A:A,products!C:C)</f>
        <v>L</v>
      </c>
      <c r="O180">
        <f>_xlfn.XLOOKUP(G180,products!A:A,products!D:D)</f>
        <v>1</v>
      </c>
      <c r="P180">
        <f>_xlfn.XLOOKUP(G180,products!A:A,products!E:E)</f>
        <v>12.95</v>
      </c>
      <c r="Q180">
        <f t="shared" si="11"/>
        <v>25.9</v>
      </c>
      <c r="R180" t="str" cm="1">
        <f t="array" ref="R180">_xlfn.IFS(Q180&lt;=50,"low sales",Q180&lt;=100,"medium sales",Q180&gt;100,"High sales")</f>
        <v>low sales</v>
      </c>
    </row>
    <row r="181" spans="1:18" x14ac:dyDescent="0.35">
      <c r="A181" s="2" t="s">
        <v>1498</v>
      </c>
      <c r="B181" s="3">
        <v>43830</v>
      </c>
      <c r="C181" s="3" t="str">
        <f t="shared" si="8"/>
        <v>Tuesday</v>
      </c>
      <c r="D181" s="3" t="str">
        <f t="shared" si="9"/>
        <v>December</v>
      </c>
      <c r="E181" s="3" t="str">
        <f t="shared" si="10"/>
        <v>2019</v>
      </c>
      <c r="F181" s="2" t="s">
        <v>1499</v>
      </c>
      <c r="G181" t="s">
        <v>6154</v>
      </c>
      <c r="H181" s="2">
        <v>1</v>
      </c>
      <c r="I181" s="2" t="str">
        <f>_xlfn.XLOOKUP(F181,customers!A:A,customers!B:B)</f>
        <v>Tiffany Scardafield</v>
      </c>
      <c r="J181" s="2">
        <f>_xlfn.XLOOKUP(F181,customers!A:A,customers!C:C)</f>
        <v>0</v>
      </c>
      <c r="K181" s="2" t="str">
        <f>_xlfn.XLOOKUP(F181,customers!A:A,customers!F:F)</f>
        <v>Portarlington</v>
      </c>
      <c r="L181" s="2" t="str">
        <f>_xlfn.XLOOKUP(F181,customers!A:A,customers!G:G)</f>
        <v>Ireland</v>
      </c>
      <c r="M181" t="str">
        <f>_xlfn.XLOOKUP(G181,products!A:A,products!B:B)</f>
        <v>Ara</v>
      </c>
      <c r="N181" t="str">
        <f>_xlfn.XLOOKUP(G181,products!A:A,products!C:C)</f>
        <v>D</v>
      </c>
      <c r="O181">
        <f>_xlfn.XLOOKUP(G181,products!A:A,products!D:D)</f>
        <v>0.2</v>
      </c>
      <c r="P181">
        <f>_xlfn.XLOOKUP(G181,products!A:A,products!E:E)</f>
        <v>2.9849999999999999</v>
      </c>
      <c r="Q181">
        <f t="shared" si="11"/>
        <v>2.9849999999999999</v>
      </c>
      <c r="R181" t="str" cm="1">
        <f t="array" ref="R181">_xlfn.IFS(Q181&lt;=50,"low sales",Q181&lt;=100,"medium sales",Q181&gt;100,"High sales")</f>
        <v>low sales</v>
      </c>
    </row>
    <row r="182" spans="1:18" x14ac:dyDescent="0.35">
      <c r="A182" s="2" t="s">
        <v>1503</v>
      </c>
      <c r="B182" s="3">
        <v>43910</v>
      </c>
      <c r="C182" s="3" t="str">
        <f t="shared" si="8"/>
        <v>Friday</v>
      </c>
      <c r="D182" s="3" t="str">
        <f t="shared" si="9"/>
        <v>March</v>
      </c>
      <c r="E182" s="3" t="str">
        <f t="shared" si="10"/>
        <v>2020</v>
      </c>
      <c r="F182" s="2" t="s">
        <v>1504</v>
      </c>
      <c r="G182" t="s">
        <v>6184</v>
      </c>
      <c r="H182" s="2">
        <v>5</v>
      </c>
      <c r="I182" s="2" t="str">
        <f>_xlfn.XLOOKUP(F182,customers!A:A,customers!B:B)</f>
        <v>Abrahan Mussen</v>
      </c>
      <c r="J182" s="2" t="str">
        <f>_xlfn.XLOOKUP(F182,customers!A:A,customers!C:C)</f>
        <v>amussen50@51.la</v>
      </c>
      <c r="K182" s="2" t="str">
        <f>_xlfn.XLOOKUP(F182,customers!A:A,customers!F:F)</f>
        <v>Brooklyn</v>
      </c>
      <c r="L182" s="2" t="str">
        <f>_xlfn.XLOOKUP(F182,customers!A:A,customers!G:G)</f>
        <v>United States</v>
      </c>
      <c r="M182" t="str">
        <f>_xlfn.XLOOKUP(G182,products!A:A,products!B:B)</f>
        <v>Exc</v>
      </c>
      <c r="N182" t="str">
        <f>_xlfn.XLOOKUP(G182,products!A:A,products!C:C)</f>
        <v>L</v>
      </c>
      <c r="O182">
        <f>_xlfn.XLOOKUP(G182,products!A:A,products!D:D)</f>
        <v>0.2</v>
      </c>
      <c r="P182">
        <f>_xlfn.XLOOKUP(G182,products!A:A,products!E:E)</f>
        <v>4.4550000000000001</v>
      </c>
      <c r="Q182">
        <f t="shared" si="11"/>
        <v>22.274999999999999</v>
      </c>
      <c r="R182" t="str" cm="1">
        <f t="array" ref="R182">_xlfn.IFS(Q182&lt;=50,"low sales",Q182&lt;=100,"medium sales",Q182&gt;100,"High sales")</f>
        <v>low sales</v>
      </c>
    </row>
    <row r="183" spans="1:18" x14ac:dyDescent="0.35">
      <c r="A183" s="2" t="s">
        <v>1503</v>
      </c>
      <c r="B183" s="3">
        <v>43910</v>
      </c>
      <c r="C183" s="3" t="str">
        <f t="shared" si="8"/>
        <v>Friday</v>
      </c>
      <c r="D183" s="3" t="str">
        <f t="shared" si="9"/>
        <v>March</v>
      </c>
      <c r="E183" s="3" t="str">
        <f t="shared" si="10"/>
        <v>2020</v>
      </c>
      <c r="F183" s="2" t="s">
        <v>1504</v>
      </c>
      <c r="G183" t="s">
        <v>6158</v>
      </c>
      <c r="H183" s="2">
        <v>5</v>
      </c>
      <c r="I183" s="2" t="str">
        <f>_xlfn.XLOOKUP(F183,customers!A:A,customers!B:B)</f>
        <v>Abrahan Mussen</v>
      </c>
      <c r="J183" s="2" t="str">
        <f>_xlfn.XLOOKUP(F183,customers!A:A,customers!C:C)</f>
        <v>amussen50@51.la</v>
      </c>
      <c r="K183" s="2" t="str">
        <f>_xlfn.XLOOKUP(F183,customers!A:A,customers!F:F)</f>
        <v>Brooklyn</v>
      </c>
      <c r="L183" s="2" t="str">
        <f>_xlfn.XLOOKUP(F183,customers!A:A,customers!G:G)</f>
        <v>United States</v>
      </c>
      <c r="M183" t="str">
        <f>_xlfn.XLOOKUP(G183,products!A:A,products!B:B)</f>
        <v>Ara</v>
      </c>
      <c r="N183" t="str">
        <f>_xlfn.XLOOKUP(G183,products!A:A,products!C:C)</f>
        <v>D</v>
      </c>
      <c r="O183">
        <f>_xlfn.XLOOKUP(G183,products!A:A,products!D:D)</f>
        <v>0.5</v>
      </c>
      <c r="P183">
        <f>_xlfn.XLOOKUP(G183,products!A:A,products!E:E)</f>
        <v>5.97</v>
      </c>
      <c r="Q183">
        <f t="shared" si="11"/>
        <v>29.849999999999998</v>
      </c>
      <c r="R183" t="str" cm="1">
        <f t="array" ref="R183">_xlfn.IFS(Q183&lt;=50,"low sales",Q183&lt;=100,"medium sales",Q183&gt;100,"High sales")</f>
        <v>low sales</v>
      </c>
    </row>
    <row r="184" spans="1:18" x14ac:dyDescent="0.35">
      <c r="A184" s="2" t="s">
        <v>1514</v>
      </c>
      <c r="B184" s="3">
        <v>44284</v>
      </c>
      <c r="C184" s="3" t="str">
        <f t="shared" si="8"/>
        <v>Monday</v>
      </c>
      <c r="D184" s="3" t="str">
        <f t="shared" si="9"/>
        <v>March</v>
      </c>
      <c r="E184" s="3" t="str">
        <f t="shared" si="10"/>
        <v>2021</v>
      </c>
      <c r="F184" s="2" t="s">
        <v>1515</v>
      </c>
      <c r="G184" t="s">
        <v>6172</v>
      </c>
      <c r="H184" s="2">
        <v>6</v>
      </c>
      <c r="I184" s="2" t="str">
        <f>_xlfn.XLOOKUP(F184,customers!A:A,customers!B:B)</f>
        <v>Anny Mundford</v>
      </c>
      <c r="J184" s="2" t="str">
        <f>_xlfn.XLOOKUP(F184,customers!A:A,customers!C:C)</f>
        <v>amundford52@nbcnews.com</v>
      </c>
      <c r="K184" s="2" t="str">
        <f>_xlfn.XLOOKUP(F184,customers!A:A,customers!F:F)</f>
        <v>Charlottesville</v>
      </c>
      <c r="L184" s="2" t="str">
        <f>_xlfn.XLOOKUP(F184,customers!A:A,customers!G:G)</f>
        <v>United States</v>
      </c>
      <c r="M184" t="str">
        <f>_xlfn.XLOOKUP(G184,products!A:A,products!B:B)</f>
        <v>Rob</v>
      </c>
      <c r="N184" t="str">
        <f>_xlfn.XLOOKUP(G184,products!A:A,products!C:C)</f>
        <v>D</v>
      </c>
      <c r="O184">
        <f>_xlfn.XLOOKUP(G184,products!A:A,products!D:D)</f>
        <v>0.5</v>
      </c>
      <c r="P184">
        <f>_xlfn.XLOOKUP(G184,products!A:A,products!E:E)</f>
        <v>5.3699999999999992</v>
      </c>
      <c r="Q184">
        <f t="shared" si="11"/>
        <v>32.22</v>
      </c>
      <c r="R184" t="str" cm="1">
        <f t="array" ref="R184">_xlfn.IFS(Q184&lt;=50,"low sales",Q184&lt;=100,"medium sales",Q184&gt;100,"High sales")</f>
        <v>low sales</v>
      </c>
    </row>
    <row r="185" spans="1:18" x14ac:dyDescent="0.35">
      <c r="A185" s="2" t="s">
        <v>1520</v>
      </c>
      <c r="B185" s="3">
        <v>44512</v>
      </c>
      <c r="C185" s="3" t="str">
        <f t="shared" si="8"/>
        <v>Friday</v>
      </c>
      <c r="D185" s="3" t="str">
        <f t="shared" si="9"/>
        <v>November</v>
      </c>
      <c r="E185" s="3" t="str">
        <f t="shared" si="10"/>
        <v>2021</v>
      </c>
      <c r="F185" s="2" t="s">
        <v>1521</v>
      </c>
      <c r="G185" t="s">
        <v>6156</v>
      </c>
      <c r="H185" s="2">
        <v>2</v>
      </c>
      <c r="I185" s="2" t="str">
        <f>_xlfn.XLOOKUP(F185,customers!A:A,customers!B:B)</f>
        <v>Tory Walas</v>
      </c>
      <c r="J185" s="2" t="str">
        <f>_xlfn.XLOOKUP(F185,customers!A:A,customers!C:C)</f>
        <v>twalas53@google.ca</v>
      </c>
      <c r="K185" s="2" t="str">
        <f>_xlfn.XLOOKUP(F185,customers!A:A,customers!F:F)</f>
        <v>Garland</v>
      </c>
      <c r="L185" s="2" t="str">
        <f>_xlfn.XLOOKUP(F185,customers!A:A,customers!G:G)</f>
        <v>United States</v>
      </c>
      <c r="M185" t="str">
        <f>_xlfn.XLOOKUP(G185,products!A:A,products!B:B)</f>
        <v>Exc</v>
      </c>
      <c r="N185" t="str">
        <f>_xlfn.XLOOKUP(G185,products!A:A,products!C:C)</f>
        <v>M</v>
      </c>
      <c r="O185">
        <f>_xlfn.XLOOKUP(G185,products!A:A,products!D:D)</f>
        <v>0.2</v>
      </c>
      <c r="P185">
        <f>_xlfn.XLOOKUP(G185,products!A:A,products!E:E)</f>
        <v>4.125</v>
      </c>
      <c r="Q185">
        <f t="shared" si="11"/>
        <v>8.25</v>
      </c>
      <c r="R185" t="str" cm="1">
        <f t="array" ref="R185">_xlfn.IFS(Q185&lt;=50,"low sales",Q185&lt;=100,"medium sales",Q185&gt;100,"High sales")</f>
        <v>low sales</v>
      </c>
    </row>
    <row r="186" spans="1:18" x14ac:dyDescent="0.35">
      <c r="A186" s="2" t="s">
        <v>1526</v>
      </c>
      <c r="B186" s="3">
        <v>44397</v>
      </c>
      <c r="C186" s="3" t="str">
        <f t="shared" si="8"/>
        <v>Tuesday</v>
      </c>
      <c r="D186" s="3" t="str">
        <f t="shared" si="9"/>
        <v>July</v>
      </c>
      <c r="E186" s="3" t="str">
        <f t="shared" si="10"/>
        <v>2021</v>
      </c>
      <c r="F186" s="2" t="s">
        <v>1527</v>
      </c>
      <c r="G186" t="s">
        <v>6180</v>
      </c>
      <c r="H186" s="2">
        <v>4</v>
      </c>
      <c r="I186" s="2" t="str">
        <f>_xlfn.XLOOKUP(F186,customers!A:A,customers!B:B)</f>
        <v>Isa Blazewicz</v>
      </c>
      <c r="J186" s="2" t="str">
        <f>_xlfn.XLOOKUP(F186,customers!A:A,customers!C:C)</f>
        <v>iblazewicz54@thetimes.co.uk</v>
      </c>
      <c r="K186" s="2" t="str">
        <f>_xlfn.XLOOKUP(F186,customers!A:A,customers!F:F)</f>
        <v>Minneapolis</v>
      </c>
      <c r="L186" s="2" t="str">
        <f>_xlfn.XLOOKUP(F186,customers!A:A,customers!G:G)</f>
        <v>United States</v>
      </c>
      <c r="M186" t="str">
        <f>_xlfn.XLOOKUP(G186,products!A:A,products!B:B)</f>
        <v>Ara</v>
      </c>
      <c r="N186" t="str">
        <f>_xlfn.XLOOKUP(G186,products!A:A,products!C:C)</f>
        <v>L</v>
      </c>
      <c r="O186">
        <f>_xlfn.XLOOKUP(G186,products!A:A,products!D:D)</f>
        <v>0.5</v>
      </c>
      <c r="P186">
        <f>_xlfn.XLOOKUP(G186,products!A:A,products!E:E)</f>
        <v>7.77</v>
      </c>
      <c r="Q186">
        <f t="shared" si="11"/>
        <v>31.08</v>
      </c>
      <c r="R186" t="str" cm="1">
        <f t="array" ref="R186">_xlfn.IFS(Q186&lt;=50,"low sales",Q186&lt;=100,"medium sales",Q186&gt;100,"High sales")</f>
        <v>low sales</v>
      </c>
    </row>
    <row r="187" spans="1:18" x14ac:dyDescent="0.35">
      <c r="A187" s="2" t="s">
        <v>1532</v>
      </c>
      <c r="B187" s="3">
        <v>43483</v>
      </c>
      <c r="C187" s="3" t="str">
        <f t="shared" si="8"/>
        <v>Friday</v>
      </c>
      <c r="D187" s="3" t="str">
        <f t="shared" si="9"/>
        <v>January</v>
      </c>
      <c r="E187" s="3" t="str">
        <f t="shared" si="10"/>
        <v>2019</v>
      </c>
      <c r="F187" s="2" t="s">
        <v>1533</v>
      </c>
      <c r="G187" t="s">
        <v>6144</v>
      </c>
      <c r="H187" s="2">
        <v>5</v>
      </c>
      <c r="I187" s="2" t="str">
        <f>_xlfn.XLOOKUP(F187,customers!A:A,customers!B:B)</f>
        <v>Angie Rizzetti</v>
      </c>
      <c r="J187" s="2" t="str">
        <f>_xlfn.XLOOKUP(F187,customers!A:A,customers!C:C)</f>
        <v>arizzetti55@naver.com</v>
      </c>
      <c r="K187" s="2" t="str">
        <f>_xlfn.XLOOKUP(F187,customers!A:A,customers!F:F)</f>
        <v>Lansing</v>
      </c>
      <c r="L187" s="2" t="str">
        <f>_xlfn.XLOOKUP(F187,customers!A:A,customers!G:G)</f>
        <v>United States</v>
      </c>
      <c r="M187" t="str">
        <f>_xlfn.XLOOKUP(G187,products!A:A,products!B:B)</f>
        <v>Exc</v>
      </c>
      <c r="N187" t="str">
        <f>_xlfn.XLOOKUP(G187,products!A:A,products!C:C)</f>
        <v>D</v>
      </c>
      <c r="O187">
        <f>_xlfn.XLOOKUP(G187,products!A:A,products!D:D)</f>
        <v>0.5</v>
      </c>
      <c r="P187">
        <f>_xlfn.XLOOKUP(G187,products!A:A,products!E:E)</f>
        <v>7.29</v>
      </c>
      <c r="Q187">
        <f t="shared" si="11"/>
        <v>36.450000000000003</v>
      </c>
      <c r="R187" t="str" cm="1">
        <f t="array" ref="R187">_xlfn.IFS(Q187&lt;=50,"low sales",Q187&lt;=100,"medium sales",Q187&gt;100,"High sales")</f>
        <v>low sales</v>
      </c>
    </row>
    <row r="188" spans="1:18" x14ac:dyDescent="0.35">
      <c r="A188" s="2" t="s">
        <v>1538</v>
      </c>
      <c r="B188" s="3">
        <v>43684</v>
      </c>
      <c r="C188" s="3" t="str">
        <f t="shared" si="8"/>
        <v>Wednesday</v>
      </c>
      <c r="D188" s="3" t="str">
        <f t="shared" si="9"/>
        <v>August</v>
      </c>
      <c r="E188" s="3" t="str">
        <f t="shared" si="10"/>
        <v>2019</v>
      </c>
      <c r="F188" s="2" t="s">
        <v>1539</v>
      </c>
      <c r="G188" t="s">
        <v>6151</v>
      </c>
      <c r="H188" s="2">
        <v>3</v>
      </c>
      <c r="I188" s="2" t="str">
        <f>_xlfn.XLOOKUP(F188,customers!A:A,customers!B:B)</f>
        <v>Mord Meriet</v>
      </c>
      <c r="J188" s="2" t="str">
        <f>_xlfn.XLOOKUP(F188,customers!A:A,customers!C:C)</f>
        <v>mmeriet56@noaa.gov</v>
      </c>
      <c r="K188" s="2" t="str">
        <f>_xlfn.XLOOKUP(F188,customers!A:A,customers!F:F)</f>
        <v>Grand Forks</v>
      </c>
      <c r="L188" s="2" t="str">
        <f>_xlfn.XLOOKUP(F188,customers!A:A,customers!G:G)</f>
        <v>United States</v>
      </c>
      <c r="M188" t="str">
        <f>_xlfn.XLOOKUP(G188,products!A:A,products!B:B)</f>
        <v>Rob</v>
      </c>
      <c r="N188" t="str">
        <f>_xlfn.XLOOKUP(G188,products!A:A,products!C:C)</f>
        <v>M</v>
      </c>
      <c r="O188">
        <f>_xlfn.XLOOKUP(G188,products!A:A,products!D:D)</f>
        <v>2.5</v>
      </c>
      <c r="P188">
        <f>_xlfn.XLOOKUP(G188,products!A:A,products!E:E)</f>
        <v>22.884999999999998</v>
      </c>
      <c r="Q188">
        <f t="shared" si="11"/>
        <v>68.655000000000001</v>
      </c>
      <c r="R188" t="str" cm="1">
        <f t="array" ref="R188">_xlfn.IFS(Q188&lt;=50,"low sales",Q188&lt;=100,"medium sales",Q188&gt;100,"High sales")</f>
        <v>medium sales</v>
      </c>
    </row>
    <row r="189" spans="1:18" x14ac:dyDescent="0.35">
      <c r="A189" s="2" t="s">
        <v>1544</v>
      </c>
      <c r="B189" s="3">
        <v>44633</v>
      </c>
      <c r="C189" s="3" t="str">
        <f t="shared" si="8"/>
        <v>Sunday</v>
      </c>
      <c r="D189" s="3" t="str">
        <f t="shared" si="9"/>
        <v>March</v>
      </c>
      <c r="E189" s="3" t="str">
        <f t="shared" si="10"/>
        <v>2022</v>
      </c>
      <c r="F189" s="2" t="s">
        <v>1545</v>
      </c>
      <c r="G189" t="s">
        <v>6160</v>
      </c>
      <c r="H189" s="2">
        <v>5</v>
      </c>
      <c r="I189" s="2" t="str">
        <f>_xlfn.XLOOKUP(F189,customers!A:A,customers!B:B)</f>
        <v>Lawrence Pratt</v>
      </c>
      <c r="J189" s="2" t="str">
        <f>_xlfn.XLOOKUP(F189,customers!A:A,customers!C:C)</f>
        <v>lpratt57@netvibes.com</v>
      </c>
      <c r="K189" s="2" t="str">
        <f>_xlfn.XLOOKUP(F189,customers!A:A,customers!F:F)</f>
        <v>Anchorage</v>
      </c>
      <c r="L189" s="2" t="str">
        <f>_xlfn.XLOOKUP(F189,customers!A:A,customers!G:G)</f>
        <v>United States</v>
      </c>
      <c r="M189" t="str">
        <f>_xlfn.XLOOKUP(G189,products!A:A,products!B:B)</f>
        <v>Lib</v>
      </c>
      <c r="N189" t="str">
        <f>_xlfn.XLOOKUP(G189,products!A:A,products!C:C)</f>
        <v>M</v>
      </c>
      <c r="O189">
        <f>_xlfn.XLOOKUP(G189,products!A:A,products!D:D)</f>
        <v>0.5</v>
      </c>
      <c r="P189">
        <f>_xlfn.XLOOKUP(G189,products!A:A,products!E:E)</f>
        <v>8.73</v>
      </c>
      <c r="Q189">
        <f t="shared" si="11"/>
        <v>43.650000000000006</v>
      </c>
      <c r="R189" t="str" cm="1">
        <f t="array" ref="R189">_xlfn.IFS(Q189&lt;=50,"low sales",Q189&lt;=100,"medium sales",Q189&gt;100,"High sales")</f>
        <v>low sales</v>
      </c>
    </row>
    <row r="190" spans="1:18" x14ac:dyDescent="0.35">
      <c r="A190" s="2" t="s">
        <v>1549</v>
      </c>
      <c r="B190" s="3">
        <v>44698</v>
      </c>
      <c r="C190" s="3" t="str">
        <f t="shared" si="8"/>
        <v>Tuesday</v>
      </c>
      <c r="D190" s="3" t="str">
        <f t="shared" si="9"/>
        <v>May</v>
      </c>
      <c r="E190" s="3" t="str">
        <f t="shared" si="10"/>
        <v>2022</v>
      </c>
      <c r="F190" s="2" t="s">
        <v>1550</v>
      </c>
      <c r="G190" t="s">
        <v>6184</v>
      </c>
      <c r="H190" s="2">
        <v>1</v>
      </c>
      <c r="I190" s="2" t="str">
        <f>_xlfn.XLOOKUP(F190,customers!A:A,customers!B:B)</f>
        <v>Astrix Kitchingham</v>
      </c>
      <c r="J190" s="2" t="str">
        <f>_xlfn.XLOOKUP(F190,customers!A:A,customers!C:C)</f>
        <v>akitchingham58@com.com</v>
      </c>
      <c r="K190" s="2" t="str">
        <f>_xlfn.XLOOKUP(F190,customers!A:A,customers!F:F)</f>
        <v>Oklahoma City</v>
      </c>
      <c r="L190" s="2" t="str">
        <f>_xlfn.XLOOKUP(F190,customers!A:A,customers!G:G)</f>
        <v>United States</v>
      </c>
      <c r="M190" t="str">
        <f>_xlfn.XLOOKUP(G190,products!A:A,products!B:B)</f>
        <v>Exc</v>
      </c>
      <c r="N190" t="str">
        <f>_xlfn.XLOOKUP(G190,products!A:A,products!C:C)</f>
        <v>L</v>
      </c>
      <c r="O190">
        <f>_xlfn.XLOOKUP(G190,products!A:A,products!D:D)</f>
        <v>0.2</v>
      </c>
      <c r="P190">
        <f>_xlfn.XLOOKUP(G190,products!A:A,products!E:E)</f>
        <v>4.4550000000000001</v>
      </c>
      <c r="Q190">
        <f t="shared" si="11"/>
        <v>4.4550000000000001</v>
      </c>
      <c r="R190" t="str" cm="1">
        <f t="array" ref="R190">_xlfn.IFS(Q190&lt;=50,"low sales",Q190&lt;=100,"medium sales",Q190&gt;100,"High sales")</f>
        <v>low sales</v>
      </c>
    </row>
    <row r="191" spans="1:18" x14ac:dyDescent="0.35">
      <c r="A191" s="2" t="s">
        <v>1555</v>
      </c>
      <c r="B191" s="3">
        <v>43813</v>
      </c>
      <c r="C191" s="3" t="str">
        <f t="shared" si="8"/>
        <v>Saturday</v>
      </c>
      <c r="D191" s="3" t="str">
        <f t="shared" si="9"/>
        <v>December</v>
      </c>
      <c r="E191" s="3" t="str">
        <f t="shared" si="10"/>
        <v>2019</v>
      </c>
      <c r="F191" s="2" t="s">
        <v>1556</v>
      </c>
      <c r="G191" t="s">
        <v>6162</v>
      </c>
      <c r="H191" s="2">
        <v>3</v>
      </c>
      <c r="I191" s="2" t="str">
        <f>_xlfn.XLOOKUP(F191,customers!A:A,customers!B:B)</f>
        <v>Burnard Bartholin</v>
      </c>
      <c r="J191" s="2" t="str">
        <f>_xlfn.XLOOKUP(F191,customers!A:A,customers!C:C)</f>
        <v>bbartholin59@xinhuanet.com</v>
      </c>
      <c r="K191" s="2" t="str">
        <f>_xlfn.XLOOKUP(F191,customers!A:A,customers!F:F)</f>
        <v>Tulsa</v>
      </c>
      <c r="L191" s="2" t="str">
        <f>_xlfn.XLOOKUP(F191,customers!A:A,customers!G:G)</f>
        <v>United States</v>
      </c>
      <c r="M191" t="str">
        <f>_xlfn.XLOOKUP(G191,products!A:A,products!B:B)</f>
        <v>Lib</v>
      </c>
      <c r="N191" t="str">
        <f>_xlfn.XLOOKUP(G191,products!A:A,products!C:C)</f>
        <v>M</v>
      </c>
      <c r="O191">
        <f>_xlfn.XLOOKUP(G191,products!A:A,products!D:D)</f>
        <v>1</v>
      </c>
      <c r="P191">
        <f>_xlfn.XLOOKUP(G191,products!A:A,products!E:E)</f>
        <v>14.55</v>
      </c>
      <c r="Q191">
        <f t="shared" si="11"/>
        <v>43.650000000000006</v>
      </c>
      <c r="R191" t="str" cm="1">
        <f t="array" ref="R191">_xlfn.IFS(Q191&lt;=50,"low sales",Q191&lt;=100,"medium sales",Q191&gt;100,"High sales")</f>
        <v>low sales</v>
      </c>
    </row>
    <row r="192" spans="1:18" x14ac:dyDescent="0.35">
      <c r="A192" s="2" t="s">
        <v>1561</v>
      </c>
      <c r="B192" s="3">
        <v>43845</v>
      </c>
      <c r="C192" s="3" t="str">
        <f t="shared" si="8"/>
        <v>Wednesday</v>
      </c>
      <c r="D192" s="3" t="str">
        <f t="shared" si="9"/>
        <v>January</v>
      </c>
      <c r="E192" s="3" t="str">
        <f t="shared" si="10"/>
        <v>2020</v>
      </c>
      <c r="F192" s="2" t="s">
        <v>1562</v>
      </c>
      <c r="G192" t="s">
        <v>6181</v>
      </c>
      <c r="H192" s="2">
        <v>1</v>
      </c>
      <c r="I192" s="2" t="str">
        <f>_xlfn.XLOOKUP(F192,customers!A:A,customers!B:B)</f>
        <v>Madelene Prinn</v>
      </c>
      <c r="J192" s="2" t="str">
        <f>_xlfn.XLOOKUP(F192,customers!A:A,customers!C:C)</f>
        <v>mprinn5a@usa.gov</v>
      </c>
      <c r="K192" s="2" t="str">
        <f>_xlfn.XLOOKUP(F192,customers!A:A,customers!F:F)</f>
        <v>Detroit</v>
      </c>
      <c r="L192" s="2" t="str">
        <f>_xlfn.XLOOKUP(F192,customers!A:A,customers!G:G)</f>
        <v>United States</v>
      </c>
      <c r="M192" t="str">
        <f>_xlfn.XLOOKUP(G192,products!A:A,products!B:B)</f>
        <v>Lib</v>
      </c>
      <c r="N192" t="str">
        <f>_xlfn.XLOOKUP(G192,products!A:A,products!C:C)</f>
        <v>M</v>
      </c>
      <c r="O192">
        <f>_xlfn.XLOOKUP(G192,products!A:A,products!D:D)</f>
        <v>2.5</v>
      </c>
      <c r="P192">
        <f>_xlfn.XLOOKUP(G192,products!A:A,products!E:E)</f>
        <v>33.464999999999996</v>
      </c>
      <c r="Q192">
        <f t="shared" si="11"/>
        <v>33.464999999999996</v>
      </c>
      <c r="R192" t="str" cm="1">
        <f t="array" ref="R192">_xlfn.IFS(Q192&lt;=50,"low sales",Q192&lt;=100,"medium sales",Q192&gt;100,"High sales")</f>
        <v>low sales</v>
      </c>
    </row>
    <row r="193" spans="1:18" x14ac:dyDescent="0.35">
      <c r="A193" s="2" t="s">
        <v>1567</v>
      </c>
      <c r="B193" s="3">
        <v>43567</v>
      </c>
      <c r="C193" s="3" t="str">
        <f t="shared" si="8"/>
        <v>Friday</v>
      </c>
      <c r="D193" s="3" t="str">
        <f t="shared" si="9"/>
        <v>April</v>
      </c>
      <c r="E193" s="3" t="str">
        <f t="shared" si="10"/>
        <v>2019</v>
      </c>
      <c r="F193" s="2" t="s">
        <v>1568</v>
      </c>
      <c r="G193" t="s">
        <v>6150</v>
      </c>
      <c r="H193" s="2">
        <v>5</v>
      </c>
      <c r="I193" s="2" t="str">
        <f>_xlfn.XLOOKUP(F193,customers!A:A,customers!B:B)</f>
        <v>Alisun Baudino</v>
      </c>
      <c r="J193" s="2" t="str">
        <f>_xlfn.XLOOKUP(F193,customers!A:A,customers!C:C)</f>
        <v>abaudino5b@netvibes.com</v>
      </c>
      <c r="K193" s="2" t="str">
        <f>_xlfn.XLOOKUP(F193,customers!A:A,customers!F:F)</f>
        <v>Washington</v>
      </c>
      <c r="L193" s="2" t="str">
        <f>_xlfn.XLOOKUP(F193,customers!A:A,customers!G:G)</f>
        <v>United States</v>
      </c>
      <c r="M193" t="str">
        <f>_xlfn.XLOOKUP(G193,products!A:A,products!B:B)</f>
        <v>Lib</v>
      </c>
      <c r="N193" t="str">
        <f>_xlfn.XLOOKUP(G193,products!A:A,products!C:C)</f>
        <v>D</v>
      </c>
      <c r="O193">
        <f>_xlfn.XLOOKUP(G193,products!A:A,products!D:D)</f>
        <v>0.2</v>
      </c>
      <c r="P193">
        <f>_xlfn.XLOOKUP(G193,products!A:A,products!E:E)</f>
        <v>3.8849999999999998</v>
      </c>
      <c r="Q193">
        <f t="shared" si="11"/>
        <v>19.424999999999997</v>
      </c>
      <c r="R193" t="str" cm="1">
        <f t="array" ref="R193">_xlfn.IFS(Q193&lt;=50,"low sales",Q193&lt;=100,"medium sales",Q193&gt;100,"High sales")</f>
        <v>low sales</v>
      </c>
    </row>
    <row r="194" spans="1:18" x14ac:dyDescent="0.35">
      <c r="A194" s="2" t="s">
        <v>1573</v>
      </c>
      <c r="B194" s="3">
        <v>43919</v>
      </c>
      <c r="C194" s="3" t="str">
        <f t="shared" si="8"/>
        <v>Sunday</v>
      </c>
      <c r="D194" s="3" t="str">
        <f t="shared" si="9"/>
        <v>March</v>
      </c>
      <c r="E194" s="3" t="str">
        <f t="shared" si="10"/>
        <v>2020</v>
      </c>
      <c r="F194" s="2" t="s">
        <v>1574</v>
      </c>
      <c r="G194" t="s">
        <v>6183</v>
      </c>
      <c r="H194" s="2">
        <v>6</v>
      </c>
      <c r="I194" s="2" t="str">
        <f>_xlfn.XLOOKUP(F194,customers!A:A,customers!B:B)</f>
        <v>Philipa Petrushanko</v>
      </c>
      <c r="J194" s="2" t="str">
        <f>_xlfn.XLOOKUP(F194,customers!A:A,customers!C:C)</f>
        <v>ppetrushanko5c@blinklist.com</v>
      </c>
      <c r="K194" s="2" t="str">
        <f>_xlfn.XLOOKUP(F194,customers!A:A,customers!F:F)</f>
        <v>Nenagh</v>
      </c>
      <c r="L194" s="2" t="str">
        <f>_xlfn.XLOOKUP(F194,customers!A:A,customers!G:G)</f>
        <v>Ireland</v>
      </c>
      <c r="M194" t="str">
        <f>_xlfn.XLOOKUP(G194,products!A:A,products!B:B)</f>
        <v>Exc</v>
      </c>
      <c r="N194" t="str">
        <f>_xlfn.XLOOKUP(G194,products!A:A,products!C:C)</f>
        <v>D</v>
      </c>
      <c r="O194">
        <f>_xlfn.XLOOKUP(G194,products!A:A,products!D:D)</f>
        <v>1</v>
      </c>
      <c r="P194">
        <f>_xlfn.XLOOKUP(G194,products!A:A,products!E:E)</f>
        <v>12.15</v>
      </c>
      <c r="Q194">
        <f t="shared" si="11"/>
        <v>72.900000000000006</v>
      </c>
      <c r="R194" t="str" cm="1">
        <f t="array" ref="R194">_xlfn.IFS(Q194&lt;=50,"low sales",Q194&lt;=100,"medium sales",Q194&gt;100,"High sales")</f>
        <v>medium sales</v>
      </c>
    </row>
    <row r="195" spans="1:18" x14ac:dyDescent="0.35">
      <c r="A195" s="2" t="s">
        <v>1579</v>
      </c>
      <c r="B195" s="3">
        <v>44644</v>
      </c>
      <c r="C195" s="3" t="str">
        <f t="shared" ref="C195:C258" si="12">TEXT(B195,"DDDD")</f>
        <v>Thursday</v>
      </c>
      <c r="D195" s="3" t="str">
        <f t="shared" ref="D195:D258" si="13">TEXT(B195,"MMMM")</f>
        <v>March</v>
      </c>
      <c r="E195" s="3" t="str">
        <f t="shared" ref="E195:E258" si="14">TEXT(B195,"YYYY")</f>
        <v>2022</v>
      </c>
      <c r="F195" s="2" t="s">
        <v>1580</v>
      </c>
      <c r="G195" t="s">
        <v>6171</v>
      </c>
      <c r="H195" s="2">
        <v>3</v>
      </c>
      <c r="I195" s="2" t="str">
        <f>_xlfn.XLOOKUP(F195,customers!A:A,customers!B:B)</f>
        <v>Kimberli Mustchin</v>
      </c>
      <c r="J195" s="2">
        <f>_xlfn.XLOOKUP(F195,customers!A:A,customers!C:C)</f>
        <v>0</v>
      </c>
      <c r="K195" s="2" t="str">
        <f>_xlfn.XLOOKUP(F195,customers!A:A,customers!F:F)</f>
        <v>Mesa</v>
      </c>
      <c r="L195" s="2" t="str">
        <f>_xlfn.XLOOKUP(F195,customers!A:A,customers!G:G)</f>
        <v>United States</v>
      </c>
      <c r="M195" t="str">
        <f>_xlfn.XLOOKUP(G195,products!A:A,products!B:B)</f>
        <v>Exc</v>
      </c>
      <c r="N195" t="str">
        <f>_xlfn.XLOOKUP(G195,products!A:A,products!C:C)</f>
        <v>L</v>
      </c>
      <c r="O195">
        <f>_xlfn.XLOOKUP(G195,products!A:A,products!D:D)</f>
        <v>1</v>
      </c>
      <c r="P195">
        <f>_xlfn.XLOOKUP(G195,products!A:A,products!E:E)</f>
        <v>14.85</v>
      </c>
      <c r="Q195">
        <f t="shared" ref="Q195:Q258" si="15">P195*H195</f>
        <v>44.55</v>
      </c>
      <c r="R195" t="str" cm="1">
        <f t="array" ref="R195">_xlfn.IFS(Q195&lt;=50,"low sales",Q195&lt;=100,"medium sales",Q195&gt;100,"High sales")</f>
        <v>low sales</v>
      </c>
    </row>
    <row r="196" spans="1:18" x14ac:dyDescent="0.35">
      <c r="A196" s="2" t="s">
        <v>1584</v>
      </c>
      <c r="B196" s="3">
        <v>44398</v>
      </c>
      <c r="C196" s="3" t="str">
        <f t="shared" si="12"/>
        <v>Wednesday</v>
      </c>
      <c r="D196" s="3" t="str">
        <f t="shared" si="13"/>
        <v>July</v>
      </c>
      <c r="E196" s="3" t="str">
        <f t="shared" si="14"/>
        <v>2021</v>
      </c>
      <c r="F196" s="2" t="s">
        <v>1585</v>
      </c>
      <c r="G196" t="s">
        <v>6144</v>
      </c>
      <c r="H196" s="2">
        <v>5</v>
      </c>
      <c r="I196" s="2" t="str">
        <f>_xlfn.XLOOKUP(F196,customers!A:A,customers!B:B)</f>
        <v>Emlynne Laird</v>
      </c>
      <c r="J196" s="2" t="str">
        <f>_xlfn.XLOOKUP(F196,customers!A:A,customers!C:C)</f>
        <v>elaird5e@bing.com</v>
      </c>
      <c r="K196" s="2" t="str">
        <f>_xlfn.XLOOKUP(F196,customers!A:A,customers!F:F)</f>
        <v>Warren</v>
      </c>
      <c r="L196" s="2" t="str">
        <f>_xlfn.XLOOKUP(F196,customers!A:A,customers!G:G)</f>
        <v>United States</v>
      </c>
      <c r="M196" t="str">
        <f>_xlfn.XLOOKUP(G196,products!A:A,products!B:B)</f>
        <v>Exc</v>
      </c>
      <c r="N196" t="str">
        <f>_xlfn.XLOOKUP(G196,products!A:A,products!C:C)</f>
        <v>D</v>
      </c>
      <c r="O196">
        <f>_xlfn.XLOOKUP(G196,products!A:A,products!D:D)</f>
        <v>0.5</v>
      </c>
      <c r="P196">
        <f>_xlfn.XLOOKUP(G196,products!A:A,products!E:E)</f>
        <v>7.29</v>
      </c>
      <c r="Q196">
        <f t="shared" si="15"/>
        <v>36.450000000000003</v>
      </c>
      <c r="R196" t="str" cm="1">
        <f t="array" ref="R196">_xlfn.IFS(Q196&lt;=50,"low sales",Q196&lt;=100,"medium sales",Q196&gt;100,"High sales")</f>
        <v>low sales</v>
      </c>
    </row>
    <row r="197" spans="1:18" x14ac:dyDescent="0.35">
      <c r="A197" s="2" t="s">
        <v>1590</v>
      </c>
      <c r="B197" s="3">
        <v>43683</v>
      </c>
      <c r="C197" s="3" t="str">
        <f t="shared" si="12"/>
        <v>Tuesday</v>
      </c>
      <c r="D197" s="3" t="str">
        <f t="shared" si="13"/>
        <v>August</v>
      </c>
      <c r="E197" s="3" t="str">
        <f t="shared" si="14"/>
        <v>2019</v>
      </c>
      <c r="F197" s="2" t="s">
        <v>1591</v>
      </c>
      <c r="G197" t="s">
        <v>6140</v>
      </c>
      <c r="H197" s="2">
        <v>3</v>
      </c>
      <c r="I197" s="2" t="str">
        <f>_xlfn.XLOOKUP(F197,customers!A:A,customers!B:B)</f>
        <v>Marlena Howsden</v>
      </c>
      <c r="J197" s="2" t="str">
        <f>_xlfn.XLOOKUP(F197,customers!A:A,customers!C:C)</f>
        <v>mhowsden5f@infoseek.co.jp</v>
      </c>
      <c r="K197" s="2" t="str">
        <f>_xlfn.XLOOKUP(F197,customers!A:A,customers!F:F)</f>
        <v>Memphis</v>
      </c>
      <c r="L197" s="2" t="str">
        <f>_xlfn.XLOOKUP(F197,customers!A:A,customers!G:G)</f>
        <v>United States</v>
      </c>
      <c r="M197" t="str">
        <f>_xlfn.XLOOKUP(G197,products!A:A,products!B:B)</f>
        <v>Ara</v>
      </c>
      <c r="N197" t="str">
        <f>_xlfn.XLOOKUP(G197,products!A:A,products!C:C)</f>
        <v>L</v>
      </c>
      <c r="O197">
        <f>_xlfn.XLOOKUP(G197,products!A:A,products!D:D)</f>
        <v>1</v>
      </c>
      <c r="P197">
        <f>_xlfn.XLOOKUP(G197,products!A:A,products!E:E)</f>
        <v>12.95</v>
      </c>
      <c r="Q197">
        <f t="shared" si="15"/>
        <v>38.849999999999994</v>
      </c>
      <c r="R197" t="str" cm="1">
        <f t="array" ref="R197">_xlfn.IFS(Q197&lt;=50,"low sales",Q197&lt;=100,"medium sales",Q197&gt;100,"High sales")</f>
        <v>low sales</v>
      </c>
    </row>
    <row r="198" spans="1:18" x14ac:dyDescent="0.35">
      <c r="A198" s="2" t="s">
        <v>1596</v>
      </c>
      <c r="B198" s="3">
        <v>44339</v>
      </c>
      <c r="C198" s="3" t="str">
        <f t="shared" si="12"/>
        <v>Sunday</v>
      </c>
      <c r="D198" s="3" t="str">
        <f t="shared" si="13"/>
        <v>May</v>
      </c>
      <c r="E198" s="3" t="str">
        <f t="shared" si="14"/>
        <v>2021</v>
      </c>
      <c r="F198" s="2" t="s">
        <v>1597</v>
      </c>
      <c r="G198" t="s">
        <v>6176</v>
      </c>
      <c r="H198" s="2">
        <v>6</v>
      </c>
      <c r="I198" s="2" t="str">
        <f>_xlfn.XLOOKUP(F198,customers!A:A,customers!B:B)</f>
        <v>Nealson Cuttler</v>
      </c>
      <c r="J198" s="2" t="str">
        <f>_xlfn.XLOOKUP(F198,customers!A:A,customers!C:C)</f>
        <v>ncuttler5g@parallels.com</v>
      </c>
      <c r="K198" s="2" t="str">
        <f>_xlfn.XLOOKUP(F198,customers!A:A,customers!F:F)</f>
        <v>Washington</v>
      </c>
      <c r="L198" s="2" t="str">
        <f>_xlfn.XLOOKUP(F198,customers!A:A,customers!G:G)</f>
        <v>United States</v>
      </c>
      <c r="M198" t="str">
        <f>_xlfn.XLOOKUP(G198,products!A:A,products!B:B)</f>
        <v>Exc</v>
      </c>
      <c r="N198" t="str">
        <f>_xlfn.XLOOKUP(G198,products!A:A,products!C:C)</f>
        <v>L</v>
      </c>
      <c r="O198">
        <f>_xlfn.XLOOKUP(G198,products!A:A,products!D:D)</f>
        <v>0.5</v>
      </c>
      <c r="P198">
        <f>_xlfn.XLOOKUP(G198,products!A:A,products!E:E)</f>
        <v>8.91</v>
      </c>
      <c r="Q198">
        <f t="shared" si="15"/>
        <v>53.46</v>
      </c>
      <c r="R198" t="str" cm="1">
        <f t="array" ref="R198">_xlfn.IFS(Q198&lt;=50,"low sales",Q198&lt;=100,"medium sales",Q198&gt;100,"High sales")</f>
        <v>medium sales</v>
      </c>
    </row>
    <row r="199" spans="1:18" x14ac:dyDescent="0.35">
      <c r="A199" s="2" t="s">
        <v>1596</v>
      </c>
      <c r="B199" s="3">
        <v>44339</v>
      </c>
      <c r="C199" s="3" t="str">
        <f t="shared" si="12"/>
        <v>Sunday</v>
      </c>
      <c r="D199" s="3" t="str">
        <f t="shared" si="13"/>
        <v>May</v>
      </c>
      <c r="E199" s="3" t="str">
        <f t="shared" si="14"/>
        <v>2021</v>
      </c>
      <c r="F199" s="2" t="s">
        <v>1597</v>
      </c>
      <c r="G199" t="s">
        <v>6165</v>
      </c>
      <c r="H199" s="2">
        <v>2</v>
      </c>
      <c r="I199" s="2" t="str">
        <f>_xlfn.XLOOKUP(F199,customers!A:A,customers!B:B)</f>
        <v>Nealson Cuttler</v>
      </c>
      <c r="J199" s="2" t="str">
        <f>_xlfn.XLOOKUP(F199,customers!A:A,customers!C:C)</f>
        <v>ncuttler5g@parallels.com</v>
      </c>
      <c r="K199" s="2" t="str">
        <f>_xlfn.XLOOKUP(F199,customers!A:A,customers!F:F)</f>
        <v>Washington</v>
      </c>
      <c r="L199" s="2" t="str">
        <f>_xlfn.XLOOKUP(F199,customers!A:A,customers!G:G)</f>
        <v>United States</v>
      </c>
      <c r="M199" t="str">
        <f>_xlfn.XLOOKUP(G199,products!A:A,products!B:B)</f>
        <v>Lib</v>
      </c>
      <c r="N199" t="str">
        <f>_xlfn.XLOOKUP(G199,products!A:A,products!C:C)</f>
        <v>D</v>
      </c>
      <c r="O199">
        <f>_xlfn.XLOOKUP(G199,products!A:A,products!D:D)</f>
        <v>2.5</v>
      </c>
      <c r="P199">
        <f>_xlfn.XLOOKUP(G199,products!A:A,products!E:E)</f>
        <v>29.784999999999997</v>
      </c>
      <c r="Q199">
        <f t="shared" si="15"/>
        <v>59.569999999999993</v>
      </c>
      <c r="R199" t="str" cm="1">
        <f t="array" ref="R199">_xlfn.IFS(Q199&lt;=50,"low sales",Q199&lt;=100,"medium sales",Q199&gt;100,"High sales")</f>
        <v>medium sales</v>
      </c>
    </row>
    <row r="200" spans="1:18" x14ac:dyDescent="0.35">
      <c r="A200" s="2" t="s">
        <v>1596</v>
      </c>
      <c r="B200" s="3">
        <v>44339</v>
      </c>
      <c r="C200" s="3" t="str">
        <f t="shared" si="12"/>
        <v>Sunday</v>
      </c>
      <c r="D200" s="3" t="str">
        <f t="shared" si="13"/>
        <v>May</v>
      </c>
      <c r="E200" s="3" t="str">
        <f t="shared" si="14"/>
        <v>2021</v>
      </c>
      <c r="F200" s="2" t="s">
        <v>1597</v>
      </c>
      <c r="G200" t="s">
        <v>6165</v>
      </c>
      <c r="H200" s="2">
        <v>3</v>
      </c>
      <c r="I200" s="2" t="str">
        <f>_xlfn.XLOOKUP(F200,customers!A:A,customers!B:B)</f>
        <v>Nealson Cuttler</v>
      </c>
      <c r="J200" s="2" t="str">
        <f>_xlfn.XLOOKUP(F200,customers!A:A,customers!C:C)</f>
        <v>ncuttler5g@parallels.com</v>
      </c>
      <c r="K200" s="2" t="str">
        <f>_xlfn.XLOOKUP(F200,customers!A:A,customers!F:F)</f>
        <v>Washington</v>
      </c>
      <c r="L200" s="2" t="str">
        <f>_xlfn.XLOOKUP(F200,customers!A:A,customers!G:G)</f>
        <v>United States</v>
      </c>
      <c r="M200" t="str">
        <f>_xlfn.XLOOKUP(G200,products!A:A,products!B:B)</f>
        <v>Lib</v>
      </c>
      <c r="N200" t="str">
        <f>_xlfn.XLOOKUP(G200,products!A:A,products!C:C)</f>
        <v>D</v>
      </c>
      <c r="O200">
        <f>_xlfn.XLOOKUP(G200,products!A:A,products!D:D)</f>
        <v>2.5</v>
      </c>
      <c r="P200">
        <f>_xlfn.XLOOKUP(G200,products!A:A,products!E:E)</f>
        <v>29.784999999999997</v>
      </c>
      <c r="Q200">
        <f t="shared" si="15"/>
        <v>89.35499999999999</v>
      </c>
      <c r="R200" t="str" cm="1">
        <f t="array" ref="R200">_xlfn.IFS(Q200&lt;=50,"low sales",Q200&lt;=100,"medium sales",Q200&gt;100,"High sales")</f>
        <v>medium sales</v>
      </c>
    </row>
    <row r="201" spans="1:18" x14ac:dyDescent="0.35">
      <c r="A201" s="2" t="s">
        <v>1596</v>
      </c>
      <c r="B201" s="3">
        <v>44339</v>
      </c>
      <c r="C201" s="3" t="str">
        <f t="shared" si="12"/>
        <v>Sunday</v>
      </c>
      <c r="D201" s="3" t="str">
        <f t="shared" si="13"/>
        <v>May</v>
      </c>
      <c r="E201" s="3" t="str">
        <f t="shared" si="14"/>
        <v>2021</v>
      </c>
      <c r="F201" s="2" t="s">
        <v>1597</v>
      </c>
      <c r="G201" t="s">
        <v>6161</v>
      </c>
      <c r="H201" s="2">
        <v>4</v>
      </c>
      <c r="I201" s="2" t="str">
        <f>_xlfn.XLOOKUP(F201,customers!A:A,customers!B:B)</f>
        <v>Nealson Cuttler</v>
      </c>
      <c r="J201" s="2" t="str">
        <f>_xlfn.XLOOKUP(F201,customers!A:A,customers!C:C)</f>
        <v>ncuttler5g@parallels.com</v>
      </c>
      <c r="K201" s="2" t="str">
        <f>_xlfn.XLOOKUP(F201,customers!A:A,customers!F:F)</f>
        <v>Washington</v>
      </c>
      <c r="L201" s="2" t="str">
        <f>_xlfn.XLOOKUP(F201,customers!A:A,customers!G:G)</f>
        <v>United States</v>
      </c>
      <c r="M201" t="str">
        <f>_xlfn.XLOOKUP(G201,products!A:A,products!B:B)</f>
        <v>Lib</v>
      </c>
      <c r="N201" t="str">
        <f>_xlfn.XLOOKUP(G201,products!A:A,products!C:C)</f>
        <v>L</v>
      </c>
      <c r="O201">
        <f>_xlfn.XLOOKUP(G201,products!A:A,products!D:D)</f>
        <v>0.5</v>
      </c>
      <c r="P201">
        <f>_xlfn.XLOOKUP(G201,products!A:A,products!E:E)</f>
        <v>9.51</v>
      </c>
      <c r="Q201">
        <f t="shared" si="15"/>
        <v>38.04</v>
      </c>
      <c r="R201" t="str" cm="1">
        <f t="array" ref="R201">_xlfn.IFS(Q201&lt;=50,"low sales",Q201&lt;=100,"medium sales",Q201&gt;100,"High sales")</f>
        <v>low sales</v>
      </c>
    </row>
    <row r="202" spans="1:18" x14ac:dyDescent="0.35">
      <c r="A202" s="2" t="s">
        <v>1596</v>
      </c>
      <c r="B202" s="3">
        <v>44339</v>
      </c>
      <c r="C202" s="3" t="str">
        <f t="shared" si="12"/>
        <v>Sunday</v>
      </c>
      <c r="D202" s="3" t="str">
        <f t="shared" si="13"/>
        <v>May</v>
      </c>
      <c r="E202" s="3" t="str">
        <f t="shared" si="14"/>
        <v>2021</v>
      </c>
      <c r="F202" s="2" t="s">
        <v>1597</v>
      </c>
      <c r="G202" t="s">
        <v>6141</v>
      </c>
      <c r="H202" s="2">
        <v>3</v>
      </c>
      <c r="I202" s="2" t="str">
        <f>_xlfn.XLOOKUP(F202,customers!A:A,customers!B:B)</f>
        <v>Nealson Cuttler</v>
      </c>
      <c r="J202" s="2" t="str">
        <f>_xlfn.XLOOKUP(F202,customers!A:A,customers!C:C)</f>
        <v>ncuttler5g@parallels.com</v>
      </c>
      <c r="K202" s="2" t="str">
        <f>_xlfn.XLOOKUP(F202,customers!A:A,customers!F:F)</f>
        <v>Washington</v>
      </c>
      <c r="L202" s="2" t="str">
        <f>_xlfn.XLOOKUP(F202,customers!A:A,customers!G:G)</f>
        <v>United States</v>
      </c>
      <c r="M202" t="str">
        <f>_xlfn.XLOOKUP(G202,products!A:A,products!B:B)</f>
        <v>Exc</v>
      </c>
      <c r="N202" t="str">
        <f>_xlfn.XLOOKUP(G202,products!A:A,products!C:C)</f>
        <v>M</v>
      </c>
      <c r="O202">
        <f>_xlfn.XLOOKUP(G202,products!A:A,products!D:D)</f>
        <v>1</v>
      </c>
      <c r="P202">
        <f>_xlfn.XLOOKUP(G202,products!A:A,products!E:E)</f>
        <v>13.75</v>
      </c>
      <c r="Q202">
        <f t="shared" si="15"/>
        <v>41.25</v>
      </c>
      <c r="R202" t="str" cm="1">
        <f t="array" ref="R202">_xlfn.IFS(Q202&lt;=50,"low sales",Q202&lt;=100,"medium sales",Q202&gt;100,"High sales")</f>
        <v>low sales</v>
      </c>
    </row>
    <row r="203" spans="1:18" x14ac:dyDescent="0.35">
      <c r="A203" s="2" t="s">
        <v>1621</v>
      </c>
      <c r="B203" s="3">
        <v>44294</v>
      </c>
      <c r="C203" s="3" t="str">
        <f t="shared" si="12"/>
        <v>Thursday</v>
      </c>
      <c r="D203" s="3" t="str">
        <f t="shared" si="13"/>
        <v>April</v>
      </c>
      <c r="E203" s="3" t="str">
        <f t="shared" si="14"/>
        <v>2021</v>
      </c>
      <c r="F203" s="2" t="s">
        <v>1622</v>
      </c>
      <c r="G203" t="s">
        <v>6161</v>
      </c>
      <c r="H203" s="2">
        <v>6</v>
      </c>
      <c r="I203" s="2" t="str">
        <f>_xlfn.XLOOKUP(F203,customers!A:A,customers!B:B)</f>
        <v>Adriana Lazarus</v>
      </c>
      <c r="J203" s="2">
        <f>_xlfn.XLOOKUP(F203,customers!A:A,customers!C:C)</f>
        <v>0</v>
      </c>
      <c r="K203" s="2" t="str">
        <f>_xlfn.XLOOKUP(F203,customers!A:A,customers!F:F)</f>
        <v>Ogden</v>
      </c>
      <c r="L203" s="2" t="str">
        <f>_xlfn.XLOOKUP(F203,customers!A:A,customers!G:G)</f>
        <v>United States</v>
      </c>
      <c r="M203" t="str">
        <f>_xlfn.XLOOKUP(G203,products!A:A,products!B:B)</f>
        <v>Lib</v>
      </c>
      <c r="N203" t="str">
        <f>_xlfn.XLOOKUP(G203,products!A:A,products!C:C)</f>
        <v>L</v>
      </c>
      <c r="O203">
        <f>_xlfn.XLOOKUP(G203,products!A:A,products!D:D)</f>
        <v>0.5</v>
      </c>
      <c r="P203">
        <f>_xlfn.XLOOKUP(G203,products!A:A,products!E:E)</f>
        <v>9.51</v>
      </c>
      <c r="Q203">
        <f t="shared" si="15"/>
        <v>57.06</v>
      </c>
      <c r="R203" t="str" cm="1">
        <f t="array" ref="R203">_xlfn.IFS(Q203&lt;=50,"low sales",Q203&lt;=100,"medium sales",Q203&gt;100,"High sales")</f>
        <v>medium sales</v>
      </c>
    </row>
    <row r="204" spans="1:18" x14ac:dyDescent="0.35">
      <c r="A204" s="2" t="s">
        <v>1626</v>
      </c>
      <c r="B204" s="3">
        <v>44486</v>
      </c>
      <c r="C204" s="3" t="str">
        <f t="shared" si="12"/>
        <v>Sunday</v>
      </c>
      <c r="D204" s="3" t="str">
        <f t="shared" si="13"/>
        <v>October</v>
      </c>
      <c r="E204" s="3" t="str">
        <f t="shared" si="14"/>
        <v>2021</v>
      </c>
      <c r="F204" s="2" t="s">
        <v>1627</v>
      </c>
      <c r="G204" t="s">
        <v>6165</v>
      </c>
      <c r="H204" s="2">
        <v>6</v>
      </c>
      <c r="I204" s="2" t="str">
        <f>_xlfn.XLOOKUP(F204,customers!A:A,customers!B:B)</f>
        <v>Tallie felip</v>
      </c>
      <c r="J204" s="2" t="str">
        <f>_xlfn.XLOOKUP(F204,customers!A:A,customers!C:C)</f>
        <v>tfelip5m@typepad.com</v>
      </c>
      <c r="K204" s="2" t="str">
        <f>_xlfn.XLOOKUP(F204,customers!A:A,customers!F:F)</f>
        <v>Albany</v>
      </c>
      <c r="L204" s="2" t="str">
        <f>_xlfn.XLOOKUP(F204,customers!A:A,customers!G:G)</f>
        <v>United States</v>
      </c>
      <c r="M204" t="str">
        <f>_xlfn.XLOOKUP(G204,products!A:A,products!B:B)</f>
        <v>Lib</v>
      </c>
      <c r="N204" t="str">
        <f>_xlfn.XLOOKUP(G204,products!A:A,products!C:C)</f>
        <v>D</v>
      </c>
      <c r="O204">
        <f>_xlfn.XLOOKUP(G204,products!A:A,products!D:D)</f>
        <v>2.5</v>
      </c>
      <c r="P204">
        <f>_xlfn.XLOOKUP(G204,products!A:A,products!E:E)</f>
        <v>29.784999999999997</v>
      </c>
      <c r="Q204">
        <f t="shared" si="15"/>
        <v>178.70999999999998</v>
      </c>
      <c r="R204" t="str" cm="1">
        <f t="array" ref="R204">_xlfn.IFS(Q204&lt;=50,"low sales",Q204&lt;=100,"medium sales",Q204&gt;100,"High sales")</f>
        <v>High sales</v>
      </c>
    </row>
    <row r="205" spans="1:18" x14ac:dyDescent="0.35">
      <c r="A205" s="2" t="s">
        <v>1632</v>
      </c>
      <c r="B205" s="3">
        <v>44608</v>
      </c>
      <c r="C205" s="3" t="str">
        <f t="shared" si="12"/>
        <v>Wednesday</v>
      </c>
      <c r="D205" s="3" t="str">
        <f t="shared" si="13"/>
        <v>February</v>
      </c>
      <c r="E205" s="3" t="str">
        <f t="shared" si="14"/>
        <v>2022</v>
      </c>
      <c r="F205" s="2" t="s">
        <v>1633</v>
      </c>
      <c r="G205" t="s">
        <v>6145</v>
      </c>
      <c r="H205" s="2">
        <v>1</v>
      </c>
      <c r="I205" s="2" t="str">
        <f>_xlfn.XLOOKUP(F205,customers!A:A,customers!B:B)</f>
        <v>Vanna Le - Count</v>
      </c>
      <c r="J205" s="2" t="str">
        <f>_xlfn.XLOOKUP(F205,customers!A:A,customers!C:C)</f>
        <v>vle5n@disqus.com</v>
      </c>
      <c r="K205" s="2" t="str">
        <f>_xlfn.XLOOKUP(F205,customers!A:A,customers!F:F)</f>
        <v>Spartanburg</v>
      </c>
      <c r="L205" s="2" t="str">
        <f>_xlfn.XLOOKUP(F205,customers!A:A,customers!G:G)</f>
        <v>United States</v>
      </c>
      <c r="M205" t="str">
        <f>_xlfn.XLOOKUP(G205,products!A:A,products!B:B)</f>
        <v>Lib</v>
      </c>
      <c r="N205" t="str">
        <f>_xlfn.XLOOKUP(G205,products!A:A,products!C:C)</f>
        <v>L</v>
      </c>
      <c r="O205">
        <f>_xlfn.XLOOKUP(G205,products!A:A,products!D:D)</f>
        <v>0.2</v>
      </c>
      <c r="P205">
        <f>_xlfn.XLOOKUP(G205,products!A:A,products!E:E)</f>
        <v>4.7549999999999999</v>
      </c>
      <c r="Q205">
        <f t="shared" si="15"/>
        <v>4.7549999999999999</v>
      </c>
      <c r="R205" t="str" cm="1">
        <f t="array" ref="R205">_xlfn.IFS(Q205&lt;=50,"low sales",Q205&lt;=100,"medium sales",Q205&gt;100,"High sales")</f>
        <v>low sales</v>
      </c>
    </row>
    <row r="206" spans="1:18" x14ac:dyDescent="0.35">
      <c r="A206" s="2" t="s">
        <v>1638</v>
      </c>
      <c r="B206" s="3">
        <v>44027</v>
      </c>
      <c r="C206" s="3" t="str">
        <f t="shared" si="12"/>
        <v>Wednesday</v>
      </c>
      <c r="D206" s="3" t="str">
        <f t="shared" si="13"/>
        <v>July</v>
      </c>
      <c r="E206" s="3" t="str">
        <f t="shared" si="14"/>
        <v>2020</v>
      </c>
      <c r="F206" s="2" t="s">
        <v>1639</v>
      </c>
      <c r="G206" t="s">
        <v>6141</v>
      </c>
      <c r="H206" s="2">
        <v>6</v>
      </c>
      <c r="I206" s="2" t="str">
        <f>_xlfn.XLOOKUP(F206,customers!A:A,customers!B:B)</f>
        <v>Sarette Ducarel</v>
      </c>
      <c r="J206" s="2">
        <f>_xlfn.XLOOKUP(F206,customers!A:A,customers!C:C)</f>
        <v>0</v>
      </c>
      <c r="K206" s="2" t="str">
        <f>_xlfn.XLOOKUP(F206,customers!A:A,customers!F:F)</f>
        <v>Staten Island</v>
      </c>
      <c r="L206" s="2" t="str">
        <f>_xlfn.XLOOKUP(F206,customers!A:A,customers!G:G)</f>
        <v>United States</v>
      </c>
      <c r="M206" t="str">
        <f>_xlfn.XLOOKUP(G206,products!A:A,products!B:B)</f>
        <v>Exc</v>
      </c>
      <c r="N206" t="str">
        <f>_xlfn.XLOOKUP(G206,products!A:A,products!C:C)</f>
        <v>M</v>
      </c>
      <c r="O206">
        <f>_xlfn.XLOOKUP(G206,products!A:A,products!D:D)</f>
        <v>1</v>
      </c>
      <c r="P206">
        <f>_xlfn.XLOOKUP(G206,products!A:A,products!E:E)</f>
        <v>13.75</v>
      </c>
      <c r="Q206">
        <f t="shared" si="15"/>
        <v>82.5</v>
      </c>
      <c r="R206" t="str" cm="1">
        <f t="array" ref="R206">_xlfn.IFS(Q206&lt;=50,"low sales",Q206&lt;=100,"medium sales",Q206&gt;100,"High sales")</f>
        <v>medium sales</v>
      </c>
    </row>
    <row r="207" spans="1:18" x14ac:dyDescent="0.35">
      <c r="A207" s="2" t="s">
        <v>1643</v>
      </c>
      <c r="B207" s="3">
        <v>43883</v>
      </c>
      <c r="C207" s="3" t="str">
        <f t="shared" si="12"/>
        <v>Saturday</v>
      </c>
      <c r="D207" s="3" t="str">
        <f t="shared" si="13"/>
        <v>February</v>
      </c>
      <c r="E207" s="3" t="str">
        <f t="shared" si="14"/>
        <v>2020</v>
      </c>
      <c r="F207" s="2" t="s">
        <v>1644</v>
      </c>
      <c r="G207" t="s">
        <v>6163</v>
      </c>
      <c r="H207" s="2">
        <v>3</v>
      </c>
      <c r="I207" s="2" t="str">
        <f>_xlfn.XLOOKUP(F207,customers!A:A,customers!B:B)</f>
        <v>Kendra Glison</v>
      </c>
      <c r="J207" s="2">
        <f>_xlfn.XLOOKUP(F207,customers!A:A,customers!C:C)</f>
        <v>0</v>
      </c>
      <c r="K207" s="2" t="str">
        <f>_xlfn.XLOOKUP(F207,customers!A:A,customers!F:F)</f>
        <v>Washington</v>
      </c>
      <c r="L207" s="2" t="str">
        <f>_xlfn.XLOOKUP(F207,customers!A:A,customers!G:G)</f>
        <v>United States</v>
      </c>
      <c r="M207" t="str">
        <f>_xlfn.XLOOKUP(G207,products!A:A,products!B:B)</f>
        <v>Rob</v>
      </c>
      <c r="N207" t="str">
        <f>_xlfn.XLOOKUP(G207,products!A:A,products!C:C)</f>
        <v>D</v>
      </c>
      <c r="O207">
        <f>_xlfn.XLOOKUP(G207,products!A:A,products!D:D)</f>
        <v>0.2</v>
      </c>
      <c r="P207">
        <f>_xlfn.XLOOKUP(G207,products!A:A,products!E:E)</f>
        <v>2.6849999999999996</v>
      </c>
      <c r="Q207">
        <f t="shared" si="15"/>
        <v>8.0549999999999997</v>
      </c>
      <c r="R207" t="str" cm="1">
        <f t="array" ref="R207">_xlfn.IFS(Q207&lt;=50,"low sales",Q207&lt;=100,"medium sales",Q207&gt;100,"High sales")</f>
        <v>low sales</v>
      </c>
    </row>
    <row r="208" spans="1:18" x14ac:dyDescent="0.35">
      <c r="A208" s="2" t="s">
        <v>1648</v>
      </c>
      <c r="B208" s="3">
        <v>44211</v>
      </c>
      <c r="C208" s="3" t="str">
        <f t="shared" si="12"/>
        <v>Friday</v>
      </c>
      <c r="D208" s="3" t="str">
        <f t="shared" si="13"/>
        <v>January</v>
      </c>
      <c r="E208" s="3" t="str">
        <f t="shared" si="14"/>
        <v>2021</v>
      </c>
      <c r="F208" s="2" t="s">
        <v>1649</v>
      </c>
      <c r="G208" t="s">
        <v>6155</v>
      </c>
      <c r="H208" s="2">
        <v>2</v>
      </c>
      <c r="I208" s="2" t="str">
        <f>_xlfn.XLOOKUP(F208,customers!A:A,customers!B:B)</f>
        <v>Nertie Poolman</v>
      </c>
      <c r="J208" s="2" t="str">
        <f>_xlfn.XLOOKUP(F208,customers!A:A,customers!C:C)</f>
        <v>npoolman5q@howstuffworks.com</v>
      </c>
      <c r="K208" s="2" t="str">
        <f>_xlfn.XLOOKUP(F208,customers!A:A,customers!F:F)</f>
        <v>Charlotte</v>
      </c>
      <c r="L208" s="2" t="str">
        <f>_xlfn.XLOOKUP(F208,customers!A:A,customers!G:G)</f>
        <v>United States</v>
      </c>
      <c r="M208" t="str">
        <f>_xlfn.XLOOKUP(G208,products!A:A,products!B:B)</f>
        <v>Ara</v>
      </c>
      <c r="N208" t="str">
        <f>_xlfn.XLOOKUP(G208,products!A:A,products!C:C)</f>
        <v>M</v>
      </c>
      <c r="O208">
        <f>_xlfn.XLOOKUP(G208,products!A:A,products!D:D)</f>
        <v>1</v>
      </c>
      <c r="P208">
        <f>_xlfn.XLOOKUP(G208,products!A:A,products!E:E)</f>
        <v>11.25</v>
      </c>
      <c r="Q208">
        <f t="shared" si="15"/>
        <v>22.5</v>
      </c>
      <c r="R208" t="str" cm="1">
        <f t="array" ref="R208">_xlfn.IFS(Q208&lt;=50,"low sales",Q208&lt;=100,"medium sales",Q208&gt;100,"High sales")</f>
        <v>low sales</v>
      </c>
    </row>
    <row r="209" spans="1:18" x14ac:dyDescent="0.35">
      <c r="A209" s="2" t="s">
        <v>1653</v>
      </c>
      <c r="B209" s="3">
        <v>44207</v>
      </c>
      <c r="C209" s="3" t="str">
        <f t="shared" si="12"/>
        <v>Monday</v>
      </c>
      <c r="D209" s="3" t="str">
        <f t="shared" si="13"/>
        <v>January</v>
      </c>
      <c r="E209" s="3" t="str">
        <f t="shared" si="14"/>
        <v>2021</v>
      </c>
      <c r="F209" s="2" t="s">
        <v>1654</v>
      </c>
      <c r="G209" t="s">
        <v>6157</v>
      </c>
      <c r="H209" s="2">
        <v>6</v>
      </c>
      <c r="I209" s="2" t="str">
        <f>_xlfn.XLOOKUP(F209,customers!A:A,customers!B:B)</f>
        <v>Orbadiah Duny</v>
      </c>
      <c r="J209" s="2" t="str">
        <f>_xlfn.XLOOKUP(F209,customers!A:A,customers!C:C)</f>
        <v>oduny5r@constantcontact.com</v>
      </c>
      <c r="K209" s="2" t="str">
        <f>_xlfn.XLOOKUP(F209,customers!A:A,customers!F:F)</f>
        <v>Lubbock</v>
      </c>
      <c r="L209" s="2" t="str">
        <f>_xlfn.XLOOKUP(F209,customers!A:A,customers!G:G)</f>
        <v>United States</v>
      </c>
      <c r="M209" t="str">
        <f>_xlfn.XLOOKUP(G209,products!A:A,products!B:B)</f>
        <v>Ara</v>
      </c>
      <c r="N209" t="str">
        <f>_xlfn.XLOOKUP(G209,products!A:A,products!C:C)</f>
        <v>M</v>
      </c>
      <c r="O209">
        <f>_xlfn.XLOOKUP(G209,products!A:A,products!D:D)</f>
        <v>0.5</v>
      </c>
      <c r="P209">
        <f>_xlfn.XLOOKUP(G209,products!A:A,products!E:E)</f>
        <v>6.75</v>
      </c>
      <c r="Q209">
        <f t="shared" si="15"/>
        <v>40.5</v>
      </c>
      <c r="R209" t="str" cm="1">
        <f t="array" ref="R209">_xlfn.IFS(Q209&lt;=50,"low sales",Q209&lt;=100,"medium sales",Q209&gt;100,"High sales")</f>
        <v>low sales</v>
      </c>
    </row>
    <row r="210" spans="1:18" x14ac:dyDescent="0.35">
      <c r="A210" s="2" t="s">
        <v>1659</v>
      </c>
      <c r="B210" s="3">
        <v>44659</v>
      </c>
      <c r="C210" s="3" t="str">
        <f t="shared" si="12"/>
        <v>Friday</v>
      </c>
      <c r="D210" s="3" t="str">
        <f t="shared" si="13"/>
        <v>April</v>
      </c>
      <c r="E210" s="3" t="str">
        <f t="shared" si="14"/>
        <v>2022</v>
      </c>
      <c r="F210" s="2" t="s">
        <v>1660</v>
      </c>
      <c r="G210" t="s">
        <v>6144</v>
      </c>
      <c r="H210" s="2">
        <v>4</v>
      </c>
      <c r="I210" s="2" t="str">
        <f>_xlfn.XLOOKUP(F210,customers!A:A,customers!B:B)</f>
        <v>Constance Halfhide</v>
      </c>
      <c r="J210" s="2" t="str">
        <f>_xlfn.XLOOKUP(F210,customers!A:A,customers!C:C)</f>
        <v>chalfhide5s@google.ru</v>
      </c>
      <c r="K210" s="2" t="str">
        <f>_xlfn.XLOOKUP(F210,customers!A:A,customers!F:F)</f>
        <v>Fermoy</v>
      </c>
      <c r="L210" s="2" t="str">
        <f>_xlfn.XLOOKUP(F210,customers!A:A,customers!G:G)</f>
        <v>Ireland</v>
      </c>
      <c r="M210" t="str">
        <f>_xlfn.XLOOKUP(G210,products!A:A,products!B:B)</f>
        <v>Exc</v>
      </c>
      <c r="N210" t="str">
        <f>_xlfn.XLOOKUP(G210,products!A:A,products!C:C)</f>
        <v>D</v>
      </c>
      <c r="O210">
        <f>_xlfn.XLOOKUP(G210,products!A:A,products!D:D)</f>
        <v>0.5</v>
      </c>
      <c r="P210">
        <f>_xlfn.XLOOKUP(G210,products!A:A,products!E:E)</f>
        <v>7.29</v>
      </c>
      <c r="Q210">
        <f t="shared" si="15"/>
        <v>29.16</v>
      </c>
      <c r="R210" t="str" cm="1">
        <f t="array" ref="R210">_xlfn.IFS(Q210&lt;=50,"low sales",Q210&lt;=100,"medium sales",Q210&gt;100,"High sales")</f>
        <v>low sales</v>
      </c>
    </row>
    <row r="211" spans="1:18" x14ac:dyDescent="0.35">
      <c r="A211" s="2" t="s">
        <v>1665</v>
      </c>
      <c r="B211" s="3">
        <v>44105</v>
      </c>
      <c r="C211" s="3" t="str">
        <f t="shared" si="12"/>
        <v>Thursday</v>
      </c>
      <c r="D211" s="3" t="str">
        <f t="shared" si="13"/>
        <v>October</v>
      </c>
      <c r="E211" s="3" t="str">
        <f t="shared" si="14"/>
        <v>2020</v>
      </c>
      <c r="F211" s="2" t="s">
        <v>1666</v>
      </c>
      <c r="G211" t="s">
        <v>6157</v>
      </c>
      <c r="H211" s="2">
        <v>1</v>
      </c>
      <c r="I211" s="2" t="str">
        <f>_xlfn.XLOOKUP(F211,customers!A:A,customers!B:B)</f>
        <v>Fransisco Malecky</v>
      </c>
      <c r="J211" s="2" t="str">
        <f>_xlfn.XLOOKUP(F211,customers!A:A,customers!C:C)</f>
        <v>fmalecky5t@list-manage.com</v>
      </c>
      <c r="K211" s="2" t="str">
        <f>_xlfn.XLOOKUP(F211,customers!A:A,customers!F:F)</f>
        <v>Whitwell</v>
      </c>
      <c r="L211" s="2" t="str">
        <f>_xlfn.XLOOKUP(F211,customers!A:A,customers!G:G)</f>
        <v>United Kingdom</v>
      </c>
      <c r="M211" t="str">
        <f>_xlfn.XLOOKUP(G211,products!A:A,products!B:B)</f>
        <v>Ara</v>
      </c>
      <c r="N211" t="str">
        <f>_xlfn.XLOOKUP(G211,products!A:A,products!C:C)</f>
        <v>M</v>
      </c>
      <c r="O211">
        <f>_xlfn.XLOOKUP(G211,products!A:A,products!D:D)</f>
        <v>0.5</v>
      </c>
      <c r="P211">
        <f>_xlfn.XLOOKUP(G211,products!A:A,products!E:E)</f>
        <v>6.75</v>
      </c>
      <c r="Q211">
        <f t="shared" si="15"/>
        <v>6.75</v>
      </c>
      <c r="R211" t="str" cm="1">
        <f t="array" ref="R211">_xlfn.IFS(Q211&lt;=50,"low sales",Q211&lt;=100,"medium sales",Q211&gt;100,"High sales")</f>
        <v>low sales</v>
      </c>
    </row>
    <row r="212" spans="1:18" x14ac:dyDescent="0.35">
      <c r="A212" s="2" t="s">
        <v>1671</v>
      </c>
      <c r="B212" s="3">
        <v>43766</v>
      </c>
      <c r="C212" s="3" t="str">
        <f t="shared" si="12"/>
        <v>Monday</v>
      </c>
      <c r="D212" s="3" t="str">
        <f t="shared" si="13"/>
        <v>October</v>
      </c>
      <c r="E212" s="3" t="str">
        <f t="shared" si="14"/>
        <v>2019</v>
      </c>
      <c r="F212" s="2" t="s">
        <v>1672</v>
      </c>
      <c r="G212" t="s">
        <v>6143</v>
      </c>
      <c r="H212" s="2">
        <v>4</v>
      </c>
      <c r="I212" s="2" t="str">
        <f>_xlfn.XLOOKUP(F212,customers!A:A,customers!B:B)</f>
        <v>Anselma Attwater</v>
      </c>
      <c r="J212" s="2" t="str">
        <f>_xlfn.XLOOKUP(F212,customers!A:A,customers!C:C)</f>
        <v>aattwater5u@wikia.com</v>
      </c>
      <c r="K212" s="2" t="str">
        <f>_xlfn.XLOOKUP(F212,customers!A:A,customers!F:F)</f>
        <v>Charlottesville</v>
      </c>
      <c r="L212" s="2" t="str">
        <f>_xlfn.XLOOKUP(F212,customers!A:A,customers!G:G)</f>
        <v>United States</v>
      </c>
      <c r="M212" t="str">
        <f>_xlfn.XLOOKUP(G212,products!A:A,products!B:B)</f>
        <v>Lib</v>
      </c>
      <c r="N212" t="str">
        <f>_xlfn.XLOOKUP(G212,products!A:A,products!C:C)</f>
        <v>D</v>
      </c>
      <c r="O212">
        <f>_xlfn.XLOOKUP(G212,products!A:A,products!D:D)</f>
        <v>1</v>
      </c>
      <c r="P212">
        <f>_xlfn.XLOOKUP(G212,products!A:A,products!E:E)</f>
        <v>12.95</v>
      </c>
      <c r="Q212">
        <f t="shared" si="15"/>
        <v>51.8</v>
      </c>
      <c r="R212" t="str" cm="1">
        <f t="array" ref="R212">_xlfn.IFS(Q212&lt;=50,"low sales",Q212&lt;=100,"medium sales",Q212&gt;100,"High sales")</f>
        <v>medium sales</v>
      </c>
    </row>
    <row r="213" spans="1:18" x14ac:dyDescent="0.35">
      <c r="A213" s="2" t="s">
        <v>1677</v>
      </c>
      <c r="B213" s="3">
        <v>44283</v>
      </c>
      <c r="C213" s="3" t="str">
        <f t="shared" si="12"/>
        <v>Sunday</v>
      </c>
      <c r="D213" s="3" t="str">
        <f t="shared" si="13"/>
        <v>March</v>
      </c>
      <c r="E213" s="3" t="str">
        <f t="shared" si="14"/>
        <v>2021</v>
      </c>
      <c r="F213" s="2" t="s">
        <v>1678</v>
      </c>
      <c r="G213" t="s">
        <v>6176</v>
      </c>
      <c r="H213" s="2">
        <v>6</v>
      </c>
      <c r="I213" s="2" t="str">
        <f>_xlfn.XLOOKUP(F213,customers!A:A,customers!B:B)</f>
        <v>Minette Whellans</v>
      </c>
      <c r="J213" s="2" t="str">
        <f>_xlfn.XLOOKUP(F213,customers!A:A,customers!C:C)</f>
        <v>mwhellans5v@mapquest.com</v>
      </c>
      <c r="K213" s="2" t="str">
        <f>_xlfn.XLOOKUP(F213,customers!A:A,customers!F:F)</f>
        <v>New York City</v>
      </c>
      <c r="L213" s="2" t="str">
        <f>_xlfn.XLOOKUP(F213,customers!A:A,customers!G:G)</f>
        <v>United States</v>
      </c>
      <c r="M213" t="str">
        <f>_xlfn.XLOOKUP(G213,products!A:A,products!B:B)</f>
        <v>Exc</v>
      </c>
      <c r="N213" t="str">
        <f>_xlfn.XLOOKUP(G213,products!A:A,products!C:C)</f>
        <v>L</v>
      </c>
      <c r="O213">
        <f>_xlfn.XLOOKUP(G213,products!A:A,products!D:D)</f>
        <v>0.5</v>
      </c>
      <c r="P213">
        <f>_xlfn.XLOOKUP(G213,products!A:A,products!E:E)</f>
        <v>8.91</v>
      </c>
      <c r="Q213">
        <f t="shared" si="15"/>
        <v>53.46</v>
      </c>
      <c r="R213" t="str" cm="1">
        <f t="array" ref="R213">_xlfn.IFS(Q213&lt;=50,"low sales",Q213&lt;=100,"medium sales",Q213&gt;100,"High sales")</f>
        <v>medium sales</v>
      </c>
    </row>
    <row r="214" spans="1:18" x14ac:dyDescent="0.35">
      <c r="A214" s="2" t="s">
        <v>1682</v>
      </c>
      <c r="B214" s="3">
        <v>43921</v>
      </c>
      <c r="C214" s="3" t="str">
        <f t="shared" si="12"/>
        <v>Tuesday</v>
      </c>
      <c r="D214" s="3" t="str">
        <f t="shared" si="13"/>
        <v>March</v>
      </c>
      <c r="E214" s="3" t="str">
        <f t="shared" si="14"/>
        <v>2020</v>
      </c>
      <c r="F214" s="2" t="s">
        <v>1683</v>
      </c>
      <c r="G214" t="s">
        <v>6153</v>
      </c>
      <c r="H214" s="2">
        <v>4</v>
      </c>
      <c r="I214" s="2" t="str">
        <f>_xlfn.XLOOKUP(F214,customers!A:A,customers!B:B)</f>
        <v>Dael Camilletti</v>
      </c>
      <c r="J214" s="2" t="str">
        <f>_xlfn.XLOOKUP(F214,customers!A:A,customers!C:C)</f>
        <v>dcamilletti5w@businesswire.com</v>
      </c>
      <c r="K214" s="2" t="str">
        <f>_xlfn.XLOOKUP(F214,customers!A:A,customers!F:F)</f>
        <v>Roanoke</v>
      </c>
      <c r="L214" s="2" t="str">
        <f>_xlfn.XLOOKUP(F214,customers!A:A,customers!G:G)</f>
        <v>United States</v>
      </c>
      <c r="M214" t="str">
        <f>_xlfn.XLOOKUP(G214,products!A:A,products!B:B)</f>
        <v>Exc</v>
      </c>
      <c r="N214" t="str">
        <f>_xlfn.XLOOKUP(G214,products!A:A,products!C:C)</f>
        <v>D</v>
      </c>
      <c r="O214">
        <f>_xlfn.XLOOKUP(G214,products!A:A,products!D:D)</f>
        <v>0.2</v>
      </c>
      <c r="P214">
        <f>_xlfn.XLOOKUP(G214,products!A:A,products!E:E)</f>
        <v>3.645</v>
      </c>
      <c r="Q214">
        <f t="shared" si="15"/>
        <v>14.58</v>
      </c>
      <c r="R214" t="str" cm="1">
        <f t="array" ref="R214">_xlfn.IFS(Q214&lt;=50,"low sales",Q214&lt;=100,"medium sales",Q214&gt;100,"High sales")</f>
        <v>low sales</v>
      </c>
    </row>
    <row r="215" spans="1:18" x14ac:dyDescent="0.35">
      <c r="A215" s="2" t="s">
        <v>1688</v>
      </c>
      <c r="B215" s="3">
        <v>44646</v>
      </c>
      <c r="C215" s="3" t="str">
        <f t="shared" si="12"/>
        <v>Saturday</v>
      </c>
      <c r="D215" s="3" t="str">
        <f t="shared" si="13"/>
        <v>March</v>
      </c>
      <c r="E215" s="3" t="str">
        <f t="shared" si="14"/>
        <v>2022</v>
      </c>
      <c r="F215" s="2" t="s">
        <v>1689</v>
      </c>
      <c r="G215" t="s">
        <v>6149</v>
      </c>
      <c r="H215" s="2">
        <v>1</v>
      </c>
      <c r="I215" s="2" t="str">
        <f>_xlfn.XLOOKUP(F215,customers!A:A,customers!B:B)</f>
        <v>Emiline Galgey</v>
      </c>
      <c r="J215" s="2" t="str">
        <f>_xlfn.XLOOKUP(F215,customers!A:A,customers!C:C)</f>
        <v>egalgey5x@wufoo.com</v>
      </c>
      <c r="K215" s="2" t="str">
        <f>_xlfn.XLOOKUP(F215,customers!A:A,customers!F:F)</f>
        <v>New York City</v>
      </c>
      <c r="L215" s="2" t="str">
        <f>_xlfn.XLOOKUP(F215,customers!A:A,customers!G:G)</f>
        <v>United States</v>
      </c>
      <c r="M215" t="str">
        <f>_xlfn.XLOOKUP(G215,products!A:A,products!B:B)</f>
        <v>Rob</v>
      </c>
      <c r="N215" t="str">
        <f>_xlfn.XLOOKUP(G215,products!A:A,products!C:C)</f>
        <v>D</v>
      </c>
      <c r="O215">
        <f>_xlfn.XLOOKUP(G215,products!A:A,products!D:D)</f>
        <v>2.5</v>
      </c>
      <c r="P215">
        <f>_xlfn.XLOOKUP(G215,products!A:A,products!E:E)</f>
        <v>20.584999999999997</v>
      </c>
      <c r="Q215">
        <f t="shared" si="15"/>
        <v>20.584999999999997</v>
      </c>
      <c r="R215" t="str" cm="1">
        <f t="array" ref="R215">_xlfn.IFS(Q215&lt;=50,"low sales",Q215&lt;=100,"medium sales",Q215&gt;100,"High sales")</f>
        <v>low sales</v>
      </c>
    </row>
    <row r="216" spans="1:18" x14ac:dyDescent="0.35">
      <c r="A216" s="2" t="s">
        <v>1694</v>
      </c>
      <c r="B216" s="3">
        <v>43775</v>
      </c>
      <c r="C216" s="3" t="str">
        <f t="shared" si="12"/>
        <v>Wednesday</v>
      </c>
      <c r="D216" s="3" t="str">
        <f t="shared" si="13"/>
        <v>November</v>
      </c>
      <c r="E216" s="3" t="str">
        <f t="shared" si="14"/>
        <v>2019</v>
      </c>
      <c r="F216" s="2" t="s">
        <v>1695</v>
      </c>
      <c r="G216" t="s">
        <v>6170</v>
      </c>
      <c r="H216" s="2">
        <v>2</v>
      </c>
      <c r="I216" s="2" t="str">
        <f>_xlfn.XLOOKUP(F216,customers!A:A,customers!B:B)</f>
        <v>Murdock Hame</v>
      </c>
      <c r="J216" s="2" t="str">
        <f>_xlfn.XLOOKUP(F216,customers!A:A,customers!C:C)</f>
        <v>mhame5y@newsvine.com</v>
      </c>
      <c r="K216" s="2" t="str">
        <f>_xlfn.XLOOKUP(F216,customers!A:A,customers!F:F)</f>
        <v>Balally</v>
      </c>
      <c r="L216" s="2" t="str">
        <f>_xlfn.XLOOKUP(F216,customers!A:A,customers!G:G)</f>
        <v>Ireland</v>
      </c>
      <c r="M216" t="str">
        <f>_xlfn.XLOOKUP(G216,products!A:A,products!B:B)</f>
        <v>Lib</v>
      </c>
      <c r="N216" t="str">
        <f>_xlfn.XLOOKUP(G216,products!A:A,products!C:C)</f>
        <v>L</v>
      </c>
      <c r="O216">
        <f>_xlfn.XLOOKUP(G216,products!A:A,products!D:D)</f>
        <v>1</v>
      </c>
      <c r="P216">
        <f>_xlfn.XLOOKUP(G216,products!A:A,products!E:E)</f>
        <v>15.85</v>
      </c>
      <c r="Q216">
        <f t="shared" si="15"/>
        <v>31.7</v>
      </c>
      <c r="R216" t="str" cm="1">
        <f t="array" ref="R216">_xlfn.IFS(Q216&lt;=50,"low sales",Q216&lt;=100,"medium sales",Q216&gt;100,"High sales")</f>
        <v>low sales</v>
      </c>
    </row>
    <row r="217" spans="1:18" x14ac:dyDescent="0.35">
      <c r="A217" s="2" t="s">
        <v>1701</v>
      </c>
      <c r="B217" s="3">
        <v>43829</v>
      </c>
      <c r="C217" s="3" t="str">
        <f t="shared" si="12"/>
        <v>Monday</v>
      </c>
      <c r="D217" s="3" t="str">
        <f t="shared" si="13"/>
        <v>December</v>
      </c>
      <c r="E217" s="3" t="str">
        <f t="shared" si="14"/>
        <v>2019</v>
      </c>
      <c r="F217" s="2" t="s">
        <v>1702</v>
      </c>
      <c r="G217" t="s">
        <v>6150</v>
      </c>
      <c r="H217" s="2">
        <v>6</v>
      </c>
      <c r="I217" s="2" t="str">
        <f>_xlfn.XLOOKUP(F217,customers!A:A,customers!B:B)</f>
        <v>Ilka Gurnee</v>
      </c>
      <c r="J217" s="2" t="str">
        <f>_xlfn.XLOOKUP(F217,customers!A:A,customers!C:C)</f>
        <v>igurnee5z@usnews.com</v>
      </c>
      <c r="K217" s="2" t="str">
        <f>_xlfn.XLOOKUP(F217,customers!A:A,customers!F:F)</f>
        <v>Salt Lake City</v>
      </c>
      <c r="L217" s="2" t="str">
        <f>_xlfn.XLOOKUP(F217,customers!A:A,customers!G:G)</f>
        <v>United States</v>
      </c>
      <c r="M217" t="str">
        <f>_xlfn.XLOOKUP(G217,products!A:A,products!B:B)</f>
        <v>Lib</v>
      </c>
      <c r="N217" t="str">
        <f>_xlfn.XLOOKUP(G217,products!A:A,products!C:C)</f>
        <v>D</v>
      </c>
      <c r="O217">
        <f>_xlfn.XLOOKUP(G217,products!A:A,products!D:D)</f>
        <v>0.2</v>
      </c>
      <c r="P217">
        <f>_xlfn.XLOOKUP(G217,products!A:A,products!E:E)</f>
        <v>3.8849999999999998</v>
      </c>
      <c r="Q217">
        <f t="shared" si="15"/>
        <v>23.31</v>
      </c>
      <c r="R217" t="str" cm="1">
        <f t="array" ref="R217">_xlfn.IFS(Q217&lt;=50,"low sales",Q217&lt;=100,"medium sales",Q217&gt;100,"High sales")</f>
        <v>low sales</v>
      </c>
    </row>
    <row r="218" spans="1:18" x14ac:dyDescent="0.35">
      <c r="A218" s="2" t="s">
        <v>1707</v>
      </c>
      <c r="B218" s="3">
        <v>44470</v>
      </c>
      <c r="C218" s="3" t="str">
        <f t="shared" si="12"/>
        <v>Friday</v>
      </c>
      <c r="D218" s="3" t="str">
        <f t="shared" si="13"/>
        <v>October</v>
      </c>
      <c r="E218" s="3" t="str">
        <f t="shared" si="14"/>
        <v>2021</v>
      </c>
      <c r="F218" s="2" t="s">
        <v>1708</v>
      </c>
      <c r="G218" t="s">
        <v>6162</v>
      </c>
      <c r="H218" s="2">
        <v>4</v>
      </c>
      <c r="I218" s="2" t="str">
        <f>_xlfn.XLOOKUP(F218,customers!A:A,customers!B:B)</f>
        <v>Alfy Snowding</v>
      </c>
      <c r="J218" s="2" t="str">
        <f>_xlfn.XLOOKUP(F218,customers!A:A,customers!C:C)</f>
        <v>asnowding60@comsenz.com</v>
      </c>
      <c r="K218" s="2" t="str">
        <f>_xlfn.XLOOKUP(F218,customers!A:A,customers!F:F)</f>
        <v>Toledo</v>
      </c>
      <c r="L218" s="2" t="str">
        <f>_xlfn.XLOOKUP(F218,customers!A:A,customers!G:G)</f>
        <v>United States</v>
      </c>
      <c r="M218" t="str">
        <f>_xlfn.XLOOKUP(G218,products!A:A,products!B:B)</f>
        <v>Lib</v>
      </c>
      <c r="N218" t="str">
        <f>_xlfn.XLOOKUP(G218,products!A:A,products!C:C)</f>
        <v>M</v>
      </c>
      <c r="O218">
        <f>_xlfn.XLOOKUP(G218,products!A:A,products!D:D)</f>
        <v>1</v>
      </c>
      <c r="P218">
        <f>_xlfn.XLOOKUP(G218,products!A:A,products!E:E)</f>
        <v>14.55</v>
      </c>
      <c r="Q218">
        <f t="shared" si="15"/>
        <v>58.2</v>
      </c>
      <c r="R218" t="str" cm="1">
        <f t="array" ref="R218">_xlfn.IFS(Q218&lt;=50,"low sales",Q218&lt;=100,"medium sales",Q218&gt;100,"High sales")</f>
        <v>medium sales</v>
      </c>
    </row>
    <row r="219" spans="1:18" x14ac:dyDescent="0.35">
      <c r="A219" s="2" t="s">
        <v>1713</v>
      </c>
      <c r="B219" s="3">
        <v>44174</v>
      </c>
      <c r="C219" s="3" t="str">
        <f t="shared" si="12"/>
        <v>Wednesday</v>
      </c>
      <c r="D219" s="3" t="str">
        <f t="shared" si="13"/>
        <v>December</v>
      </c>
      <c r="E219" s="3" t="str">
        <f t="shared" si="14"/>
        <v>2020</v>
      </c>
      <c r="F219" s="2" t="s">
        <v>1714</v>
      </c>
      <c r="G219" t="s">
        <v>6176</v>
      </c>
      <c r="H219" s="2">
        <v>4</v>
      </c>
      <c r="I219" s="2" t="str">
        <f>_xlfn.XLOOKUP(F219,customers!A:A,customers!B:B)</f>
        <v>Godfry Poinsett</v>
      </c>
      <c r="J219" s="2" t="str">
        <f>_xlfn.XLOOKUP(F219,customers!A:A,customers!C:C)</f>
        <v>gpoinsett61@berkeley.edu</v>
      </c>
      <c r="K219" s="2" t="str">
        <f>_xlfn.XLOOKUP(F219,customers!A:A,customers!F:F)</f>
        <v>Pasadena</v>
      </c>
      <c r="L219" s="2" t="str">
        <f>_xlfn.XLOOKUP(F219,customers!A:A,customers!G:G)</f>
        <v>United States</v>
      </c>
      <c r="M219" t="str">
        <f>_xlfn.XLOOKUP(G219,products!A:A,products!B:B)</f>
        <v>Exc</v>
      </c>
      <c r="N219" t="str">
        <f>_xlfn.XLOOKUP(G219,products!A:A,products!C:C)</f>
        <v>L</v>
      </c>
      <c r="O219">
        <f>_xlfn.XLOOKUP(G219,products!A:A,products!D:D)</f>
        <v>0.5</v>
      </c>
      <c r="P219">
        <f>_xlfn.XLOOKUP(G219,products!A:A,products!E:E)</f>
        <v>8.91</v>
      </c>
      <c r="Q219">
        <f t="shared" si="15"/>
        <v>35.64</v>
      </c>
      <c r="R219" t="str" cm="1">
        <f t="array" ref="R219">_xlfn.IFS(Q219&lt;=50,"low sales",Q219&lt;=100,"medium sales",Q219&gt;100,"High sales")</f>
        <v>low sales</v>
      </c>
    </row>
    <row r="220" spans="1:18" x14ac:dyDescent="0.35">
      <c r="A220" s="2" t="s">
        <v>1719</v>
      </c>
      <c r="B220" s="3">
        <v>44317</v>
      </c>
      <c r="C220" s="3" t="str">
        <f t="shared" si="12"/>
        <v>Saturday</v>
      </c>
      <c r="D220" s="3" t="str">
        <f t="shared" si="13"/>
        <v>May</v>
      </c>
      <c r="E220" s="3" t="str">
        <f t="shared" si="14"/>
        <v>2021</v>
      </c>
      <c r="F220" s="2" t="s">
        <v>1720</v>
      </c>
      <c r="G220" t="s">
        <v>6155</v>
      </c>
      <c r="H220" s="2">
        <v>5</v>
      </c>
      <c r="I220" s="2" t="str">
        <f>_xlfn.XLOOKUP(F220,customers!A:A,customers!B:B)</f>
        <v>Rem Furman</v>
      </c>
      <c r="J220" s="2" t="str">
        <f>_xlfn.XLOOKUP(F220,customers!A:A,customers!C:C)</f>
        <v>rfurman62@t.co</v>
      </c>
      <c r="K220" s="2" t="str">
        <f>_xlfn.XLOOKUP(F220,customers!A:A,customers!F:F)</f>
        <v>Kinsale</v>
      </c>
      <c r="L220" s="2" t="str">
        <f>_xlfn.XLOOKUP(F220,customers!A:A,customers!G:G)</f>
        <v>Ireland</v>
      </c>
      <c r="M220" t="str">
        <f>_xlfn.XLOOKUP(G220,products!A:A,products!B:B)</f>
        <v>Ara</v>
      </c>
      <c r="N220" t="str">
        <f>_xlfn.XLOOKUP(G220,products!A:A,products!C:C)</f>
        <v>M</v>
      </c>
      <c r="O220">
        <f>_xlfn.XLOOKUP(G220,products!A:A,products!D:D)</f>
        <v>1</v>
      </c>
      <c r="P220">
        <f>_xlfn.XLOOKUP(G220,products!A:A,products!E:E)</f>
        <v>11.25</v>
      </c>
      <c r="Q220">
        <f t="shared" si="15"/>
        <v>56.25</v>
      </c>
      <c r="R220" t="str" cm="1">
        <f t="array" ref="R220">_xlfn.IFS(Q220&lt;=50,"low sales",Q220&lt;=100,"medium sales",Q220&gt;100,"High sales")</f>
        <v>medium sales</v>
      </c>
    </row>
    <row r="221" spans="1:18" x14ac:dyDescent="0.35">
      <c r="A221" s="2" t="s">
        <v>1725</v>
      </c>
      <c r="B221" s="3">
        <v>44777</v>
      </c>
      <c r="C221" s="3" t="str">
        <f t="shared" si="12"/>
        <v>Thursday</v>
      </c>
      <c r="D221" s="3" t="str">
        <f t="shared" si="13"/>
        <v>August</v>
      </c>
      <c r="E221" s="3" t="str">
        <f t="shared" si="14"/>
        <v>2022</v>
      </c>
      <c r="F221" s="2" t="s">
        <v>1726</v>
      </c>
      <c r="G221" t="s">
        <v>6178</v>
      </c>
      <c r="H221" s="2">
        <v>3</v>
      </c>
      <c r="I221" s="2" t="str">
        <f>_xlfn.XLOOKUP(F221,customers!A:A,customers!B:B)</f>
        <v>Charis Crosier</v>
      </c>
      <c r="J221" s="2" t="str">
        <f>_xlfn.XLOOKUP(F221,customers!A:A,customers!C:C)</f>
        <v>ccrosier63@xrea.com</v>
      </c>
      <c r="K221" s="2" t="str">
        <f>_xlfn.XLOOKUP(F221,customers!A:A,customers!F:F)</f>
        <v>Lees Summit</v>
      </c>
      <c r="L221" s="2" t="str">
        <f>_xlfn.XLOOKUP(F221,customers!A:A,customers!G:G)</f>
        <v>United States</v>
      </c>
      <c r="M221" t="str">
        <f>_xlfn.XLOOKUP(G221,products!A:A,products!B:B)</f>
        <v>Rob</v>
      </c>
      <c r="N221" t="str">
        <f>_xlfn.XLOOKUP(G221,products!A:A,products!C:C)</f>
        <v>L</v>
      </c>
      <c r="O221">
        <f>_xlfn.XLOOKUP(G221,products!A:A,products!D:D)</f>
        <v>0.2</v>
      </c>
      <c r="P221">
        <f>_xlfn.XLOOKUP(G221,products!A:A,products!E:E)</f>
        <v>3.5849999999999995</v>
      </c>
      <c r="Q221">
        <f t="shared" si="15"/>
        <v>10.754999999999999</v>
      </c>
      <c r="R221" t="str" cm="1">
        <f t="array" ref="R221">_xlfn.IFS(Q221&lt;=50,"low sales",Q221&lt;=100,"medium sales",Q221&gt;100,"High sales")</f>
        <v>low sales</v>
      </c>
    </row>
    <row r="222" spans="1:18" x14ac:dyDescent="0.35">
      <c r="A222" s="2" t="s">
        <v>1725</v>
      </c>
      <c r="B222" s="3">
        <v>44777</v>
      </c>
      <c r="C222" s="3" t="str">
        <f t="shared" si="12"/>
        <v>Thursday</v>
      </c>
      <c r="D222" s="3" t="str">
        <f t="shared" si="13"/>
        <v>August</v>
      </c>
      <c r="E222" s="3" t="str">
        <f t="shared" si="14"/>
        <v>2022</v>
      </c>
      <c r="F222" s="2" t="s">
        <v>1726</v>
      </c>
      <c r="G222" t="s">
        <v>6174</v>
      </c>
      <c r="H222" s="2">
        <v>5</v>
      </c>
      <c r="I222" s="2" t="str">
        <f>_xlfn.XLOOKUP(F222,customers!A:A,customers!B:B)</f>
        <v>Charis Crosier</v>
      </c>
      <c r="J222" s="2" t="str">
        <f>_xlfn.XLOOKUP(F222,customers!A:A,customers!C:C)</f>
        <v>ccrosier63@xrea.com</v>
      </c>
      <c r="K222" s="2" t="str">
        <f>_xlfn.XLOOKUP(F222,customers!A:A,customers!F:F)</f>
        <v>Lees Summit</v>
      </c>
      <c r="L222" s="2" t="str">
        <f>_xlfn.XLOOKUP(F222,customers!A:A,customers!G:G)</f>
        <v>United States</v>
      </c>
      <c r="M222" t="str">
        <f>_xlfn.XLOOKUP(G222,products!A:A,products!B:B)</f>
        <v>Rob</v>
      </c>
      <c r="N222" t="str">
        <f>_xlfn.XLOOKUP(G222,products!A:A,products!C:C)</f>
        <v>M</v>
      </c>
      <c r="O222">
        <f>_xlfn.XLOOKUP(G222,products!A:A,products!D:D)</f>
        <v>0.2</v>
      </c>
      <c r="P222">
        <f>_xlfn.XLOOKUP(G222,products!A:A,products!E:E)</f>
        <v>2.9849999999999999</v>
      </c>
      <c r="Q222">
        <f t="shared" si="15"/>
        <v>14.924999999999999</v>
      </c>
      <c r="R222" t="str" cm="1">
        <f t="array" ref="R222">_xlfn.IFS(Q222&lt;=50,"low sales",Q222&lt;=100,"medium sales",Q222&gt;100,"High sales")</f>
        <v>low sales</v>
      </c>
    </row>
    <row r="223" spans="1:18" x14ac:dyDescent="0.35">
      <c r="A223" s="2" t="s">
        <v>1736</v>
      </c>
      <c r="B223" s="3">
        <v>44513</v>
      </c>
      <c r="C223" s="3" t="str">
        <f t="shared" si="12"/>
        <v>Saturday</v>
      </c>
      <c r="D223" s="3" t="str">
        <f t="shared" si="13"/>
        <v>November</v>
      </c>
      <c r="E223" s="3" t="str">
        <f t="shared" si="14"/>
        <v>2021</v>
      </c>
      <c r="F223" s="2" t="s">
        <v>1737</v>
      </c>
      <c r="G223" t="s">
        <v>6140</v>
      </c>
      <c r="H223" s="2">
        <v>6</v>
      </c>
      <c r="I223" s="2" t="str">
        <f>_xlfn.XLOOKUP(F223,customers!A:A,customers!B:B)</f>
        <v>Lenka Rushmer</v>
      </c>
      <c r="J223" s="2" t="str">
        <f>_xlfn.XLOOKUP(F223,customers!A:A,customers!C:C)</f>
        <v>lrushmer65@europa.eu</v>
      </c>
      <c r="K223" s="2" t="str">
        <f>_xlfn.XLOOKUP(F223,customers!A:A,customers!F:F)</f>
        <v>Irvine</v>
      </c>
      <c r="L223" s="2" t="str">
        <f>_xlfn.XLOOKUP(F223,customers!A:A,customers!G:G)</f>
        <v>United States</v>
      </c>
      <c r="M223" t="str">
        <f>_xlfn.XLOOKUP(G223,products!A:A,products!B:B)</f>
        <v>Ara</v>
      </c>
      <c r="N223" t="str">
        <f>_xlfn.XLOOKUP(G223,products!A:A,products!C:C)</f>
        <v>L</v>
      </c>
      <c r="O223">
        <f>_xlfn.XLOOKUP(G223,products!A:A,products!D:D)</f>
        <v>1</v>
      </c>
      <c r="P223">
        <f>_xlfn.XLOOKUP(G223,products!A:A,products!E:E)</f>
        <v>12.95</v>
      </c>
      <c r="Q223">
        <f t="shared" si="15"/>
        <v>77.699999999999989</v>
      </c>
      <c r="R223" t="str" cm="1">
        <f t="array" ref="R223">_xlfn.IFS(Q223&lt;=50,"low sales",Q223&lt;=100,"medium sales",Q223&gt;100,"High sales")</f>
        <v>medium sales</v>
      </c>
    </row>
    <row r="224" spans="1:18" x14ac:dyDescent="0.35">
      <c r="A224" s="2" t="s">
        <v>1742</v>
      </c>
      <c r="B224" s="3">
        <v>44090</v>
      </c>
      <c r="C224" s="3" t="str">
        <f t="shared" si="12"/>
        <v>Wednesday</v>
      </c>
      <c r="D224" s="3" t="str">
        <f t="shared" si="13"/>
        <v>September</v>
      </c>
      <c r="E224" s="3" t="str">
        <f t="shared" si="14"/>
        <v>2020</v>
      </c>
      <c r="F224" s="2" t="s">
        <v>1743</v>
      </c>
      <c r="G224" t="s">
        <v>6169</v>
      </c>
      <c r="H224" s="2">
        <v>3</v>
      </c>
      <c r="I224" s="2" t="str">
        <f>_xlfn.XLOOKUP(F224,customers!A:A,customers!B:B)</f>
        <v>Waneta Edinborough</v>
      </c>
      <c r="J224" s="2" t="str">
        <f>_xlfn.XLOOKUP(F224,customers!A:A,customers!C:C)</f>
        <v>wedinborough66@github.io</v>
      </c>
      <c r="K224" s="2" t="str">
        <f>_xlfn.XLOOKUP(F224,customers!A:A,customers!F:F)</f>
        <v>Hicksville</v>
      </c>
      <c r="L224" s="2" t="str">
        <f>_xlfn.XLOOKUP(F224,customers!A:A,customers!G:G)</f>
        <v>United States</v>
      </c>
      <c r="M224" t="str">
        <f>_xlfn.XLOOKUP(G224,products!A:A,products!B:B)</f>
        <v>Lib</v>
      </c>
      <c r="N224" t="str">
        <f>_xlfn.XLOOKUP(G224,products!A:A,products!C:C)</f>
        <v>D</v>
      </c>
      <c r="O224">
        <f>_xlfn.XLOOKUP(G224,products!A:A,products!D:D)</f>
        <v>0.5</v>
      </c>
      <c r="P224">
        <f>_xlfn.XLOOKUP(G224,products!A:A,products!E:E)</f>
        <v>7.77</v>
      </c>
      <c r="Q224">
        <f t="shared" si="15"/>
        <v>23.31</v>
      </c>
      <c r="R224" t="str" cm="1">
        <f t="array" ref="R224">_xlfn.IFS(Q224&lt;=50,"low sales",Q224&lt;=100,"medium sales",Q224&gt;100,"High sales")</f>
        <v>low sales</v>
      </c>
    </row>
    <row r="225" spans="1:18" x14ac:dyDescent="0.35">
      <c r="A225" s="2" t="s">
        <v>1748</v>
      </c>
      <c r="B225" s="3">
        <v>44109</v>
      </c>
      <c r="C225" s="3" t="str">
        <f t="shared" si="12"/>
        <v>Monday</v>
      </c>
      <c r="D225" s="3" t="str">
        <f t="shared" si="13"/>
        <v>October</v>
      </c>
      <c r="E225" s="3" t="str">
        <f t="shared" si="14"/>
        <v>2020</v>
      </c>
      <c r="F225" s="2" t="s">
        <v>1749</v>
      </c>
      <c r="G225" t="s">
        <v>6171</v>
      </c>
      <c r="H225" s="2">
        <v>4</v>
      </c>
      <c r="I225" s="2" t="str">
        <f>_xlfn.XLOOKUP(F225,customers!A:A,customers!B:B)</f>
        <v>Bobbe Piggott</v>
      </c>
      <c r="J225" s="2">
        <f>_xlfn.XLOOKUP(F225,customers!A:A,customers!C:C)</f>
        <v>0</v>
      </c>
      <c r="K225" s="2" t="str">
        <f>_xlfn.XLOOKUP(F225,customers!A:A,customers!F:F)</f>
        <v>Washington</v>
      </c>
      <c r="L225" s="2" t="str">
        <f>_xlfn.XLOOKUP(F225,customers!A:A,customers!G:G)</f>
        <v>United States</v>
      </c>
      <c r="M225" t="str">
        <f>_xlfn.XLOOKUP(G225,products!A:A,products!B:B)</f>
        <v>Exc</v>
      </c>
      <c r="N225" t="str">
        <f>_xlfn.XLOOKUP(G225,products!A:A,products!C:C)</f>
        <v>L</v>
      </c>
      <c r="O225">
        <f>_xlfn.XLOOKUP(G225,products!A:A,products!D:D)</f>
        <v>1</v>
      </c>
      <c r="P225">
        <f>_xlfn.XLOOKUP(G225,products!A:A,products!E:E)</f>
        <v>14.85</v>
      </c>
      <c r="Q225">
        <f t="shared" si="15"/>
        <v>59.4</v>
      </c>
      <c r="R225" t="str" cm="1">
        <f t="array" ref="R225">_xlfn.IFS(Q225&lt;=50,"low sales",Q225&lt;=100,"medium sales",Q225&gt;100,"High sales")</f>
        <v>medium sales</v>
      </c>
    </row>
    <row r="226" spans="1:18" x14ac:dyDescent="0.35">
      <c r="A226" s="2" t="s">
        <v>1753</v>
      </c>
      <c r="B226" s="3">
        <v>43836</v>
      </c>
      <c r="C226" s="3" t="str">
        <f t="shared" si="12"/>
        <v>Monday</v>
      </c>
      <c r="D226" s="3" t="str">
        <f t="shared" si="13"/>
        <v>January</v>
      </c>
      <c r="E226" s="3" t="str">
        <f t="shared" si="14"/>
        <v>2020</v>
      </c>
      <c r="F226" s="2" t="s">
        <v>1754</v>
      </c>
      <c r="G226" t="s">
        <v>6165</v>
      </c>
      <c r="H226" s="2">
        <v>4</v>
      </c>
      <c r="I226" s="2" t="str">
        <f>_xlfn.XLOOKUP(F226,customers!A:A,customers!B:B)</f>
        <v>Ketty Bromehead</v>
      </c>
      <c r="J226" s="2" t="str">
        <f>_xlfn.XLOOKUP(F226,customers!A:A,customers!C:C)</f>
        <v>kbromehead68@un.org</v>
      </c>
      <c r="K226" s="2" t="str">
        <f>_xlfn.XLOOKUP(F226,customers!A:A,customers!F:F)</f>
        <v>New York City</v>
      </c>
      <c r="L226" s="2" t="str">
        <f>_xlfn.XLOOKUP(F226,customers!A:A,customers!G:G)</f>
        <v>United States</v>
      </c>
      <c r="M226" t="str">
        <f>_xlfn.XLOOKUP(G226,products!A:A,products!B:B)</f>
        <v>Lib</v>
      </c>
      <c r="N226" t="str">
        <f>_xlfn.XLOOKUP(G226,products!A:A,products!C:C)</f>
        <v>D</v>
      </c>
      <c r="O226">
        <f>_xlfn.XLOOKUP(G226,products!A:A,products!D:D)</f>
        <v>2.5</v>
      </c>
      <c r="P226">
        <f>_xlfn.XLOOKUP(G226,products!A:A,products!E:E)</f>
        <v>29.784999999999997</v>
      </c>
      <c r="Q226">
        <f t="shared" si="15"/>
        <v>119.13999999999999</v>
      </c>
      <c r="R226" t="str" cm="1">
        <f t="array" ref="R226">_xlfn.IFS(Q226&lt;=50,"low sales",Q226&lt;=100,"medium sales",Q226&gt;100,"High sales")</f>
        <v>High sales</v>
      </c>
    </row>
    <row r="227" spans="1:18" x14ac:dyDescent="0.35">
      <c r="A227" s="2" t="s">
        <v>1759</v>
      </c>
      <c r="B227" s="3">
        <v>44337</v>
      </c>
      <c r="C227" s="3" t="str">
        <f t="shared" si="12"/>
        <v>Friday</v>
      </c>
      <c r="D227" s="3" t="str">
        <f t="shared" si="13"/>
        <v>May</v>
      </c>
      <c r="E227" s="3" t="str">
        <f t="shared" si="14"/>
        <v>2021</v>
      </c>
      <c r="F227" s="2" t="s">
        <v>1760</v>
      </c>
      <c r="G227" t="s">
        <v>6178</v>
      </c>
      <c r="H227" s="2">
        <v>4</v>
      </c>
      <c r="I227" s="2" t="str">
        <f>_xlfn.XLOOKUP(F227,customers!A:A,customers!B:B)</f>
        <v>Elsbeth Westerman</v>
      </c>
      <c r="J227" s="2" t="str">
        <f>_xlfn.XLOOKUP(F227,customers!A:A,customers!C:C)</f>
        <v>ewesterman69@si.edu</v>
      </c>
      <c r="K227" s="2" t="str">
        <f>_xlfn.XLOOKUP(F227,customers!A:A,customers!F:F)</f>
        <v>Newmarket on Fergus</v>
      </c>
      <c r="L227" s="2" t="str">
        <f>_xlfn.XLOOKUP(F227,customers!A:A,customers!G:G)</f>
        <v>Ireland</v>
      </c>
      <c r="M227" t="str">
        <f>_xlfn.XLOOKUP(G227,products!A:A,products!B:B)</f>
        <v>Rob</v>
      </c>
      <c r="N227" t="str">
        <f>_xlfn.XLOOKUP(G227,products!A:A,products!C:C)</f>
        <v>L</v>
      </c>
      <c r="O227">
        <f>_xlfn.XLOOKUP(G227,products!A:A,products!D:D)</f>
        <v>0.2</v>
      </c>
      <c r="P227">
        <f>_xlfn.XLOOKUP(G227,products!A:A,products!E:E)</f>
        <v>3.5849999999999995</v>
      </c>
      <c r="Q227">
        <f t="shared" si="15"/>
        <v>14.339999999999998</v>
      </c>
      <c r="R227" t="str" cm="1">
        <f t="array" ref="R227">_xlfn.IFS(Q227&lt;=50,"low sales",Q227&lt;=100,"medium sales",Q227&gt;100,"High sales")</f>
        <v>low sales</v>
      </c>
    </row>
    <row r="228" spans="1:18" x14ac:dyDescent="0.35">
      <c r="A228" s="2" t="s">
        <v>1765</v>
      </c>
      <c r="B228" s="3">
        <v>43887</v>
      </c>
      <c r="C228" s="3" t="str">
        <f t="shared" si="12"/>
        <v>Wednesday</v>
      </c>
      <c r="D228" s="3" t="str">
        <f t="shared" si="13"/>
        <v>February</v>
      </c>
      <c r="E228" s="3" t="str">
        <f t="shared" si="14"/>
        <v>2020</v>
      </c>
      <c r="F228" s="2" t="s">
        <v>1766</v>
      </c>
      <c r="G228" t="s">
        <v>6175</v>
      </c>
      <c r="H228" s="2">
        <v>5</v>
      </c>
      <c r="I228" s="2" t="str">
        <f>_xlfn.XLOOKUP(F228,customers!A:A,customers!B:B)</f>
        <v>Anabelle Hutchens</v>
      </c>
      <c r="J228" s="2" t="str">
        <f>_xlfn.XLOOKUP(F228,customers!A:A,customers!C:C)</f>
        <v>ahutchens6a@amazonaws.com</v>
      </c>
      <c r="K228" s="2" t="str">
        <f>_xlfn.XLOOKUP(F228,customers!A:A,customers!F:F)</f>
        <v>Shawnee Mission</v>
      </c>
      <c r="L228" s="2" t="str">
        <f>_xlfn.XLOOKUP(F228,customers!A:A,customers!G:G)</f>
        <v>United States</v>
      </c>
      <c r="M228" t="str">
        <f>_xlfn.XLOOKUP(G228,products!A:A,products!B:B)</f>
        <v>Ara</v>
      </c>
      <c r="N228" t="str">
        <f>_xlfn.XLOOKUP(G228,products!A:A,products!C:C)</f>
        <v>M</v>
      </c>
      <c r="O228">
        <f>_xlfn.XLOOKUP(G228,products!A:A,products!D:D)</f>
        <v>2.5</v>
      </c>
      <c r="P228">
        <f>_xlfn.XLOOKUP(G228,products!A:A,products!E:E)</f>
        <v>25.874999999999996</v>
      </c>
      <c r="Q228">
        <f t="shared" si="15"/>
        <v>129.37499999999997</v>
      </c>
      <c r="R228" t="str" cm="1">
        <f t="array" ref="R228">_xlfn.IFS(Q228&lt;=50,"low sales",Q228&lt;=100,"medium sales",Q228&gt;100,"High sales")</f>
        <v>High sales</v>
      </c>
    </row>
    <row r="229" spans="1:18" x14ac:dyDescent="0.35">
      <c r="A229" s="2" t="s">
        <v>1771</v>
      </c>
      <c r="B229" s="3">
        <v>43880</v>
      </c>
      <c r="C229" s="3" t="str">
        <f t="shared" si="12"/>
        <v>Wednesday</v>
      </c>
      <c r="D229" s="3" t="str">
        <f t="shared" si="13"/>
        <v>February</v>
      </c>
      <c r="E229" s="3" t="str">
        <f t="shared" si="14"/>
        <v>2020</v>
      </c>
      <c r="F229" s="2" t="s">
        <v>1772</v>
      </c>
      <c r="G229" t="s">
        <v>6163</v>
      </c>
      <c r="H229" s="2">
        <v>6</v>
      </c>
      <c r="I229" s="2" t="str">
        <f>_xlfn.XLOOKUP(F229,customers!A:A,customers!B:B)</f>
        <v>Noak Wyvill</v>
      </c>
      <c r="J229" s="2" t="str">
        <f>_xlfn.XLOOKUP(F229,customers!A:A,customers!C:C)</f>
        <v>nwyvill6b@naver.com</v>
      </c>
      <c r="K229" s="2" t="str">
        <f>_xlfn.XLOOKUP(F229,customers!A:A,customers!F:F)</f>
        <v>Edinburgh</v>
      </c>
      <c r="L229" s="2" t="str">
        <f>_xlfn.XLOOKUP(F229,customers!A:A,customers!G:G)</f>
        <v>United Kingdom</v>
      </c>
      <c r="M229" t="str">
        <f>_xlfn.XLOOKUP(G229,products!A:A,products!B:B)</f>
        <v>Rob</v>
      </c>
      <c r="N229" t="str">
        <f>_xlfn.XLOOKUP(G229,products!A:A,products!C:C)</f>
        <v>D</v>
      </c>
      <c r="O229">
        <f>_xlfn.XLOOKUP(G229,products!A:A,products!D:D)</f>
        <v>0.2</v>
      </c>
      <c r="P229">
        <f>_xlfn.XLOOKUP(G229,products!A:A,products!E:E)</f>
        <v>2.6849999999999996</v>
      </c>
      <c r="Q229">
        <f t="shared" si="15"/>
        <v>16.11</v>
      </c>
      <c r="R229" t="str" cm="1">
        <f t="array" ref="R229">_xlfn.IFS(Q229&lt;=50,"low sales",Q229&lt;=100,"medium sales",Q229&gt;100,"High sales")</f>
        <v>low sales</v>
      </c>
    </row>
    <row r="230" spans="1:18" x14ac:dyDescent="0.35">
      <c r="A230" s="2" t="s">
        <v>1777</v>
      </c>
      <c r="B230" s="3">
        <v>44376</v>
      </c>
      <c r="C230" s="3" t="str">
        <f t="shared" si="12"/>
        <v>Tuesday</v>
      </c>
      <c r="D230" s="3" t="str">
        <f t="shared" si="13"/>
        <v>June</v>
      </c>
      <c r="E230" s="3" t="str">
        <f t="shared" si="14"/>
        <v>2021</v>
      </c>
      <c r="F230" s="2" t="s">
        <v>1778</v>
      </c>
      <c r="G230" t="s">
        <v>6178</v>
      </c>
      <c r="H230" s="2">
        <v>5</v>
      </c>
      <c r="I230" s="2" t="str">
        <f>_xlfn.XLOOKUP(F230,customers!A:A,customers!B:B)</f>
        <v>Beltran Mathon</v>
      </c>
      <c r="J230" s="2" t="str">
        <f>_xlfn.XLOOKUP(F230,customers!A:A,customers!C:C)</f>
        <v>bmathon6c@barnesandnoble.com</v>
      </c>
      <c r="K230" s="2" t="str">
        <f>_xlfn.XLOOKUP(F230,customers!A:A,customers!F:F)</f>
        <v>Sacramento</v>
      </c>
      <c r="L230" s="2" t="str">
        <f>_xlfn.XLOOKUP(F230,customers!A:A,customers!G:G)</f>
        <v>United States</v>
      </c>
      <c r="M230" t="str">
        <f>_xlfn.XLOOKUP(G230,products!A:A,products!B:B)</f>
        <v>Rob</v>
      </c>
      <c r="N230" t="str">
        <f>_xlfn.XLOOKUP(G230,products!A:A,products!C:C)</f>
        <v>L</v>
      </c>
      <c r="O230">
        <f>_xlfn.XLOOKUP(G230,products!A:A,products!D:D)</f>
        <v>0.2</v>
      </c>
      <c r="P230">
        <f>_xlfn.XLOOKUP(G230,products!A:A,products!E:E)</f>
        <v>3.5849999999999995</v>
      </c>
      <c r="Q230">
        <f t="shared" si="15"/>
        <v>17.924999999999997</v>
      </c>
      <c r="R230" t="str" cm="1">
        <f t="array" ref="R230">_xlfn.IFS(Q230&lt;=50,"low sales",Q230&lt;=100,"medium sales",Q230&gt;100,"High sales")</f>
        <v>low sales</v>
      </c>
    </row>
    <row r="231" spans="1:18" x14ac:dyDescent="0.35">
      <c r="A231" s="2" t="s">
        <v>1783</v>
      </c>
      <c r="B231" s="3">
        <v>44282</v>
      </c>
      <c r="C231" s="3" t="str">
        <f t="shared" si="12"/>
        <v>Saturday</v>
      </c>
      <c r="D231" s="3" t="str">
        <f t="shared" si="13"/>
        <v>March</v>
      </c>
      <c r="E231" s="3" t="str">
        <f t="shared" si="14"/>
        <v>2021</v>
      </c>
      <c r="F231" s="2" t="s">
        <v>1784</v>
      </c>
      <c r="G231" t="s">
        <v>6159</v>
      </c>
      <c r="H231" s="2">
        <v>2</v>
      </c>
      <c r="I231" s="2" t="str">
        <f>_xlfn.XLOOKUP(F231,customers!A:A,customers!B:B)</f>
        <v>Kristos Streight</v>
      </c>
      <c r="J231" s="2" t="str">
        <f>_xlfn.XLOOKUP(F231,customers!A:A,customers!C:C)</f>
        <v>kstreight6d@about.com</v>
      </c>
      <c r="K231" s="2" t="str">
        <f>_xlfn.XLOOKUP(F231,customers!A:A,customers!F:F)</f>
        <v>Wilkes Barre</v>
      </c>
      <c r="L231" s="2" t="str">
        <f>_xlfn.XLOOKUP(F231,customers!A:A,customers!G:G)</f>
        <v>United States</v>
      </c>
      <c r="M231" t="str">
        <f>_xlfn.XLOOKUP(G231,products!A:A,products!B:B)</f>
        <v>Lib</v>
      </c>
      <c r="N231" t="str">
        <f>_xlfn.XLOOKUP(G231,products!A:A,products!C:C)</f>
        <v>M</v>
      </c>
      <c r="O231">
        <f>_xlfn.XLOOKUP(G231,products!A:A,products!D:D)</f>
        <v>0.2</v>
      </c>
      <c r="P231">
        <f>_xlfn.XLOOKUP(G231,products!A:A,products!E:E)</f>
        <v>4.3650000000000002</v>
      </c>
      <c r="Q231">
        <f t="shared" si="15"/>
        <v>8.73</v>
      </c>
      <c r="R231" t="str" cm="1">
        <f t="array" ref="R231">_xlfn.IFS(Q231&lt;=50,"low sales",Q231&lt;=100,"medium sales",Q231&gt;100,"High sales")</f>
        <v>low sales</v>
      </c>
    </row>
    <row r="232" spans="1:18" x14ac:dyDescent="0.35">
      <c r="A232" s="2" t="s">
        <v>1789</v>
      </c>
      <c r="B232" s="3">
        <v>44496</v>
      </c>
      <c r="C232" s="3" t="str">
        <f t="shared" si="12"/>
        <v>Wednesday</v>
      </c>
      <c r="D232" s="3" t="str">
        <f t="shared" si="13"/>
        <v>October</v>
      </c>
      <c r="E232" s="3" t="str">
        <f t="shared" si="14"/>
        <v>2021</v>
      </c>
      <c r="F232" s="2" t="s">
        <v>1790</v>
      </c>
      <c r="G232" t="s">
        <v>6175</v>
      </c>
      <c r="H232" s="2">
        <v>2</v>
      </c>
      <c r="I232" s="2" t="str">
        <f>_xlfn.XLOOKUP(F232,customers!A:A,customers!B:B)</f>
        <v>Portie Cutchie</v>
      </c>
      <c r="J232" s="2" t="str">
        <f>_xlfn.XLOOKUP(F232,customers!A:A,customers!C:C)</f>
        <v>pcutchie6e@globo.com</v>
      </c>
      <c r="K232" s="2" t="str">
        <f>_xlfn.XLOOKUP(F232,customers!A:A,customers!F:F)</f>
        <v>Greensboro</v>
      </c>
      <c r="L232" s="2" t="str">
        <f>_xlfn.XLOOKUP(F232,customers!A:A,customers!G:G)</f>
        <v>United States</v>
      </c>
      <c r="M232" t="str">
        <f>_xlfn.XLOOKUP(G232,products!A:A,products!B:B)</f>
        <v>Ara</v>
      </c>
      <c r="N232" t="str">
        <f>_xlfn.XLOOKUP(G232,products!A:A,products!C:C)</f>
        <v>M</v>
      </c>
      <c r="O232">
        <f>_xlfn.XLOOKUP(G232,products!A:A,products!D:D)</f>
        <v>2.5</v>
      </c>
      <c r="P232">
        <f>_xlfn.XLOOKUP(G232,products!A:A,products!E:E)</f>
        <v>25.874999999999996</v>
      </c>
      <c r="Q232">
        <f t="shared" si="15"/>
        <v>51.749999999999993</v>
      </c>
      <c r="R232" t="str" cm="1">
        <f t="array" ref="R232">_xlfn.IFS(Q232&lt;=50,"low sales",Q232&lt;=100,"medium sales",Q232&gt;100,"High sales")</f>
        <v>medium sales</v>
      </c>
    </row>
    <row r="233" spans="1:18" x14ac:dyDescent="0.35">
      <c r="A233" s="2" t="s">
        <v>1795</v>
      </c>
      <c r="B233" s="3">
        <v>43628</v>
      </c>
      <c r="C233" s="3" t="str">
        <f t="shared" si="12"/>
        <v>Wednesday</v>
      </c>
      <c r="D233" s="3" t="str">
        <f t="shared" si="13"/>
        <v>June</v>
      </c>
      <c r="E233" s="3" t="str">
        <f t="shared" si="14"/>
        <v>2019</v>
      </c>
      <c r="F233" s="2" t="s">
        <v>1796</v>
      </c>
      <c r="G233" t="s">
        <v>6159</v>
      </c>
      <c r="H233" s="2">
        <v>2</v>
      </c>
      <c r="I233" s="2" t="str">
        <f>_xlfn.XLOOKUP(F233,customers!A:A,customers!B:B)</f>
        <v>Sinclare Edsell</v>
      </c>
      <c r="J233" s="2">
        <f>_xlfn.XLOOKUP(F233,customers!A:A,customers!C:C)</f>
        <v>0</v>
      </c>
      <c r="K233" s="2" t="str">
        <f>_xlfn.XLOOKUP(F233,customers!A:A,customers!F:F)</f>
        <v>Newark</v>
      </c>
      <c r="L233" s="2" t="str">
        <f>_xlfn.XLOOKUP(F233,customers!A:A,customers!G:G)</f>
        <v>United States</v>
      </c>
      <c r="M233" t="str">
        <f>_xlfn.XLOOKUP(G233,products!A:A,products!B:B)</f>
        <v>Lib</v>
      </c>
      <c r="N233" t="str">
        <f>_xlfn.XLOOKUP(G233,products!A:A,products!C:C)</f>
        <v>M</v>
      </c>
      <c r="O233">
        <f>_xlfn.XLOOKUP(G233,products!A:A,products!D:D)</f>
        <v>0.2</v>
      </c>
      <c r="P233">
        <f>_xlfn.XLOOKUP(G233,products!A:A,products!E:E)</f>
        <v>4.3650000000000002</v>
      </c>
      <c r="Q233">
        <f t="shared" si="15"/>
        <v>8.73</v>
      </c>
      <c r="R233" t="str" cm="1">
        <f t="array" ref="R233">_xlfn.IFS(Q233&lt;=50,"low sales",Q233&lt;=100,"medium sales",Q233&gt;100,"High sales")</f>
        <v>low sales</v>
      </c>
    </row>
    <row r="234" spans="1:18" x14ac:dyDescent="0.35">
      <c r="A234" s="2" t="s">
        <v>1800</v>
      </c>
      <c r="B234" s="3">
        <v>44010</v>
      </c>
      <c r="C234" s="3" t="str">
        <f t="shared" si="12"/>
        <v>Sunday</v>
      </c>
      <c r="D234" s="3" t="str">
        <f t="shared" si="13"/>
        <v>June</v>
      </c>
      <c r="E234" s="3" t="str">
        <f t="shared" si="14"/>
        <v>2020</v>
      </c>
      <c r="F234" s="2" t="s">
        <v>1801</v>
      </c>
      <c r="G234" t="s">
        <v>6145</v>
      </c>
      <c r="H234" s="2">
        <v>5</v>
      </c>
      <c r="I234" s="2" t="str">
        <f>_xlfn.XLOOKUP(F234,customers!A:A,customers!B:B)</f>
        <v>Conny Gheraldi</v>
      </c>
      <c r="J234" s="2" t="str">
        <f>_xlfn.XLOOKUP(F234,customers!A:A,customers!C:C)</f>
        <v>cgheraldi6g@opera.com</v>
      </c>
      <c r="K234" s="2" t="str">
        <f>_xlfn.XLOOKUP(F234,customers!A:A,customers!F:F)</f>
        <v>Kinloch</v>
      </c>
      <c r="L234" s="2" t="str">
        <f>_xlfn.XLOOKUP(F234,customers!A:A,customers!G:G)</f>
        <v>United Kingdom</v>
      </c>
      <c r="M234" t="str">
        <f>_xlfn.XLOOKUP(G234,products!A:A,products!B:B)</f>
        <v>Lib</v>
      </c>
      <c r="N234" t="str">
        <f>_xlfn.XLOOKUP(G234,products!A:A,products!C:C)</f>
        <v>L</v>
      </c>
      <c r="O234">
        <f>_xlfn.XLOOKUP(G234,products!A:A,products!D:D)</f>
        <v>0.2</v>
      </c>
      <c r="P234">
        <f>_xlfn.XLOOKUP(G234,products!A:A,products!E:E)</f>
        <v>4.7549999999999999</v>
      </c>
      <c r="Q234">
        <f t="shared" si="15"/>
        <v>23.774999999999999</v>
      </c>
      <c r="R234" t="str" cm="1">
        <f t="array" ref="R234">_xlfn.IFS(Q234&lt;=50,"low sales",Q234&lt;=100,"medium sales",Q234&gt;100,"High sales")</f>
        <v>low sales</v>
      </c>
    </row>
    <row r="235" spans="1:18" x14ac:dyDescent="0.35">
      <c r="A235" s="2" t="s">
        <v>1806</v>
      </c>
      <c r="B235" s="3">
        <v>44278</v>
      </c>
      <c r="C235" s="3" t="str">
        <f t="shared" si="12"/>
        <v>Tuesday</v>
      </c>
      <c r="D235" s="3" t="str">
        <f t="shared" si="13"/>
        <v>March</v>
      </c>
      <c r="E235" s="3" t="str">
        <f t="shared" si="14"/>
        <v>2021</v>
      </c>
      <c r="F235" s="2" t="s">
        <v>1807</v>
      </c>
      <c r="G235" t="s">
        <v>6156</v>
      </c>
      <c r="H235" s="2">
        <v>5</v>
      </c>
      <c r="I235" s="2" t="str">
        <f>_xlfn.XLOOKUP(F235,customers!A:A,customers!B:B)</f>
        <v>Beryle Kenwell</v>
      </c>
      <c r="J235" s="2" t="str">
        <f>_xlfn.XLOOKUP(F235,customers!A:A,customers!C:C)</f>
        <v>bkenwell6h@over-blog.com</v>
      </c>
      <c r="K235" s="2" t="str">
        <f>_xlfn.XLOOKUP(F235,customers!A:A,customers!F:F)</f>
        <v>Honolulu</v>
      </c>
      <c r="L235" s="2" t="str">
        <f>_xlfn.XLOOKUP(F235,customers!A:A,customers!G:G)</f>
        <v>United States</v>
      </c>
      <c r="M235" t="str">
        <f>_xlfn.XLOOKUP(G235,products!A:A,products!B:B)</f>
        <v>Exc</v>
      </c>
      <c r="N235" t="str">
        <f>_xlfn.XLOOKUP(G235,products!A:A,products!C:C)</f>
        <v>M</v>
      </c>
      <c r="O235">
        <f>_xlfn.XLOOKUP(G235,products!A:A,products!D:D)</f>
        <v>0.2</v>
      </c>
      <c r="P235">
        <f>_xlfn.XLOOKUP(G235,products!A:A,products!E:E)</f>
        <v>4.125</v>
      </c>
      <c r="Q235">
        <f t="shared" si="15"/>
        <v>20.625</v>
      </c>
      <c r="R235" t="str" cm="1">
        <f t="array" ref="R235">_xlfn.IFS(Q235&lt;=50,"low sales",Q235&lt;=100,"medium sales",Q235&gt;100,"High sales")</f>
        <v>low sales</v>
      </c>
    </row>
    <row r="236" spans="1:18" x14ac:dyDescent="0.35">
      <c r="A236" s="2" t="s">
        <v>1812</v>
      </c>
      <c r="B236" s="3">
        <v>44602</v>
      </c>
      <c r="C236" s="3" t="str">
        <f t="shared" si="12"/>
        <v>Thursday</v>
      </c>
      <c r="D236" s="3" t="str">
        <f t="shared" si="13"/>
        <v>February</v>
      </c>
      <c r="E236" s="3" t="str">
        <f t="shared" si="14"/>
        <v>2022</v>
      </c>
      <c r="F236" s="2" t="s">
        <v>1813</v>
      </c>
      <c r="G236" t="s">
        <v>6164</v>
      </c>
      <c r="H236" s="2">
        <v>1</v>
      </c>
      <c r="I236" s="2" t="str">
        <f>_xlfn.XLOOKUP(F236,customers!A:A,customers!B:B)</f>
        <v>Tomas Sutty</v>
      </c>
      <c r="J236" s="2" t="str">
        <f>_xlfn.XLOOKUP(F236,customers!A:A,customers!C:C)</f>
        <v>tsutty6i@google.es</v>
      </c>
      <c r="K236" s="2" t="str">
        <f>_xlfn.XLOOKUP(F236,customers!A:A,customers!F:F)</f>
        <v>New York City</v>
      </c>
      <c r="L236" s="2" t="str">
        <f>_xlfn.XLOOKUP(F236,customers!A:A,customers!G:G)</f>
        <v>United States</v>
      </c>
      <c r="M236" t="str">
        <f>_xlfn.XLOOKUP(G236,products!A:A,products!B:B)</f>
        <v>Lib</v>
      </c>
      <c r="N236" t="str">
        <f>_xlfn.XLOOKUP(G236,products!A:A,products!C:C)</f>
        <v>L</v>
      </c>
      <c r="O236">
        <f>_xlfn.XLOOKUP(G236,products!A:A,products!D:D)</f>
        <v>2.5</v>
      </c>
      <c r="P236">
        <f>_xlfn.XLOOKUP(G236,products!A:A,products!E:E)</f>
        <v>36.454999999999998</v>
      </c>
      <c r="Q236">
        <f t="shared" si="15"/>
        <v>36.454999999999998</v>
      </c>
      <c r="R236" t="str" cm="1">
        <f t="array" ref="R236">_xlfn.IFS(Q236&lt;=50,"low sales",Q236&lt;=100,"medium sales",Q236&gt;100,"High sales")</f>
        <v>low sales</v>
      </c>
    </row>
    <row r="237" spans="1:18" x14ac:dyDescent="0.35">
      <c r="A237" s="2" t="s">
        <v>1818</v>
      </c>
      <c r="B237" s="3">
        <v>43571</v>
      </c>
      <c r="C237" s="3" t="str">
        <f t="shared" si="12"/>
        <v>Tuesday</v>
      </c>
      <c r="D237" s="3" t="str">
        <f t="shared" si="13"/>
        <v>April</v>
      </c>
      <c r="E237" s="3" t="str">
        <f t="shared" si="14"/>
        <v>2019</v>
      </c>
      <c r="F237" s="2" t="s">
        <v>1819</v>
      </c>
      <c r="G237" t="s">
        <v>6164</v>
      </c>
      <c r="H237" s="2">
        <v>5</v>
      </c>
      <c r="I237" s="2" t="str">
        <f>_xlfn.XLOOKUP(F237,customers!A:A,customers!B:B)</f>
        <v>Samuele Ales0</v>
      </c>
      <c r="J237" s="2">
        <f>_xlfn.XLOOKUP(F237,customers!A:A,customers!C:C)</f>
        <v>0</v>
      </c>
      <c r="K237" s="2" t="str">
        <f>_xlfn.XLOOKUP(F237,customers!A:A,customers!F:F)</f>
        <v>Ballinroad</v>
      </c>
      <c r="L237" s="2" t="str">
        <f>_xlfn.XLOOKUP(F237,customers!A:A,customers!G:G)</f>
        <v>Ireland</v>
      </c>
      <c r="M237" t="str">
        <f>_xlfn.XLOOKUP(G237,products!A:A,products!B:B)</f>
        <v>Lib</v>
      </c>
      <c r="N237" t="str">
        <f>_xlfn.XLOOKUP(G237,products!A:A,products!C:C)</f>
        <v>L</v>
      </c>
      <c r="O237">
        <f>_xlfn.XLOOKUP(G237,products!A:A,products!D:D)</f>
        <v>2.5</v>
      </c>
      <c r="P237">
        <f>_xlfn.XLOOKUP(G237,products!A:A,products!E:E)</f>
        <v>36.454999999999998</v>
      </c>
      <c r="Q237">
        <f t="shared" si="15"/>
        <v>182.27499999999998</v>
      </c>
      <c r="R237" t="str" cm="1">
        <f t="array" ref="R237">_xlfn.IFS(Q237&lt;=50,"low sales",Q237&lt;=100,"medium sales",Q237&gt;100,"High sales")</f>
        <v>High sales</v>
      </c>
    </row>
    <row r="238" spans="1:18" x14ac:dyDescent="0.35">
      <c r="A238" s="2" t="s">
        <v>1822</v>
      </c>
      <c r="B238" s="3">
        <v>43873</v>
      </c>
      <c r="C238" s="3" t="str">
        <f t="shared" si="12"/>
        <v>Wednesday</v>
      </c>
      <c r="D238" s="3" t="str">
        <f t="shared" si="13"/>
        <v>February</v>
      </c>
      <c r="E238" s="3" t="str">
        <f t="shared" si="14"/>
        <v>2020</v>
      </c>
      <c r="F238" s="2" t="s">
        <v>1823</v>
      </c>
      <c r="G238" t="s">
        <v>6165</v>
      </c>
      <c r="H238" s="2">
        <v>3</v>
      </c>
      <c r="I238" s="2" t="str">
        <f>_xlfn.XLOOKUP(F238,customers!A:A,customers!B:B)</f>
        <v>Carlie Harce</v>
      </c>
      <c r="J238" s="2" t="str">
        <f>_xlfn.XLOOKUP(F238,customers!A:A,customers!C:C)</f>
        <v>charce6k@cafepress.com</v>
      </c>
      <c r="K238" s="2" t="str">
        <f>_xlfn.XLOOKUP(F238,customers!A:A,customers!F:F)</f>
        <v>D煤n Laoghaire</v>
      </c>
      <c r="L238" s="2" t="str">
        <f>_xlfn.XLOOKUP(F238,customers!A:A,customers!G:G)</f>
        <v>Ireland</v>
      </c>
      <c r="M238" t="str">
        <f>_xlfn.XLOOKUP(G238,products!A:A,products!B:B)</f>
        <v>Lib</v>
      </c>
      <c r="N238" t="str">
        <f>_xlfn.XLOOKUP(G238,products!A:A,products!C:C)</f>
        <v>D</v>
      </c>
      <c r="O238">
        <f>_xlfn.XLOOKUP(G238,products!A:A,products!D:D)</f>
        <v>2.5</v>
      </c>
      <c r="P238">
        <f>_xlfn.XLOOKUP(G238,products!A:A,products!E:E)</f>
        <v>29.784999999999997</v>
      </c>
      <c r="Q238">
        <f t="shared" si="15"/>
        <v>89.35499999999999</v>
      </c>
      <c r="R238" t="str" cm="1">
        <f t="array" ref="R238">_xlfn.IFS(Q238&lt;=50,"low sales",Q238&lt;=100,"medium sales",Q238&gt;100,"High sales")</f>
        <v>medium sales</v>
      </c>
    </row>
    <row r="239" spans="1:18" x14ac:dyDescent="0.35">
      <c r="A239" s="2" t="s">
        <v>1828</v>
      </c>
      <c r="B239" s="3">
        <v>44563</v>
      </c>
      <c r="C239" s="3" t="str">
        <f t="shared" si="12"/>
        <v>Sunday</v>
      </c>
      <c r="D239" s="3" t="str">
        <f t="shared" si="13"/>
        <v>January</v>
      </c>
      <c r="E239" s="3" t="str">
        <f t="shared" si="14"/>
        <v>2022</v>
      </c>
      <c r="F239" s="2" t="s">
        <v>1829</v>
      </c>
      <c r="G239" t="s">
        <v>6178</v>
      </c>
      <c r="H239" s="2">
        <v>1</v>
      </c>
      <c r="I239" s="2" t="str">
        <f>_xlfn.XLOOKUP(F239,customers!A:A,customers!B:B)</f>
        <v>Craggy Bril</v>
      </c>
      <c r="J239" s="2">
        <f>_xlfn.XLOOKUP(F239,customers!A:A,customers!C:C)</f>
        <v>0</v>
      </c>
      <c r="K239" s="2" t="str">
        <f>_xlfn.XLOOKUP(F239,customers!A:A,customers!F:F)</f>
        <v>Cincinnati</v>
      </c>
      <c r="L239" s="2" t="str">
        <f>_xlfn.XLOOKUP(F239,customers!A:A,customers!G:G)</f>
        <v>United States</v>
      </c>
      <c r="M239" t="str">
        <f>_xlfn.XLOOKUP(G239,products!A:A,products!B:B)</f>
        <v>Rob</v>
      </c>
      <c r="N239" t="str">
        <f>_xlfn.XLOOKUP(G239,products!A:A,products!C:C)</f>
        <v>L</v>
      </c>
      <c r="O239">
        <f>_xlfn.XLOOKUP(G239,products!A:A,products!D:D)</f>
        <v>0.2</v>
      </c>
      <c r="P239">
        <f>_xlfn.XLOOKUP(G239,products!A:A,products!E:E)</f>
        <v>3.5849999999999995</v>
      </c>
      <c r="Q239">
        <f t="shared" si="15"/>
        <v>3.5849999999999995</v>
      </c>
      <c r="R239" t="str" cm="1">
        <f t="array" ref="R239">_xlfn.IFS(Q239&lt;=50,"low sales",Q239&lt;=100,"medium sales",Q239&gt;100,"High sales")</f>
        <v>low sales</v>
      </c>
    </row>
    <row r="240" spans="1:18" x14ac:dyDescent="0.35">
      <c r="A240" s="2" t="s">
        <v>1833</v>
      </c>
      <c r="B240" s="3">
        <v>44172</v>
      </c>
      <c r="C240" s="3" t="str">
        <f t="shared" si="12"/>
        <v>Monday</v>
      </c>
      <c r="D240" s="3" t="str">
        <f t="shared" si="13"/>
        <v>December</v>
      </c>
      <c r="E240" s="3" t="str">
        <f t="shared" si="14"/>
        <v>2020</v>
      </c>
      <c r="F240" s="2" t="s">
        <v>1834</v>
      </c>
      <c r="G240" t="s">
        <v>6151</v>
      </c>
      <c r="H240" s="2">
        <v>2</v>
      </c>
      <c r="I240" s="2" t="str">
        <f>_xlfn.XLOOKUP(F240,customers!A:A,customers!B:B)</f>
        <v>Friederike Drysdale</v>
      </c>
      <c r="J240" s="2" t="str">
        <f>_xlfn.XLOOKUP(F240,customers!A:A,customers!C:C)</f>
        <v>fdrysdale6m@symantec.com</v>
      </c>
      <c r="K240" s="2" t="str">
        <f>_xlfn.XLOOKUP(F240,customers!A:A,customers!F:F)</f>
        <v>Midland</v>
      </c>
      <c r="L240" s="2" t="str">
        <f>_xlfn.XLOOKUP(F240,customers!A:A,customers!G:G)</f>
        <v>United States</v>
      </c>
      <c r="M240" t="str">
        <f>_xlfn.XLOOKUP(G240,products!A:A,products!B:B)</f>
        <v>Rob</v>
      </c>
      <c r="N240" t="str">
        <f>_xlfn.XLOOKUP(G240,products!A:A,products!C:C)</f>
        <v>M</v>
      </c>
      <c r="O240">
        <f>_xlfn.XLOOKUP(G240,products!A:A,products!D:D)</f>
        <v>2.5</v>
      </c>
      <c r="P240">
        <f>_xlfn.XLOOKUP(G240,products!A:A,products!E:E)</f>
        <v>22.884999999999998</v>
      </c>
      <c r="Q240">
        <f t="shared" si="15"/>
        <v>45.769999999999996</v>
      </c>
      <c r="R240" t="str" cm="1">
        <f t="array" ref="R240">_xlfn.IFS(Q240&lt;=50,"low sales",Q240&lt;=100,"medium sales",Q240&gt;100,"High sales")</f>
        <v>low sales</v>
      </c>
    </row>
    <row r="241" spans="1:18" x14ac:dyDescent="0.35">
      <c r="A241" s="2" t="s">
        <v>1839</v>
      </c>
      <c r="B241" s="3">
        <v>43881</v>
      </c>
      <c r="C241" s="3" t="str">
        <f t="shared" si="12"/>
        <v>Thursday</v>
      </c>
      <c r="D241" s="3" t="str">
        <f t="shared" si="13"/>
        <v>February</v>
      </c>
      <c r="E241" s="3" t="str">
        <f t="shared" si="14"/>
        <v>2020</v>
      </c>
      <c r="F241" s="2" t="s">
        <v>1840</v>
      </c>
      <c r="G241" t="s">
        <v>6171</v>
      </c>
      <c r="H241" s="2">
        <v>4</v>
      </c>
      <c r="I241" s="2" t="str">
        <f>_xlfn.XLOOKUP(F241,customers!A:A,customers!B:B)</f>
        <v>Devon Magowan</v>
      </c>
      <c r="J241" s="2" t="str">
        <f>_xlfn.XLOOKUP(F241,customers!A:A,customers!C:C)</f>
        <v>dmagowan6n@fc2.com</v>
      </c>
      <c r="K241" s="2" t="str">
        <f>_xlfn.XLOOKUP(F241,customers!A:A,customers!F:F)</f>
        <v>Cheyenne</v>
      </c>
      <c r="L241" s="2" t="str">
        <f>_xlfn.XLOOKUP(F241,customers!A:A,customers!G:G)</f>
        <v>United States</v>
      </c>
      <c r="M241" t="str">
        <f>_xlfn.XLOOKUP(G241,products!A:A,products!B:B)</f>
        <v>Exc</v>
      </c>
      <c r="N241" t="str">
        <f>_xlfn.XLOOKUP(G241,products!A:A,products!C:C)</f>
        <v>L</v>
      </c>
      <c r="O241">
        <f>_xlfn.XLOOKUP(G241,products!A:A,products!D:D)</f>
        <v>1</v>
      </c>
      <c r="P241">
        <f>_xlfn.XLOOKUP(G241,products!A:A,products!E:E)</f>
        <v>14.85</v>
      </c>
      <c r="Q241">
        <f t="shared" si="15"/>
        <v>59.4</v>
      </c>
      <c r="R241" t="str" cm="1">
        <f t="array" ref="R241">_xlfn.IFS(Q241&lt;=50,"low sales",Q241&lt;=100,"medium sales",Q241&gt;100,"High sales")</f>
        <v>medium sales</v>
      </c>
    </row>
    <row r="242" spans="1:18" x14ac:dyDescent="0.35">
      <c r="A242" s="2" t="s">
        <v>1845</v>
      </c>
      <c r="B242" s="3">
        <v>43993</v>
      </c>
      <c r="C242" s="3" t="str">
        <f t="shared" si="12"/>
        <v>Thursday</v>
      </c>
      <c r="D242" s="3" t="str">
        <f t="shared" si="13"/>
        <v>June</v>
      </c>
      <c r="E242" s="3" t="str">
        <f t="shared" si="14"/>
        <v>2020</v>
      </c>
      <c r="F242" s="2" t="s">
        <v>1846</v>
      </c>
      <c r="G242" t="s">
        <v>6175</v>
      </c>
      <c r="H242" s="2">
        <v>6</v>
      </c>
      <c r="I242" s="2" t="str">
        <f>_xlfn.XLOOKUP(F242,customers!A:A,customers!B:B)</f>
        <v>Codi Littrell</v>
      </c>
      <c r="J242" s="2">
        <f>_xlfn.XLOOKUP(F242,customers!A:A,customers!C:C)</f>
        <v>0</v>
      </c>
      <c r="K242" s="2" t="str">
        <f>_xlfn.XLOOKUP(F242,customers!A:A,customers!F:F)</f>
        <v>Atlanta</v>
      </c>
      <c r="L242" s="2" t="str">
        <f>_xlfn.XLOOKUP(F242,customers!A:A,customers!G:G)</f>
        <v>United States</v>
      </c>
      <c r="M242" t="str">
        <f>_xlfn.XLOOKUP(G242,products!A:A,products!B:B)</f>
        <v>Ara</v>
      </c>
      <c r="N242" t="str">
        <f>_xlfn.XLOOKUP(G242,products!A:A,products!C:C)</f>
        <v>M</v>
      </c>
      <c r="O242">
        <f>_xlfn.XLOOKUP(G242,products!A:A,products!D:D)</f>
        <v>2.5</v>
      </c>
      <c r="P242">
        <f>_xlfn.XLOOKUP(G242,products!A:A,products!E:E)</f>
        <v>25.874999999999996</v>
      </c>
      <c r="Q242">
        <f t="shared" si="15"/>
        <v>155.24999999999997</v>
      </c>
      <c r="R242" t="str" cm="1">
        <f t="array" ref="R242">_xlfn.IFS(Q242&lt;=50,"low sales",Q242&lt;=100,"medium sales",Q242&gt;100,"High sales")</f>
        <v>High sales</v>
      </c>
    </row>
    <row r="243" spans="1:18" x14ac:dyDescent="0.35">
      <c r="A243" s="2" t="s">
        <v>1849</v>
      </c>
      <c r="B243" s="3">
        <v>44082</v>
      </c>
      <c r="C243" s="3" t="str">
        <f t="shared" si="12"/>
        <v>Tuesday</v>
      </c>
      <c r="D243" s="3" t="str">
        <f t="shared" si="13"/>
        <v>September</v>
      </c>
      <c r="E243" s="3" t="str">
        <f t="shared" si="14"/>
        <v>2020</v>
      </c>
      <c r="F243" s="2" t="s">
        <v>1850</v>
      </c>
      <c r="G243" t="s">
        <v>6151</v>
      </c>
      <c r="H243" s="2">
        <v>2</v>
      </c>
      <c r="I243" s="2" t="str">
        <f>_xlfn.XLOOKUP(F243,customers!A:A,customers!B:B)</f>
        <v>Christel Speak</v>
      </c>
      <c r="J243" s="2">
        <f>_xlfn.XLOOKUP(F243,customers!A:A,customers!C:C)</f>
        <v>0</v>
      </c>
      <c r="K243" s="2" t="str">
        <f>_xlfn.XLOOKUP(F243,customers!A:A,customers!F:F)</f>
        <v>Duluth</v>
      </c>
      <c r="L243" s="2" t="str">
        <f>_xlfn.XLOOKUP(F243,customers!A:A,customers!G:G)</f>
        <v>United States</v>
      </c>
      <c r="M243" t="str">
        <f>_xlfn.XLOOKUP(G243,products!A:A,products!B:B)</f>
        <v>Rob</v>
      </c>
      <c r="N243" t="str">
        <f>_xlfn.XLOOKUP(G243,products!A:A,products!C:C)</f>
        <v>M</v>
      </c>
      <c r="O243">
        <f>_xlfn.XLOOKUP(G243,products!A:A,products!D:D)</f>
        <v>2.5</v>
      </c>
      <c r="P243">
        <f>_xlfn.XLOOKUP(G243,products!A:A,products!E:E)</f>
        <v>22.884999999999998</v>
      </c>
      <c r="Q243">
        <f t="shared" si="15"/>
        <v>45.769999999999996</v>
      </c>
      <c r="R243" t="str" cm="1">
        <f t="array" ref="R243">_xlfn.IFS(Q243&lt;=50,"low sales",Q243&lt;=100,"medium sales",Q243&gt;100,"High sales")</f>
        <v>low sales</v>
      </c>
    </row>
    <row r="244" spans="1:18" x14ac:dyDescent="0.35">
      <c r="A244" s="2" t="s">
        <v>1854</v>
      </c>
      <c r="B244" s="3">
        <v>43918</v>
      </c>
      <c r="C244" s="3" t="str">
        <f t="shared" si="12"/>
        <v>Saturday</v>
      </c>
      <c r="D244" s="3" t="str">
        <f t="shared" si="13"/>
        <v>March</v>
      </c>
      <c r="E244" s="3" t="str">
        <f t="shared" si="14"/>
        <v>2020</v>
      </c>
      <c r="F244" s="2" t="s">
        <v>1855</v>
      </c>
      <c r="G244" t="s">
        <v>6183</v>
      </c>
      <c r="H244" s="2">
        <v>3</v>
      </c>
      <c r="I244" s="2" t="str">
        <f>_xlfn.XLOOKUP(F244,customers!A:A,customers!B:B)</f>
        <v>Sibella Rushbrooke</v>
      </c>
      <c r="J244" s="2" t="str">
        <f>_xlfn.XLOOKUP(F244,customers!A:A,customers!C:C)</f>
        <v>srushbrooke6q@youku.com</v>
      </c>
      <c r="K244" s="2" t="str">
        <f>_xlfn.XLOOKUP(F244,customers!A:A,customers!F:F)</f>
        <v>Sacramento</v>
      </c>
      <c r="L244" s="2" t="str">
        <f>_xlfn.XLOOKUP(F244,customers!A:A,customers!G:G)</f>
        <v>United States</v>
      </c>
      <c r="M244" t="str">
        <f>_xlfn.XLOOKUP(G244,products!A:A,products!B:B)</f>
        <v>Exc</v>
      </c>
      <c r="N244" t="str">
        <f>_xlfn.XLOOKUP(G244,products!A:A,products!C:C)</f>
        <v>D</v>
      </c>
      <c r="O244">
        <f>_xlfn.XLOOKUP(G244,products!A:A,products!D:D)</f>
        <v>1</v>
      </c>
      <c r="P244">
        <f>_xlfn.XLOOKUP(G244,products!A:A,products!E:E)</f>
        <v>12.15</v>
      </c>
      <c r="Q244">
        <f t="shared" si="15"/>
        <v>36.450000000000003</v>
      </c>
      <c r="R244" t="str" cm="1">
        <f t="array" ref="R244">_xlfn.IFS(Q244&lt;=50,"low sales",Q244&lt;=100,"medium sales",Q244&gt;100,"High sales")</f>
        <v>low sales</v>
      </c>
    </row>
    <row r="245" spans="1:18" x14ac:dyDescent="0.35">
      <c r="A245" s="2" t="s">
        <v>1860</v>
      </c>
      <c r="B245" s="3">
        <v>44114</v>
      </c>
      <c r="C245" s="3" t="str">
        <f t="shared" si="12"/>
        <v>Saturday</v>
      </c>
      <c r="D245" s="3" t="str">
        <f t="shared" si="13"/>
        <v>October</v>
      </c>
      <c r="E245" s="3" t="str">
        <f t="shared" si="14"/>
        <v>2020</v>
      </c>
      <c r="F245" s="2" t="s">
        <v>1861</v>
      </c>
      <c r="G245" t="s">
        <v>6144</v>
      </c>
      <c r="H245" s="2">
        <v>4</v>
      </c>
      <c r="I245" s="2" t="str">
        <f>_xlfn.XLOOKUP(F245,customers!A:A,customers!B:B)</f>
        <v>Tammie Drynan</v>
      </c>
      <c r="J245" s="2" t="str">
        <f>_xlfn.XLOOKUP(F245,customers!A:A,customers!C:C)</f>
        <v>tdrynan6r@deviantart.com</v>
      </c>
      <c r="K245" s="2" t="str">
        <f>_xlfn.XLOOKUP(F245,customers!A:A,customers!F:F)</f>
        <v>Tampa</v>
      </c>
      <c r="L245" s="2" t="str">
        <f>_xlfn.XLOOKUP(F245,customers!A:A,customers!G:G)</f>
        <v>United States</v>
      </c>
      <c r="M245" t="str">
        <f>_xlfn.XLOOKUP(G245,products!A:A,products!B:B)</f>
        <v>Exc</v>
      </c>
      <c r="N245" t="str">
        <f>_xlfn.XLOOKUP(G245,products!A:A,products!C:C)</f>
        <v>D</v>
      </c>
      <c r="O245">
        <f>_xlfn.XLOOKUP(G245,products!A:A,products!D:D)</f>
        <v>0.5</v>
      </c>
      <c r="P245">
        <f>_xlfn.XLOOKUP(G245,products!A:A,products!E:E)</f>
        <v>7.29</v>
      </c>
      <c r="Q245">
        <f t="shared" si="15"/>
        <v>29.16</v>
      </c>
      <c r="R245" t="str" cm="1">
        <f t="array" ref="R245">_xlfn.IFS(Q245&lt;=50,"low sales",Q245&lt;=100,"medium sales",Q245&gt;100,"High sales")</f>
        <v>low sales</v>
      </c>
    </row>
    <row r="246" spans="1:18" x14ac:dyDescent="0.35">
      <c r="A246" s="2" t="s">
        <v>1866</v>
      </c>
      <c r="B246" s="3">
        <v>44702</v>
      </c>
      <c r="C246" s="3" t="str">
        <f t="shared" si="12"/>
        <v>Saturday</v>
      </c>
      <c r="D246" s="3" t="str">
        <f t="shared" si="13"/>
        <v>May</v>
      </c>
      <c r="E246" s="3" t="str">
        <f t="shared" si="14"/>
        <v>2022</v>
      </c>
      <c r="F246" s="2" t="s">
        <v>1867</v>
      </c>
      <c r="G246" t="s">
        <v>6181</v>
      </c>
      <c r="H246" s="2">
        <v>4</v>
      </c>
      <c r="I246" s="2" t="str">
        <f>_xlfn.XLOOKUP(F246,customers!A:A,customers!B:B)</f>
        <v>Effie Yurkov</v>
      </c>
      <c r="J246" s="2" t="str">
        <f>_xlfn.XLOOKUP(F246,customers!A:A,customers!C:C)</f>
        <v>eyurkov6s@hud.gov</v>
      </c>
      <c r="K246" s="2" t="str">
        <f>_xlfn.XLOOKUP(F246,customers!A:A,customers!F:F)</f>
        <v>Honolulu</v>
      </c>
      <c r="L246" s="2" t="str">
        <f>_xlfn.XLOOKUP(F246,customers!A:A,customers!G:G)</f>
        <v>United States</v>
      </c>
      <c r="M246" t="str">
        <f>_xlfn.XLOOKUP(G246,products!A:A,products!B:B)</f>
        <v>Lib</v>
      </c>
      <c r="N246" t="str">
        <f>_xlfn.XLOOKUP(G246,products!A:A,products!C:C)</f>
        <v>M</v>
      </c>
      <c r="O246">
        <f>_xlfn.XLOOKUP(G246,products!A:A,products!D:D)</f>
        <v>2.5</v>
      </c>
      <c r="P246">
        <f>_xlfn.XLOOKUP(G246,products!A:A,products!E:E)</f>
        <v>33.464999999999996</v>
      </c>
      <c r="Q246">
        <f t="shared" si="15"/>
        <v>133.85999999999999</v>
      </c>
      <c r="R246" t="str" cm="1">
        <f t="array" ref="R246">_xlfn.IFS(Q246&lt;=50,"low sales",Q246&lt;=100,"medium sales",Q246&gt;100,"High sales")</f>
        <v>High sales</v>
      </c>
    </row>
    <row r="247" spans="1:18" x14ac:dyDescent="0.35">
      <c r="A247" s="2" t="s">
        <v>1872</v>
      </c>
      <c r="B247" s="3">
        <v>43951</v>
      </c>
      <c r="C247" s="3" t="str">
        <f t="shared" si="12"/>
        <v>Thursday</v>
      </c>
      <c r="D247" s="3" t="str">
        <f t="shared" si="13"/>
        <v>April</v>
      </c>
      <c r="E247" s="3" t="str">
        <f t="shared" si="14"/>
        <v>2020</v>
      </c>
      <c r="F247" s="2" t="s">
        <v>1873</v>
      </c>
      <c r="G247" t="s">
        <v>6145</v>
      </c>
      <c r="H247" s="2">
        <v>5</v>
      </c>
      <c r="I247" s="2" t="str">
        <f>_xlfn.XLOOKUP(F247,customers!A:A,customers!B:B)</f>
        <v>Lexie Mallan</v>
      </c>
      <c r="J247" s="2" t="str">
        <f>_xlfn.XLOOKUP(F247,customers!A:A,customers!C:C)</f>
        <v>lmallan6t@state.gov</v>
      </c>
      <c r="K247" s="2" t="str">
        <f>_xlfn.XLOOKUP(F247,customers!A:A,customers!F:F)</f>
        <v>Baton Rouge</v>
      </c>
      <c r="L247" s="2" t="str">
        <f>_xlfn.XLOOKUP(F247,customers!A:A,customers!G:G)</f>
        <v>United States</v>
      </c>
      <c r="M247" t="str">
        <f>_xlfn.XLOOKUP(G247,products!A:A,products!B:B)</f>
        <v>Lib</v>
      </c>
      <c r="N247" t="str">
        <f>_xlfn.XLOOKUP(G247,products!A:A,products!C:C)</f>
        <v>L</v>
      </c>
      <c r="O247">
        <f>_xlfn.XLOOKUP(G247,products!A:A,products!D:D)</f>
        <v>0.2</v>
      </c>
      <c r="P247">
        <f>_xlfn.XLOOKUP(G247,products!A:A,products!E:E)</f>
        <v>4.7549999999999999</v>
      </c>
      <c r="Q247">
        <f t="shared" si="15"/>
        <v>23.774999999999999</v>
      </c>
      <c r="R247" t="str" cm="1">
        <f t="array" ref="R247">_xlfn.IFS(Q247&lt;=50,"low sales",Q247&lt;=100,"medium sales",Q247&gt;100,"High sales")</f>
        <v>low sales</v>
      </c>
    </row>
    <row r="248" spans="1:18" x14ac:dyDescent="0.35">
      <c r="A248" s="2" t="s">
        <v>1878</v>
      </c>
      <c r="B248" s="3">
        <v>44542</v>
      </c>
      <c r="C248" s="3" t="str">
        <f t="shared" si="12"/>
        <v>Sunday</v>
      </c>
      <c r="D248" s="3" t="str">
        <f t="shared" si="13"/>
        <v>December</v>
      </c>
      <c r="E248" s="3" t="str">
        <f t="shared" si="14"/>
        <v>2021</v>
      </c>
      <c r="F248" s="2" t="s">
        <v>1879</v>
      </c>
      <c r="G248" t="s">
        <v>6143</v>
      </c>
      <c r="H248" s="2">
        <v>3</v>
      </c>
      <c r="I248" s="2" t="str">
        <f>_xlfn.XLOOKUP(F248,customers!A:A,customers!B:B)</f>
        <v>Georgena Bentjens</v>
      </c>
      <c r="J248" s="2" t="str">
        <f>_xlfn.XLOOKUP(F248,customers!A:A,customers!C:C)</f>
        <v>gbentjens6u@netlog.com</v>
      </c>
      <c r="K248" s="2" t="str">
        <f>_xlfn.XLOOKUP(F248,customers!A:A,customers!F:F)</f>
        <v>Newbiggin</v>
      </c>
      <c r="L248" s="2" t="str">
        <f>_xlfn.XLOOKUP(F248,customers!A:A,customers!G:G)</f>
        <v>United Kingdom</v>
      </c>
      <c r="M248" t="str">
        <f>_xlfn.XLOOKUP(G248,products!A:A,products!B:B)</f>
        <v>Lib</v>
      </c>
      <c r="N248" t="str">
        <f>_xlfn.XLOOKUP(G248,products!A:A,products!C:C)</f>
        <v>D</v>
      </c>
      <c r="O248">
        <f>_xlfn.XLOOKUP(G248,products!A:A,products!D:D)</f>
        <v>1</v>
      </c>
      <c r="P248">
        <f>_xlfn.XLOOKUP(G248,products!A:A,products!E:E)</f>
        <v>12.95</v>
      </c>
      <c r="Q248">
        <f t="shared" si="15"/>
        <v>38.849999999999994</v>
      </c>
      <c r="R248" t="str" cm="1">
        <f t="array" ref="R248">_xlfn.IFS(Q248&lt;=50,"low sales",Q248&lt;=100,"medium sales",Q248&gt;100,"High sales")</f>
        <v>low sales</v>
      </c>
    </row>
    <row r="249" spans="1:18" x14ac:dyDescent="0.35">
      <c r="A249" s="2" t="s">
        <v>1884</v>
      </c>
      <c r="B249" s="3">
        <v>44131</v>
      </c>
      <c r="C249" s="3" t="str">
        <f t="shared" si="12"/>
        <v>Tuesday</v>
      </c>
      <c r="D249" s="3" t="str">
        <f t="shared" si="13"/>
        <v>October</v>
      </c>
      <c r="E249" s="3" t="str">
        <f t="shared" si="14"/>
        <v>2020</v>
      </c>
      <c r="F249" s="2" t="s">
        <v>1885</v>
      </c>
      <c r="G249" t="s">
        <v>6178</v>
      </c>
      <c r="H249" s="2">
        <v>6</v>
      </c>
      <c r="I249" s="2" t="str">
        <f>_xlfn.XLOOKUP(F249,customers!A:A,customers!B:B)</f>
        <v>Delmar Beasant</v>
      </c>
      <c r="J249" s="2">
        <f>_xlfn.XLOOKUP(F249,customers!A:A,customers!C:C)</f>
        <v>0</v>
      </c>
      <c r="K249" s="2" t="str">
        <f>_xlfn.XLOOKUP(F249,customers!A:A,customers!F:F)</f>
        <v>Kilkenny</v>
      </c>
      <c r="L249" s="2" t="str">
        <f>_xlfn.XLOOKUP(F249,customers!A:A,customers!G:G)</f>
        <v>Ireland</v>
      </c>
      <c r="M249" t="str">
        <f>_xlfn.XLOOKUP(G249,products!A:A,products!B:B)</f>
        <v>Rob</v>
      </c>
      <c r="N249" t="str">
        <f>_xlfn.XLOOKUP(G249,products!A:A,products!C:C)</f>
        <v>L</v>
      </c>
      <c r="O249">
        <f>_xlfn.XLOOKUP(G249,products!A:A,products!D:D)</f>
        <v>0.2</v>
      </c>
      <c r="P249">
        <f>_xlfn.XLOOKUP(G249,products!A:A,products!E:E)</f>
        <v>3.5849999999999995</v>
      </c>
      <c r="Q249">
        <f t="shared" si="15"/>
        <v>21.509999999999998</v>
      </c>
      <c r="R249" t="str" cm="1">
        <f t="array" ref="R249">_xlfn.IFS(Q249&lt;=50,"low sales",Q249&lt;=100,"medium sales",Q249&gt;100,"High sales")</f>
        <v>low sales</v>
      </c>
    </row>
    <row r="250" spans="1:18" x14ac:dyDescent="0.35">
      <c r="A250" s="2" t="s">
        <v>1889</v>
      </c>
      <c r="B250" s="3">
        <v>44019</v>
      </c>
      <c r="C250" s="3" t="str">
        <f t="shared" si="12"/>
        <v>Tuesday</v>
      </c>
      <c r="D250" s="3" t="str">
        <f t="shared" si="13"/>
        <v>July</v>
      </c>
      <c r="E250" s="3" t="str">
        <f t="shared" si="14"/>
        <v>2020</v>
      </c>
      <c r="F250" s="2" t="s">
        <v>1890</v>
      </c>
      <c r="G250" t="s">
        <v>6147</v>
      </c>
      <c r="H250" s="2">
        <v>1</v>
      </c>
      <c r="I250" s="2" t="str">
        <f>_xlfn.XLOOKUP(F250,customers!A:A,customers!B:B)</f>
        <v>Lyn Entwistle</v>
      </c>
      <c r="J250" s="2" t="str">
        <f>_xlfn.XLOOKUP(F250,customers!A:A,customers!C:C)</f>
        <v>lentwistle6w@omniture.com</v>
      </c>
      <c r="K250" s="2" t="str">
        <f>_xlfn.XLOOKUP(F250,customers!A:A,customers!F:F)</f>
        <v>Minneapolis</v>
      </c>
      <c r="L250" s="2" t="str">
        <f>_xlfn.XLOOKUP(F250,customers!A:A,customers!G:G)</f>
        <v>United States</v>
      </c>
      <c r="M250" t="str">
        <f>_xlfn.XLOOKUP(G250,products!A:A,products!B:B)</f>
        <v>Ara</v>
      </c>
      <c r="N250" t="str">
        <f>_xlfn.XLOOKUP(G250,products!A:A,products!C:C)</f>
        <v>D</v>
      </c>
      <c r="O250">
        <f>_xlfn.XLOOKUP(G250,products!A:A,products!D:D)</f>
        <v>1</v>
      </c>
      <c r="P250">
        <f>_xlfn.XLOOKUP(G250,products!A:A,products!E:E)</f>
        <v>9.9499999999999993</v>
      </c>
      <c r="Q250">
        <f t="shared" si="15"/>
        <v>9.9499999999999993</v>
      </c>
      <c r="R250" t="str" cm="1">
        <f t="array" ref="R250">_xlfn.IFS(Q250&lt;=50,"low sales",Q250&lt;=100,"medium sales",Q250&gt;100,"High sales")</f>
        <v>low sales</v>
      </c>
    </row>
    <row r="251" spans="1:18" x14ac:dyDescent="0.35">
      <c r="A251" s="2" t="s">
        <v>1895</v>
      </c>
      <c r="B251" s="3">
        <v>43861</v>
      </c>
      <c r="C251" s="3" t="str">
        <f t="shared" si="12"/>
        <v>Friday</v>
      </c>
      <c r="D251" s="3" t="str">
        <f t="shared" si="13"/>
        <v>January</v>
      </c>
      <c r="E251" s="3" t="str">
        <f t="shared" si="14"/>
        <v>2020</v>
      </c>
      <c r="F251" s="2" t="s">
        <v>1935</v>
      </c>
      <c r="G251" t="s">
        <v>6170</v>
      </c>
      <c r="H251" s="2">
        <v>1</v>
      </c>
      <c r="I251" s="2" t="str">
        <f>_xlfn.XLOOKUP(F251,customers!A:A,customers!B:B)</f>
        <v>Zacharias Kiffe</v>
      </c>
      <c r="J251" s="2" t="str">
        <f>_xlfn.XLOOKUP(F251,customers!A:A,customers!C:C)</f>
        <v>zkiffe74@cyberchimps.com</v>
      </c>
      <c r="K251" s="2" t="str">
        <f>_xlfn.XLOOKUP(F251,customers!A:A,customers!F:F)</f>
        <v>Milwaukee</v>
      </c>
      <c r="L251" s="2" t="str">
        <f>_xlfn.XLOOKUP(F251,customers!A:A,customers!G:G)</f>
        <v>United States</v>
      </c>
      <c r="M251" t="str">
        <f>_xlfn.XLOOKUP(G251,products!A:A,products!B:B)</f>
        <v>Lib</v>
      </c>
      <c r="N251" t="str">
        <f>_xlfn.XLOOKUP(G251,products!A:A,products!C:C)</f>
        <v>L</v>
      </c>
      <c r="O251">
        <f>_xlfn.XLOOKUP(G251,products!A:A,products!D:D)</f>
        <v>1</v>
      </c>
      <c r="P251">
        <f>_xlfn.XLOOKUP(G251,products!A:A,products!E:E)</f>
        <v>15.85</v>
      </c>
      <c r="Q251">
        <f t="shared" si="15"/>
        <v>15.85</v>
      </c>
      <c r="R251" t="str" cm="1">
        <f t="array" ref="R251">_xlfn.IFS(Q251&lt;=50,"low sales",Q251&lt;=100,"medium sales",Q251&gt;100,"High sales")</f>
        <v>low sales</v>
      </c>
    </row>
    <row r="252" spans="1:18" x14ac:dyDescent="0.35">
      <c r="A252" s="2" t="s">
        <v>1900</v>
      </c>
      <c r="B252" s="3">
        <v>43879</v>
      </c>
      <c r="C252" s="3" t="str">
        <f t="shared" si="12"/>
        <v>Tuesday</v>
      </c>
      <c r="D252" s="3" t="str">
        <f t="shared" si="13"/>
        <v>February</v>
      </c>
      <c r="E252" s="3" t="str">
        <f t="shared" si="14"/>
        <v>2020</v>
      </c>
      <c r="F252" s="2" t="s">
        <v>1901</v>
      </c>
      <c r="G252" t="s">
        <v>6174</v>
      </c>
      <c r="H252" s="2">
        <v>1</v>
      </c>
      <c r="I252" s="2" t="str">
        <f>_xlfn.XLOOKUP(F252,customers!A:A,customers!B:B)</f>
        <v>Mercedes Acott</v>
      </c>
      <c r="J252" s="2" t="str">
        <f>_xlfn.XLOOKUP(F252,customers!A:A,customers!C:C)</f>
        <v>macott6y@pagesperso-orange.fr</v>
      </c>
      <c r="K252" s="2" t="str">
        <f>_xlfn.XLOOKUP(F252,customers!A:A,customers!F:F)</f>
        <v>Charlotte</v>
      </c>
      <c r="L252" s="2" t="str">
        <f>_xlfn.XLOOKUP(F252,customers!A:A,customers!G:G)</f>
        <v>United States</v>
      </c>
      <c r="M252" t="str">
        <f>_xlfn.XLOOKUP(G252,products!A:A,products!B:B)</f>
        <v>Rob</v>
      </c>
      <c r="N252" t="str">
        <f>_xlfn.XLOOKUP(G252,products!A:A,products!C:C)</f>
        <v>M</v>
      </c>
      <c r="O252">
        <f>_xlfn.XLOOKUP(G252,products!A:A,products!D:D)</f>
        <v>0.2</v>
      </c>
      <c r="P252">
        <f>_xlfn.XLOOKUP(G252,products!A:A,products!E:E)</f>
        <v>2.9849999999999999</v>
      </c>
      <c r="Q252">
        <f t="shared" si="15"/>
        <v>2.9849999999999999</v>
      </c>
      <c r="R252" t="str" cm="1">
        <f t="array" ref="R252">_xlfn.IFS(Q252&lt;=50,"low sales",Q252&lt;=100,"medium sales",Q252&gt;100,"High sales")</f>
        <v>low sales</v>
      </c>
    </row>
    <row r="253" spans="1:18" x14ac:dyDescent="0.35">
      <c r="A253" s="2" t="s">
        <v>1906</v>
      </c>
      <c r="B253" s="3">
        <v>44360</v>
      </c>
      <c r="C253" s="3" t="str">
        <f t="shared" si="12"/>
        <v>Sunday</v>
      </c>
      <c r="D253" s="3" t="str">
        <f t="shared" si="13"/>
        <v>June</v>
      </c>
      <c r="E253" s="3" t="str">
        <f t="shared" si="14"/>
        <v>2021</v>
      </c>
      <c r="F253" s="2" t="s">
        <v>1907</v>
      </c>
      <c r="G253" t="s">
        <v>6141</v>
      </c>
      <c r="H253" s="2">
        <v>5</v>
      </c>
      <c r="I253" s="2" t="str">
        <f>_xlfn.XLOOKUP(F253,customers!A:A,customers!B:B)</f>
        <v>Connor Heaviside</v>
      </c>
      <c r="J253" s="2" t="str">
        <f>_xlfn.XLOOKUP(F253,customers!A:A,customers!C:C)</f>
        <v>cheaviside6z@rediff.com</v>
      </c>
      <c r="K253" s="2" t="str">
        <f>_xlfn.XLOOKUP(F253,customers!A:A,customers!F:F)</f>
        <v>Phoenix</v>
      </c>
      <c r="L253" s="2" t="str">
        <f>_xlfn.XLOOKUP(F253,customers!A:A,customers!G:G)</f>
        <v>United States</v>
      </c>
      <c r="M253" t="str">
        <f>_xlfn.XLOOKUP(G253,products!A:A,products!B:B)</f>
        <v>Exc</v>
      </c>
      <c r="N253" t="str">
        <f>_xlfn.XLOOKUP(G253,products!A:A,products!C:C)</f>
        <v>M</v>
      </c>
      <c r="O253">
        <f>_xlfn.XLOOKUP(G253,products!A:A,products!D:D)</f>
        <v>1</v>
      </c>
      <c r="P253">
        <f>_xlfn.XLOOKUP(G253,products!A:A,products!E:E)</f>
        <v>13.75</v>
      </c>
      <c r="Q253">
        <f t="shared" si="15"/>
        <v>68.75</v>
      </c>
      <c r="R253" t="str" cm="1">
        <f t="array" ref="R253">_xlfn.IFS(Q253&lt;=50,"low sales",Q253&lt;=100,"medium sales",Q253&gt;100,"High sales")</f>
        <v>medium sales</v>
      </c>
    </row>
    <row r="254" spans="1:18" x14ac:dyDescent="0.35">
      <c r="A254" s="2" t="s">
        <v>1912</v>
      </c>
      <c r="B254" s="3">
        <v>44779</v>
      </c>
      <c r="C254" s="3" t="str">
        <f t="shared" si="12"/>
        <v>Saturday</v>
      </c>
      <c r="D254" s="3" t="str">
        <f t="shared" si="13"/>
        <v>August</v>
      </c>
      <c r="E254" s="3" t="str">
        <f t="shared" si="14"/>
        <v>2022</v>
      </c>
      <c r="F254" s="2" t="s">
        <v>1913</v>
      </c>
      <c r="G254" t="s">
        <v>6147</v>
      </c>
      <c r="H254" s="2">
        <v>3</v>
      </c>
      <c r="I254" s="2" t="str">
        <f>_xlfn.XLOOKUP(F254,customers!A:A,customers!B:B)</f>
        <v>Devy Bulbrook</v>
      </c>
      <c r="J254" s="2">
        <f>_xlfn.XLOOKUP(F254,customers!A:A,customers!C:C)</f>
        <v>0</v>
      </c>
      <c r="K254" s="2" t="str">
        <f>_xlfn.XLOOKUP(F254,customers!A:A,customers!F:F)</f>
        <v>Jamaica</v>
      </c>
      <c r="L254" s="2" t="str">
        <f>_xlfn.XLOOKUP(F254,customers!A:A,customers!G:G)</f>
        <v>United States</v>
      </c>
      <c r="M254" t="str">
        <f>_xlfn.XLOOKUP(G254,products!A:A,products!B:B)</f>
        <v>Ara</v>
      </c>
      <c r="N254" t="str">
        <f>_xlfn.XLOOKUP(G254,products!A:A,products!C:C)</f>
        <v>D</v>
      </c>
      <c r="O254">
        <f>_xlfn.XLOOKUP(G254,products!A:A,products!D:D)</f>
        <v>1</v>
      </c>
      <c r="P254">
        <f>_xlfn.XLOOKUP(G254,products!A:A,products!E:E)</f>
        <v>9.9499999999999993</v>
      </c>
      <c r="Q254">
        <f t="shared" si="15"/>
        <v>29.849999999999998</v>
      </c>
      <c r="R254" t="str" cm="1">
        <f t="array" ref="R254">_xlfn.IFS(Q254&lt;=50,"low sales",Q254&lt;=100,"medium sales",Q254&gt;100,"High sales")</f>
        <v>low sales</v>
      </c>
    </row>
    <row r="255" spans="1:18" x14ac:dyDescent="0.35">
      <c r="A255" s="2" t="s">
        <v>1917</v>
      </c>
      <c r="B255" s="3">
        <v>44523</v>
      </c>
      <c r="C255" s="3" t="str">
        <f t="shared" si="12"/>
        <v>Tuesday</v>
      </c>
      <c r="D255" s="3" t="str">
        <f t="shared" si="13"/>
        <v>November</v>
      </c>
      <c r="E255" s="3" t="str">
        <f t="shared" si="14"/>
        <v>2021</v>
      </c>
      <c r="F255" s="2" t="s">
        <v>1918</v>
      </c>
      <c r="G255" t="s">
        <v>6162</v>
      </c>
      <c r="H255" s="2">
        <v>4</v>
      </c>
      <c r="I255" s="2" t="str">
        <f>_xlfn.XLOOKUP(F255,customers!A:A,customers!B:B)</f>
        <v>Leia Kernan</v>
      </c>
      <c r="J255" s="2" t="str">
        <f>_xlfn.XLOOKUP(F255,customers!A:A,customers!C:C)</f>
        <v>lkernan71@wsj.com</v>
      </c>
      <c r="K255" s="2" t="str">
        <f>_xlfn.XLOOKUP(F255,customers!A:A,customers!F:F)</f>
        <v>Champaign</v>
      </c>
      <c r="L255" s="2" t="str">
        <f>_xlfn.XLOOKUP(F255,customers!A:A,customers!G:G)</f>
        <v>United States</v>
      </c>
      <c r="M255" t="str">
        <f>_xlfn.XLOOKUP(G255,products!A:A,products!B:B)</f>
        <v>Lib</v>
      </c>
      <c r="N255" t="str">
        <f>_xlfn.XLOOKUP(G255,products!A:A,products!C:C)</f>
        <v>M</v>
      </c>
      <c r="O255">
        <f>_xlfn.XLOOKUP(G255,products!A:A,products!D:D)</f>
        <v>1</v>
      </c>
      <c r="P255">
        <f>_xlfn.XLOOKUP(G255,products!A:A,products!E:E)</f>
        <v>14.55</v>
      </c>
      <c r="Q255">
        <f t="shared" si="15"/>
        <v>58.2</v>
      </c>
      <c r="R255" t="str" cm="1">
        <f t="array" ref="R255">_xlfn.IFS(Q255&lt;=50,"low sales",Q255&lt;=100,"medium sales",Q255&gt;100,"High sales")</f>
        <v>medium sales</v>
      </c>
    </row>
    <row r="256" spans="1:18" x14ac:dyDescent="0.35">
      <c r="A256" s="2" t="s">
        <v>1923</v>
      </c>
      <c r="B256" s="3">
        <v>44482</v>
      </c>
      <c r="C256" s="3" t="str">
        <f t="shared" si="12"/>
        <v>Wednesday</v>
      </c>
      <c r="D256" s="3" t="str">
        <f t="shared" si="13"/>
        <v>October</v>
      </c>
      <c r="E256" s="3" t="str">
        <f t="shared" si="14"/>
        <v>2021</v>
      </c>
      <c r="F256" s="2" t="s">
        <v>1924</v>
      </c>
      <c r="G256" t="s">
        <v>6173</v>
      </c>
      <c r="H256" s="2">
        <v>4</v>
      </c>
      <c r="I256" s="2" t="str">
        <f>_xlfn.XLOOKUP(F256,customers!A:A,customers!B:B)</f>
        <v>Rosaline McLae</v>
      </c>
      <c r="J256" s="2" t="str">
        <f>_xlfn.XLOOKUP(F256,customers!A:A,customers!C:C)</f>
        <v>rmclae72@dailymotion.com</v>
      </c>
      <c r="K256" s="2" t="str">
        <f>_xlfn.XLOOKUP(F256,customers!A:A,customers!F:F)</f>
        <v>Swindon</v>
      </c>
      <c r="L256" s="2" t="str">
        <f>_xlfn.XLOOKUP(F256,customers!A:A,customers!G:G)</f>
        <v>United Kingdom</v>
      </c>
      <c r="M256" t="str">
        <f>_xlfn.XLOOKUP(G256,products!A:A,products!B:B)</f>
        <v>Rob</v>
      </c>
      <c r="N256" t="str">
        <f>_xlfn.XLOOKUP(G256,products!A:A,products!C:C)</f>
        <v>L</v>
      </c>
      <c r="O256">
        <f>_xlfn.XLOOKUP(G256,products!A:A,products!D:D)</f>
        <v>0.5</v>
      </c>
      <c r="P256">
        <f>_xlfn.XLOOKUP(G256,products!A:A,products!E:E)</f>
        <v>7.169999999999999</v>
      </c>
      <c r="Q256">
        <f t="shared" si="15"/>
        <v>28.679999999999996</v>
      </c>
      <c r="R256" t="str" cm="1">
        <f t="array" ref="R256">_xlfn.IFS(Q256&lt;=50,"low sales",Q256&lt;=100,"medium sales",Q256&gt;100,"High sales")</f>
        <v>low sales</v>
      </c>
    </row>
    <row r="257" spans="1:18" x14ac:dyDescent="0.35">
      <c r="A257" s="2" t="s">
        <v>1928</v>
      </c>
      <c r="B257" s="3">
        <v>44439</v>
      </c>
      <c r="C257" s="3" t="str">
        <f t="shared" si="12"/>
        <v>Tuesday</v>
      </c>
      <c r="D257" s="3" t="str">
        <f t="shared" si="13"/>
        <v>August</v>
      </c>
      <c r="E257" s="3" t="str">
        <f t="shared" si="14"/>
        <v>2021</v>
      </c>
      <c r="F257" s="2" t="s">
        <v>1929</v>
      </c>
      <c r="G257" t="s">
        <v>6173</v>
      </c>
      <c r="H257" s="2">
        <v>3</v>
      </c>
      <c r="I257" s="2" t="str">
        <f>_xlfn.XLOOKUP(F257,customers!A:A,customers!B:B)</f>
        <v>Cleve Blowfelde</v>
      </c>
      <c r="J257" s="2" t="str">
        <f>_xlfn.XLOOKUP(F257,customers!A:A,customers!C:C)</f>
        <v>cblowfelde73@ustream.tv</v>
      </c>
      <c r="K257" s="2" t="str">
        <f>_xlfn.XLOOKUP(F257,customers!A:A,customers!F:F)</f>
        <v>Tucson</v>
      </c>
      <c r="L257" s="2" t="str">
        <f>_xlfn.XLOOKUP(F257,customers!A:A,customers!G:G)</f>
        <v>United States</v>
      </c>
      <c r="M257" t="str">
        <f>_xlfn.XLOOKUP(G257,products!A:A,products!B:B)</f>
        <v>Rob</v>
      </c>
      <c r="N257" t="str">
        <f>_xlfn.XLOOKUP(G257,products!A:A,products!C:C)</f>
        <v>L</v>
      </c>
      <c r="O257">
        <f>_xlfn.XLOOKUP(G257,products!A:A,products!D:D)</f>
        <v>0.5</v>
      </c>
      <c r="P257">
        <f>_xlfn.XLOOKUP(G257,products!A:A,products!E:E)</f>
        <v>7.169999999999999</v>
      </c>
      <c r="Q257">
        <f t="shared" si="15"/>
        <v>21.509999999999998</v>
      </c>
      <c r="R257" t="str" cm="1">
        <f t="array" ref="R257">_xlfn.IFS(Q257&lt;=50,"low sales",Q257&lt;=100,"medium sales",Q257&gt;100,"High sales")</f>
        <v>low sales</v>
      </c>
    </row>
    <row r="258" spans="1:18" x14ac:dyDescent="0.35">
      <c r="A258" s="2" t="s">
        <v>1934</v>
      </c>
      <c r="B258" s="3">
        <v>43846</v>
      </c>
      <c r="C258" s="3" t="str">
        <f t="shared" si="12"/>
        <v>Thursday</v>
      </c>
      <c r="D258" s="3" t="str">
        <f t="shared" si="13"/>
        <v>January</v>
      </c>
      <c r="E258" s="3" t="str">
        <f t="shared" si="14"/>
        <v>2020</v>
      </c>
      <c r="F258" s="2" t="s">
        <v>1935</v>
      </c>
      <c r="G258" t="s">
        <v>6160</v>
      </c>
      <c r="H258" s="2">
        <v>2</v>
      </c>
      <c r="I258" s="2" t="str">
        <f>_xlfn.XLOOKUP(F258,customers!A:A,customers!B:B)</f>
        <v>Zacharias Kiffe</v>
      </c>
      <c r="J258" s="2" t="str">
        <f>_xlfn.XLOOKUP(F258,customers!A:A,customers!C:C)</f>
        <v>zkiffe74@cyberchimps.com</v>
      </c>
      <c r="K258" s="2" t="str">
        <f>_xlfn.XLOOKUP(F258,customers!A:A,customers!F:F)</f>
        <v>Milwaukee</v>
      </c>
      <c r="L258" s="2" t="str">
        <f>_xlfn.XLOOKUP(F258,customers!A:A,customers!G:G)</f>
        <v>United States</v>
      </c>
      <c r="M258" t="str">
        <f>_xlfn.XLOOKUP(G258,products!A:A,products!B:B)</f>
        <v>Lib</v>
      </c>
      <c r="N258" t="str">
        <f>_xlfn.XLOOKUP(G258,products!A:A,products!C:C)</f>
        <v>M</v>
      </c>
      <c r="O258">
        <f>_xlfn.XLOOKUP(G258,products!A:A,products!D:D)</f>
        <v>0.5</v>
      </c>
      <c r="P258">
        <f>_xlfn.XLOOKUP(G258,products!A:A,products!E:E)</f>
        <v>8.73</v>
      </c>
      <c r="Q258">
        <f t="shared" si="15"/>
        <v>17.46</v>
      </c>
      <c r="R258" t="str" cm="1">
        <f t="array" ref="R258">_xlfn.IFS(Q258&lt;=50,"low sales",Q258&lt;=100,"medium sales",Q258&gt;100,"High sales")</f>
        <v>low sales</v>
      </c>
    </row>
    <row r="259" spans="1:18" x14ac:dyDescent="0.35">
      <c r="A259" s="2" t="s">
        <v>1940</v>
      </c>
      <c r="B259" s="3">
        <v>44676</v>
      </c>
      <c r="C259" s="3" t="str">
        <f t="shared" ref="C259:C322" si="16">TEXT(B259,"DDDD")</f>
        <v>Monday</v>
      </c>
      <c r="D259" s="3" t="str">
        <f t="shared" ref="D259:D322" si="17">TEXT(B259,"MMMM")</f>
        <v>April</v>
      </c>
      <c r="E259" s="3" t="str">
        <f t="shared" ref="E259:E322" si="18">TEXT(B259,"YYYY")</f>
        <v>2022</v>
      </c>
      <c r="F259" s="2" t="s">
        <v>1941</v>
      </c>
      <c r="G259" t="s">
        <v>6185</v>
      </c>
      <c r="H259" s="2">
        <v>1</v>
      </c>
      <c r="I259" s="2" t="str">
        <f>_xlfn.XLOOKUP(F259,customers!A:A,customers!B:B)</f>
        <v>Denyse O'Calleran</v>
      </c>
      <c r="J259" s="2" t="str">
        <f>_xlfn.XLOOKUP(F259,customers!A:A,customers!C:C)</f>
        <v>docalleran75@ucla.edu</v>
      </c>
      <c r="K259" s="2" t="str">
        <f>_xlfn.XLOOKUP(F259,customers!A:A,customers!F:F)</f>
        <v>Pompano Beach</v>
      </c>
      <c r="L259" s="2" t="str">
        <f>_xlfn.XLOOKUP(F259,customers!A:A,customers!G:G)</f>
        <v>United States</v>
      </c>
      <c r="M259" t="str">
        <f>_xlfn.XLOOKUP(G259,products!A:A,products!B:B)</f>
        <v>Exc</v>
      </c>
      <c r="N259" t="str">
        <f>_xlfn.XLOOKUP(G259,products!A:A,products!C:C)</f>
        <v>D</v>
      </c>
      <c r="O259">
        <f>_xlfn.XLOOKUP(G259,products!A:A,products!D:D)</f>
        <v>2.5</v>
      </c>
      <c r="P259">
        <f>_xlfn.XLOOKUP(G259,products!A:A,products!E:E)</f>
        <v>27.945</v>
      </c>
      <c r="Q259">
        <f t="shared" ref="Q259:Q322" si="19">P259*H259</f>
        <v>27.945</v>
      </c>
      <c r="R259" t="str" cm="1">
        <f t="array" ref="R259">_xlfn.IFS(Q259&lt;=50,"low sales",Q259&lt;=100,"medium sales",Q259&gt;100,"High sales")</f>
        <v>low sales</v>
      </c>
    </row>
    <row r="260" spans="1:18" x14ac:dyDescent="0.35">
      <c r="A260" s="2" t="s">
        <v>1946</v>
      </c>
      <c r="B260" s="3">
        <v>44513</v>
      </c>
      <c r="C260" s="3" t="str">
        <f t="shared" si="16"/>
        <v>Saturday</v>
      </c>
      <c r="D260" s="3" t="str">
        <f t="shared" si="17"/>
        <v>November</v>
      </c>
      <c r="E260" s="3" t="str">
        <f t="shared" si="18"/>
        <v>2021</v>
      </c>
      <c r="F260" s="2" t="s">
        <v>1947</v>
      </c>
      <c r="G260" t="s">
        <v>6185</v>
      </c>
      <c r="H260" s="2">
        <v>5</v>
      </c>
      <c r="I260" s="2" t="str">
        <f>_xlfn.XLOOKUP(F260,customers!A:A,customers!B:B)</f>
        <v>Cobby Cromwell</v>
      </c>
      <c r="J260" s="2" t="str">
        <f>_xlfn.XLOOKUP(F260,customers!A:A,customers!C:C)</f>
        <v>ccromwell76@desdev.cn</v>
      </c>
      <c r="K260" s="2" t="str">
        <f>_xlfn.XLOOKUP(F260,customers!A:A,customers!F:F)</f>
        <v>Whittier</v>
      </c>
      <c r="L260" s="2" t="str">
        <f>_xlfn.XLOOKUP(F260,customers!A:A,customers!G:G)</f>
        <v>United States</v>
      </c>
      <c r="M260" t="str">
        <f>_xlfn.XLOOKUP(G260,products!A:A,products!B:B)</f>
        <v>Exc</v>
      </c>
      <c r="N260" t="str">
        <f>_xlfn.XLOOKUP(G260,products!A:A,products!C:C)</f>
        <v>D</v>
      </c>
      <c r="O260">
        <f>_xlfn.XLOOKUP(G260,products!A:A,products!D:D)</f>
        <v>2.5</v>
      </c>
      <c r="P260">
        <f>_xlfn.XLOOKUP(G260,products!A:A,products!E:E)</f>
        <v>27.945</v>
      </c>
      <c r="Q260">
        <f t="shared" si="19"/>
        <v>139.72499999999999</v>
      </c>
      <c r="R260" t="str" cm="1">
        <f t="array" ref="R260">_xlfn.IFS(Q260&lt;=50,"low sales",Q260&lt;=100,"medium sales",Q260&gt;100,"High sales")</f>
        <v>High sales</v>
      </c>
    </row>
    <row r="261" spans="1:18" x14ac:dyDescent="0.35">
      <c r="A261" s="2" t="s">
        <v>1952</v>
      </c>
      <c r="B261" s="3">
        <v>44355</v>
      </c>
      <c r="C261" s="3" t="str">
        <f t="shared" si="16"/>
        <v>Tuesday</v>
      </c>
      <c r="D261" s="3" t="str">
        <f t="shared" si="17"/>
        <v>June</v>
      </c>
      <c r="E261" s="3" t="str">
        <f t="shared" si="18"/>
        <v>2021</v>
      </c>
      <c r="F261" s="2" t="s">
        <v>1953</v>
      </c>
      <c r="G261" t="s">
        <v>6174</v>
      </c>
      <c r="H261" s="2">
        <v>2</v>
      </c>
      <c r="I261" s="2" t="str">
        <f>_xlfn.XLOOKUP(F261,customers!A:A,customers!B:B)</f>
        <v>Irv Hay</v>
      </c>
      <c r="J261" s="2" t="str">
        <f>_xlfn.XLOOKUP(F261,customers!A:A,customers!C:C)</f>
        <v>ihay77@lulu.com</v>
      </c>
      <c r="K261" s="2" t="str">
        <f>_xlfn.XLOOKUP(F261,customers!A:A,customers!F:F)</f>
        <v>Sheffield</v>
      </c>
      <c r="L261" s="2" t="str">
        <f>_xlfn.XLOOKUP(F261,customers!A:A,customers!G:G)</f>
        <v>United Kingdom</v>
      </c>
      <c r="M261" t="str">
        <f>_xlfn.XLOOKUP(G261,products!A:A,products!B:B)</f>
        <v>Rob</v>
      </c>
      <c r="N261" t="str">
        <f>_xlfn.XLOOKUP(G261,products!A:A,products!C:C)</f>
        <v>M</v>
      </c>
      <c r="O261">
        <f>_xlfn.XLOOKUP(G261,products!A:A,products!D:D)</f>
        <v>0.2</v>
      </c>
      <c r="P261">
        <f>_xlfn.XLOOKUP(G261,products!A:A,products!E:E)</f>
        <v>2.9849999999999999</v>
      </c>
      <c r="Q261">
        <f t="shared" si="19"/>
        <v>5.97</v>
      </c>
      <c r="R261" t="str" cm="1">
        <f t="array" ref="R261">_xlfn.IFS(Q261&lt;=50,"low sales",Q261&lt;=100,"medium sales",Q261&gt;100,"High sales")</f>
        <v>low sales</v>
      </c>
    </row>
    <row r="262" spans="1:18" x14ac:dyDescent="0.35">
      <c r="A262" s="2" t="s">
        <v>1958</v>
      </c>
      <c r="B262" s="3">
        <v>44156</v>
      </c>
      <c r="C262" s="3" t="str">
        <f t="shared" si="16"/>
        <v>Saturday</v>
      </c>
      <c r="D262" s="3" t="str">
        <f t="shared" si="17"/>
        <v>November</v>
      </c>
      <c r="E262" s="3" t="str">
        <f t="shared" si="18"/>
        <v>2020</v>
      </c>
      <c r="F262" s="2" t="s">
        <v>1959</v>
      </c>
      <c r="G262" t="s">
        <v>6142</v>
      </c>
      <c r="H262" s="2">
        <v>1</v>
      </c>
      <c r="I262" s="2" t="str">
        <f>_xlfn.XLOOKUP(F262,customers!A:A,customers!B:B)</f>
        <v>Tani Taffarello</v>
      </c>
      <c r="J262" s="2" t="str">
        <f>_xlfn.XLOOKUP(F262,customers!A:A,customers!C:C)</f>
        <v>ttaffarello78@sciencedaily.com</v>
      </c>
      <c r="K262" s="2" t="str">
        <f>_xlfn.XLOOKUP(F262,customers!A:A,customers!F:F)</f>
        <v>Saint Louis</v>
      </c>
      <c r="L262" s="2" t="str">
        <f>_xlfn.XLOOKUP(F262,customers!A:A,customers!G:G)</f>
        <v>United States</v>
      </c>
      <c r="M262" t="str">
        <f>_xlfn.XLOOKUP(G262,products!A:A,products!B:B)</f>
        <v>Rob</v>
      </c>
      <c r="N262" t="str">
        <f>_xlfn.XLOOKUP(G262,products!A:A,products!C:C)</f>
        <v>L</v>
      </c>
      <c r="O262">
        <f>_xlfn.XLOOKUP(G262,products!A:A,products!D:D)</f>
        <v>2.5</v>
      </c>
      <c r="P262">
        <f>_xlfn.XLOOKUP(G262,products!A:A,products!E:E)</f>
        <v>27.484999999999996</v>
      </c>
      <c r="Q262">
        <f t="shared" si="19"/>
        <v>27.484999999999996</v>
      </c>
      <c r="R262" t="str" cm="1">
        <f t="array" ref="R262">_xlfn.IFS(Q262&lt;=50,"low sales",Q262&lt;=100,"medium sales",Q262&gt;100,"High sales")</f>
        <v>low sales</v>
      </c>
    </row>
    <row r="263" spans="1:18" x14ac:dyDescent="0.35">
      <c r="A263" s="2" t="s">
        <v>1963</v>
      </c>
      <c r="B263" s="3">
        <v>43538</v>
      </c>
      <c r="C263" s="3" t="str">
        <f t="shared" si="16"/>
        <v>Thursday</v>
      </c>
      <c r="D263" s="3" t="str">
        <f t="shared" si="17"/>
        <v>March</v>
      </c>
      <c r="E263" s="3" t="str">
        <f t="shared" si="18"/>
        <v>2019</v>
      </c>
      <c r="F263" s="2" t="s">
        <v>1964</v>
      </c>
      <c r="G263" t="s">
        <v>6179</v>
      </c>
      <c r="H263" s="2">
        <v>5</v>
      </c>
      <c r="I263" s="2" t="str">
        <f>_xlfn.XLOOKUP(F263,customers!A:A,customers!B:B)</f>
        <v>Monique Canty</v>
      </c>
      <c r="J263" s="2" t="str">
        <f>_xlfn.XLOOKUP(F263,customers!A:A,customers!C:C)</f>
        <v>mcanty79@jigsy.com</v>
      </c>
      <c r="K263" s="2" t="str">
        <f>_xlfn.XLOOKUP(F263,customers!A:A,customers!F:F)</f>
        <v>Erie</v>
      </c>
      <c r="L263" s="2" t="str">
        <f>_xlfn.XLOOKUP(F263,customers!A:A,customers!G:G)</f>
        <v>United States</v>
      </c>
      <c r="M263" t="str">
        <f>_xlfn.XLOOKUP(G263,products!A:A,products!B:B)</f>
        <v>Rob</v>
      </c>
      <c r="N263" t="str">
        <f>_xlfn.XLOOKUP(G263,products!A:A,products!C:C)</f>
        <v>L</v>
      </c>
      <c r="O263">
        <f>_xlfn.XLOOKUP(G263,products!A:A,products!D:D)</f>
        <v>1</v>
      </c>
      <c r="P263">
        <f>_xlfn.XLOOKUP(G263,products!A:A,products!E:E)</f>
        <v>11.95</v>
      </c>
      <c r="Q263">
        <f t="shared" si="19"/>
        <v>59.75</v>
      </c>
      <c r="R263" t="str" cm="1">
        <f t="array" ref="R263">_xlfn.IFS(Q263&lt;=50,"low sales",Q263&lt;=100,"medium sales",Q263&gt;100,"High sales")</f>
        <v>medium sales</v>
      </c>
    </row>
    <row r="264" spans="1:18" x14ac:dyDescent="0.35">
      <c r="A264" s="2" t="s">
        <v>1969</v>
      </c>
      <c r="B264" s="3">
        <v>43693</v>
      </c>
      <c r="C264" s="3" t="str">
        <f t="shared" si="16"/>
        <v>Friday</v>
      </c>
      <c r="D264" s="3" t="str">
        <f t="shared" si="17"/>
        <v>August</v>
      </c>
      <c r="E264" s="3" t="str">
        <f t="shared" si="18"/>
        <v>2019</v>
      </c>
      <c r="F264" s="2" t="s">
        <v>1970</v>
      </c>
      <c r="G264" t="s">
        <v>6141</v>
      </c>
      <c r="H264" s="2">
        <v>3</v>
      </c>
      <c r="I264" s="2" t="str">
        <f>_xlfn.XLOOKUP(F264,customers!A:A,customers!B:B)</f>
        <v>Javier Kopke</v>
      </c>
      <c r="J264" s="2" t="str">
        <f>_xlfn.XLOOKUP(F264,customers!A:A,customers!C:C)</f>
        <v>jkopke7a@auda.org.au</v>
      </c>
      <c r="K264" s="2" t="str">
        <f>_xlfn.XLOOKUP(F264,customers!A:A,customers!F:F)</f>
        <v>Tacoma</v>
      </c>
      <c r="L264" s="2" t="str">
        <f>_xlfn.XLOOKUP(F264,customers!A:A,customers!G:G)</f>
        <v>United States</v>
      </c>
      <c r="M264" t="str">
        <f>_xlfn.XLOOKUP(G264,products!A:A,products!B:B)</f>
        <v>Exc</v>
      </c>
      <c r="N264" t="str">
        <f>_xlfn.XLOOKUP(G264,products!A:A,products!C:C)</f>
        <v>M</v>
      </c>
      <c r="O264">
        <f>_xlfn.XLOOKUP(G264,products!A:A,products!D:D)</f>
        <v>1</v>
      </c>
      <c r="P264">
        <f>_xlfn.XLOOKUP(G264,products!A:A,products!E:E)</f>
        <v>13.75</v>
      </c>
      <c r="Q264">
        <f t="shared" si="19"/>
        <v>41.25</v>
      </c>
      <c r="R264" t="str" cm="1">
        <f t="array" ref="R264">_xlfn.IFS(Q264&lt;=50,"low sales",Q264&lt;=100,"medium sales",Q264&gt;100,"High sales")</f>
        <v>low sales</v>
      </c>
    </row>
    <row r="265" spans="1:18" x14ac:dyDescent="0.35">
      <c r="A265" s="2" t="s">
        <v>1975</v>
      </c>
      <c r="B265" s="3">
        <v>43577</v>
      </c>
      <c r="C265" s="3" t="str">
        <f t="shared" si="16"/>
        <v>Monday</v>
      </c>
      <c r="D265" s="3" t="str">
        <f t="shared" si="17"/>
        <v>April</v>
      </c>
      <c r="E265" s="3" t="str">
        <f t="shared" si="18"/>
        <v>2019</v>
      </c>
      <c r="F265" s="2" t="s">
        <v>1976</v>
      </c>
      <c r="G265" t="s">
        <v>6181</v>
      </c>
      <c r="H265" s="2">
        <v>4</v>
      </c>
      <c r="I265" s="2" t="str">
        <f>_xlfn.XLOOKUP(F265,customers!A:A,customers!B:B)</f>
        <v>Mar McIver</v>
      </c>
      <c r="J265" s="2">
        <f>_xlfn.XLOOKUP(F265,customers!A:A,customers!C:C)</f>
        <v>0</v>
      </c>
      <c r="K265" s="2" t="str">
        <f>_xlfn.XLOOKUP(F265,customers!A:A,customers!F:F)</f>
        <v>Richmond</v>
      </c>
      <c r="L265" s="2" t="str">
        <f>_xlfn.XLOOKUP(F265,customers!A:A,customers!G:G)</f>
        <v>United States</v>
      </c>
      <c r="M265" t="str">
        <f>_xlfn.XLOOKUP(G265,products!A:A,products!B:B)</f>
        <v>Lib</v>
      </c>
      <c r="N265" t="str">
        <f>_xlfn.XLOOKUP(G265,products!A:A,products!C:C)</f>
        <v>M</v>
      </c>
      <c r="O265">
        <f>_xlfn.XLOOKUP(G265,products!A:A,products!D:D)</f>
        <v>2.5</v>
      </c>
      <c r="P265">
        <f>_xlfn.XLOOKUP(G265,products!A:A,products!E:E)</f>
        <v>33.464999999999996</v>
      </c>
      <c r="Q265">
        <f t="shared" si="19"/>
        <v>133.85999999999999</v>
      </c>
      <c r="R265" t="str" cm="1">
        <f t="array" ref="R265">_xlfn.IFS(Q265&lt;=50,"low sales",Q265&lt;=100,"medium sales",Q265&gt;100,"High sales")</f>
        <v>High sales</v>
      </c>
    </row>
    <row r="266" spans="1:18" x14ac:dyDescent="0.35">
      <c r="A266" s="2" t="s">
        <v>1980</v>
      </c>
      <c r="B266" s="3">
        <v>44683</v>
      </c>
      <c r="C266" s="3" t="str">
        <f t="shared" si="16"/>
        <v>Monday</v>
      </c>
      <c r="D266" s="3" t="str">
        <f t="shared" si="17"/>
        <v>May</v>
      </c>
      <c r="E266" s="3" t="str">
        <f t="shared" si="18"/>
        <v>2022</v>
      </c>
      <c r="F266" s="2" t="s">
        <v>1981</v>
      </c>
      <c r="G266" t="s">
        <v>6179</v>
      </c>
      <c r="H266" s="2">
        <v>5</v>
      </c>
      <c r="I266" s="2" t="str">
        <f>_xlfn.XLOOKUP(F266,customers!A:A,customers!B:B)</f>
        <v>Arabella Fransewich</v>
      </c>
      <c r="J266" s="2">
        <f>_xlfn.XLOOKUP(F266,customers!A:A,customers!C:C)</f>
        <v>0</v>
      </c>
      <c r="K266" s="2" t="str">
        <f>_xlfn.XLOOKUP(F266,customers!A:A,customers!F:F)</f>
        <v>Kinsealy-Drinan</v>
      </c>
      <c r="L266" s="2" t="str">
        <f>_xlfn.XLOOKUP(F266,customers!A:A,customers!G:G)</f>
        <v>Ireland</v>
      </c>
      <c r="M266" t="str">
        <f>_xlfn.XLOOKUP(G266,products!A:A,products!B:B)</f>
        <v>Rob</v>
      </c>
      <c r="N266" t="str">
        <f>_xlfn.XLOOKUP(G266,products!A:A,products!C:C)</f>
        <v>L</v>
      </c>
      <c r="O266">
        <f>_xlfn.XLOOKUP(G266,products!A:A,products!D:D)</f>
        <v>1</v>
      </c>
      <c r="P266">
        <f>_xlfn.XLOOKUP(G266,products!A:A,products!E:E)</f>
        <v>11.95</v>
      </c>
      <c r="Q266">
        <f t="shared" si="19"/>
        <v>59.75</v>
      </c>
      <c r="R266" t="str" cm="1">
        <f t="array" ref="R266">_xlfn.IFS(Q266&lt;=50,"low sales",Q266&lt;=100,"medium sales",Q266&gt;100,"High sales")</f>
        <v>medium sales</v>
      </c>
    </row>
    <row r="267" spans="1:18" x14ac:dyDescent="0.35">
      <c r="A267" s="2" t="s">
        <v>1986</v>
      </c>
      <c r="B267" s="3">
        <v>43872</v>
      </c>
      <c r="C267" s="3" t="str">
        <f t="shared" si="16"/>
        <v>Tuesday</v>
      </c>
      <c r="D267" s="3" t="str">
        <f t="shared" si="17"/>
        <v>February</v>
      </c>
      <c r="E267" s="3" t="str">
        <f t="shared" si="18"/>
        <v>2020</v>
      </c>
      <c r="F267" s="2" t="s">
        <v>1987</v>
      </c>
      <c r="G267" t="s">
        <v>6158</v>
      </c>
      <c r="H267" s="2">
        <v>1</v>
      </c>
      <c r="I267" s="2" t="str">
        <f>_xlfn.XLOOKUP(F267,customers!A:A,customers!B:B)</f>
        <v>Violette Hellmore</v>
      </c>
      <c r="J267" s="2" t="str">
        <f>_xlfn.XLOOKUP(F267,customers!A:A,customers!C:C)</f>
        <v>vhellmore7d@bbc.co.uk</v>
      </c>
      <c r="K267" s="2" t="str">
        <f>_xlfn.XLOOKUP(F267,customers!A:A,customers!F:F)</f>
        <v>Little Rock</v>
      </c>
      <c r="L267" s="2" t="str">
        <f>_xlfn.XLOOKUP(F267,customers!A:A,customers!G:G)</f>
        <v>United States</v>
      </c>
      <c r="M267" t="str">
        <f>_xlfn.XLOOKUP(G267,products!A:A,products!B:B)</f>
        <v>Ara</v>
      </c>
      <c r="N267" t="str">
        <f>_xlfn.XLOOKUP(G267,products!A:A,products!C:C)</f>
        <v>D</v>
      </c>
      <c r="O267">
        <f>_xlfn.XLOOKUP(G267,products!A:A,products!D:D)</f>
        <v>0.5</v>
      </c>
      <c r="P267">
        <f>_xlfn.XLOOKUP(G267,products!A:A,products!E:E)</f>
        <v>5.97</v>
      </c>
      <c r="Q267">
        <f t="shared" si="19"/>
        <v>5.97</v>
      </c>
      <c r="R267" t="str" cm="1">
        <f t="array" ref="R267">_xlfn.IFS(Q267&lt;=50,"low sales",Q267&lt;=100,"medium sales",Q267&gt;100,"High sales")</f>
        <v>low sales</v>
      </c>
    </row>
    <row r="268" spans="1:18" x14ac:dyDescent="0.35">
      <c r="A268" s="2" t="s">
        <v>1992</v>
      </c>
      <c r="B268" s="3">
        <v>44283</v>
      </c>
      <c r="C268" s="3" t="str">
        <f t="shared" si="16"/>
        <v>Sunday</v>
      </c>
      <c r="D268" s="3" t="str">
        <f t="shared" si="17"/>
        <v>March</v>
      </c>
      <c r="E268" s="3" t="str">
        <f t="shared" si="18"/>
        <v>2021</v>
      </c>
      <c r="F268" s="2" t="s">
        <v>1993</v>
      </c>
      <c r="G268" t="s">
        <v>6183</v>
      </c>
      <c r="H268" s="2">
        <v>2</v>
      </c>
      <c r="I268" s="2" t="str">
        <f>_xlfn.XLOOKUP(F268,customers!A:A,customers!B:B)</f>
        <v>Myles Seawright</v>
      </c>
      <c r="J268" s="2" t="str">
        <f>_xlfn.XLOOKUP(F268,customers!A:A,customers!C:C)</f>
        <v>mseawright7e@nbcnews.com</v>
      </c>
      <c r="K268" s="2" t="str">
        <f>_xlfn.XLOOKUP(F268,customers!A:A,customers!F:F)</f>
        <v>Newton</v>
      </c>
      <c r="L268" s="2" t="str">
        <f>_xlfn.XLOOKUP(F268,customers!A:A,customers!G:G)</f>
        <v>United Kingdom</v>
      </c>
      <c r="M268" t="str">
        <f>_xlfn.XLOOKUP(G268,products!A:A,products!B:B)</f>
        <v>Exc</v>
      </c>
      <c r="N268" t="str">
        <f>_xlfn.XLOOKUP(G268,products!A:A,products!C:C)</f>
        <v>D</v>
      </c>
      <c r="O268">
        <f>_xlfn.XLOOKUP(G268,products!A:A,products!D:D)</f>
        <v>1</v>
      </c>
      <c r="P268">
        <f>_xlfn.XLOOKUP(G268,products!A:A,products!E:E)</f>
        <v>12.15</v>
      </c>
      <c r="Q268">
        <f t="shared" si="19"/>
        <v>24.3</v>
      </c>
      <c r="R268" t="str" cm="1">
        <f t="array" ref="R268">_xlfn.IFS(Q268&lt;=50,"low sales",Q268&lt;=100,"medium sales",Q268&gt;100,"High sales")</f>
        <v>low sales</v>
      </c>
    </row>
    <row r="269" spans="1:18" x14ac:dyDescent="0.35">
      <c r="A269" s="2" t="s">
        <v>1998</v>
      </c>
      <c r="B269" s="3">
        <v>44324</v>
      </c>
      <c r="C269" s="3" t="str">
        <f t="shared" si="16"/>
        <v>Saturday</v>
      </c>
      <c r="D269" s="3" t="str">
        <f t="shared" si="17"/>
        <v>May</v>
      </c>
      <c r="E269" s="3" t="str">
        <f t="shared" si="18"/>
        <v>2021</v>
      </c>
      <c r="F269" s="2" t="s">
        <v>1999</v>
      </c>
      <c r="G269" t="s">
        <v>6153</v>
      </c>
      <c r="H269" s="2">
        <v>6</v>
      </c>
      <c r="I269" s="2" t="str">
        <f>_xlfn.XLOOKUP(F269,customers!A:A,customers!B:B)</f>
        <v>Silvana Northeast</v>
      </c>
      <c r="J269" s="2" t="str">
        <f>_xlfn.XLOOKUP(F269,customers!A:A,customers!C:C)</f>
        <v>snortheast7f@mashable.com</v>
      </c>
      <c r="K269" s="2" t="str">
        <f>_xlfn.XLOOKUP(F269,customers!A:A,customers!F:F)</f>
        <v>Sparks</v>
      </c>
      <c r="L269" s="2" t="str">
        <f>_xlfn.XLOOKUP(F269,customers!A:A,customers!G:G)</f>
        <v>United States</v>
      </c>
      <c r="M269" t="str">
        <f>_xlfn.XLOOKUP(G269,products!A:A,products!B:B)</f>
        <v>Exc</v>
      </c>
      <c r="N269" t="str">
        <f>_xlfn.XLOOKUP(G269,products!A:A,products!C:C)</f>
        <v>D</v>
      </c>
      <c r="O269">
        <f>_xlfn.XLOOKUP(G269,products!A:A,products!D:D)</f>
        <v>0.2</v>
      </c>
      <c r="P269">
        <f>_xlfn.XLOOKUP(G269,products!A:A,products!E:E)</f>
        <v>3.645</v>
      </c>
      <c r="Q269">
        <f t="shared" si="19"/>
        <v>21.87</v>
      </c>
      <c r="R269" t="str" cm="1">
        <f t="array" ref="R269">_xlfn.IFS(Q269&lt;=50,"low sales",Q269&lt;=100,"medium sales",Q269&gt;100,"High sales")</f>
        <v>low sales</v>
      </c>
    </row>
    <row r="270" spans="1:18" x14ac:dyDescent="0.35">
      <c r="A270" s="2" t="s">
        <v>2004</v>
      </c>
      <c r="B270" s="3">
        <v>43790</v>
      </c>
      <c r="C270" s="3" t="str">
        <f t="shared" si="16"/>
        <v>Thursday</v>
      </c>
      <c r="D270" s="3" t="str">
        <f t="shared" si="17"/>
        <v>November</v>
      </c>
      <c r="E270" s="3" t="str">
        <f t="shared" si="18"/>
        <v>2019</v>
      </c>
      <c r="F270" s="2" t="s">
        <v>1672</v>
      </c>
      <c r="G270" t="s">
        <v>6147</v>
      </c>
      <c r="H270" s="2">
        <v>2</v>
      </c>
      <c r="I270" s="2" t="str">
        <f>_xlfn.XLOOKUP(F270,customers!A:A,customers!B:B)</f>
        <v>Anselma Attwater</v>
      </c>
      <c r="J270" s="2" t="str">
        <f>_xlfn.XLOOKUP(F270,customers!A:A,customers!C:C)</f>
        <v>aattwater5u@wikia.com</v>
      </c>
      <c r="K270" s="2" t="str">
        <f>_xlfn.XLOOKUP(F270,customers!A:A,customers!F:F)</f>
        <v>Charlottesville</v>
      </c>
      <c r="L270" s="2" t="str">
        <f>_xlfn.XLOOKUP(F270,customers!A:A,customers!G:G)</f>
        <v>United States</v>
      </c>
      <c r="M270" t="str">
        <f>_xlfn.XLOOKUP(G270,products!A:A,products!B:B)</f>
        <v>Ara</v>
      </c>
      <c r="N270" t="str">
        <f>_xlfn.XLOOKUP(G270,products!A:A,products!C:C)</f>
        <v>D</v>
      </c>
      <c r="O270">
        <f>_xlfn.XLOOKUP(G270,products!A:A,products!D:D)</f>
        <v>1</v>
      </c>
      <c r="P270">
        <f>_xlfn.XLOOKUP(G270,products!A:A,products!E:E)</f>
        <v>9.9499999999999993</v>
      </c>
      <c r="Q270">
        <f t="shared" si="19"/>
        <v>19.899999999999999</v>
      </c>
      <c r="R270" t="str" cm="1">
        <f t="array" ref="R270">_xlfn.IFS(Q270&lt;=50,"low sales",Q270&lt;=100,"medium sales",Q270&gt;100,"High sales")</f>
        <v>low sales</v>
      </c>
    </row>
    <row r="271" spans="1:18" x14ac:dyDescent="0.35">
      <c r="A271" s="2" t="s">
        <v>2009</v>
      </c>
      <c r="B271" s="3">
        <v>44333</v>
      </c>
      <c r="C271" s="3" t="str">
        <f t="shared" si="16"/>
        <v>Monday</v>
      </c>
      <c r="D271" s="3" t="str">
        <f t="shared" si="17"/>
        <v>May</v>
      </c>
      <c r="E271" s="3" t="str">
        <f t="shared" si="18"/>
        <v>2021</v>
      </c>
      <c r="F271" s="2" t="s">
        <v>2010</v>
      </c>
      <c r="G271" t="s">
        <v>6154</v>
      </c>
      <c r="H271" s="2">
        <v>2</v>
      </c>
      <c r="I271" s="2" t="str">
        <f>_xlfn.XLOOKUP(F271,customers!A:A,customers!B:B)</f>
        <v>Monica Fearon</v>
      </c>
      <c r="J271" s="2" t="str">
        <f>_xlfn.XLOOKUP(F271,customers!A:A,customers!C:C)</f>
        <v>mfearon7h@reverbnation.com</v>
      </c>
      <c r="K271" s="2" t="str">
        <f>_xlfn.XLOOKUP(F271,customers!A:A,customers!F:F)</f>
        <v>Denton</v>
      </c>
      <c r="L271" s="2" t="str">
        <f>_xlfn.XLOOKUP(F271,customers!A:A,customers!G:G)</f>
        <v>United States</v>
      </c>
      <c r="M271" t="str">
        <f>_xlfn.XLOOKUP(G271,products!A:A,products!B:B)</f>
        <v>Ara</v>
      </c>
      <c r="N271" t="str">
        <f>_xlfn.XLOOKUP(G271,products!A:A,products!C:C)</f>
        <v>D</v>
      </c>
      <c r="O271">
        <f>_xlfn.XLOOKUP(G271,products!A:A,products!D:D)</f>
        <v>0.2</v>
      </c>
      <c r="P271">
        <f>_xlfn.XLOOKUP(G271,products!A:A,products!E:E)</f>
        <v>2.9849999999999999</v>
      </c>
      <c r="Q271">
        <f t="shared" si="19"/>
        <v>5.97</v>
      </c>
      <c r="R271" t="str" cm="1">
        <f t="array" ref="R271">_xlfn.IFS(Q271&lt;=50,"low sales",Q271&lt;=100,"medium sales",Q271&gt;100,"High sales")</f>
        <v>low sales</v>
      </c>
    </row>
    <row r="272" spans="1:18" x14ac:dyDescent="0.35">
      <c r="A272" s="2" t="s">
        <v>2015</v>
      </c>
      <c r="B272" s="3">
        <v>43655</v>
      </c>
      <c r="C272" s="3" t="str">
        <f t="shared" si="16"/>
        <v>Tuesday</v>
      </c>
      <c r="D272" s="3" t="str">
        <f t="shared" si="17"/>
        <v>July</v>
      </c>
      <c r="E272" s="3" t="str">
        <f t="shared" si="18"/>
        <v>2019</v>
      </c>
      <c r="F272" s="2" t="s">
        <v>2016</v>
      </c>
      <c r="G272" t="s">
        <v>6144</v>
      </c>
      <c r="H272" s="2">
        <v>1</v>
      </c>
      <c r="I272" s="2" t="str">
        <f>_xlfn.XLOOKUP(F272,customers!A:A,customers!B:B)</f>
        <v>Barney Chisnell</v>
      </c>
      <c r="J272" s="2">
        <f>_xlfn.XLOOKUP(F272,customers!A:A,customers!C:C)</f>
        <v>0</v>
      </c>
      <c r="K272" s="2" t="str">
        <f>_xlfn.XLOOKUP(F272,customers!A:A,customers!F:F)</f>
        <v>Tullamore</v>
      </c>
      <c r="L272" s="2" t="str">
        <f>_xlfn.XLOOKUP(F272,customers!A:A,customers!G:G)</f>
        <v>Ireland</v>
      </c>
      <c r="M272" t="str">
        <f>_xlfn.XLOOKUP(G272,products!A:A,products!B:B)</f>
        <v>Exc</v>
      </c>
      <c r="N272" t="str">
        <f>_xlfn.XLOOKUP(G272,products!A:A,products!C:C)</f>
        <v>D</v>
      </c>
      <c r="O272">
        <f>_xlfn.XLOOKUP(G272,products!A:A,products!D:D)</f>
        <v>0.5</v>
      </c>
      <c r="P272">
        <f>_xlfn.XLOOKUP(G272,products!A:A,products!E:E)</f>
        <v>7.29</v>
      </c>
      <c r="Q272">
        <f t="shared" si="19"/>
        <v>7.29</v>
      </c>
      <c r="R272" t="str" cm="1">
        <f t="array" ref="R272">_xlfn.IFS(Q272&lt;=50,"low sales",Q272&lt;=100,"medium sales",Q272&gt;100,"High sales")</f>
        <v>low sales</v>
      </c>
    </row>
    <row r="273" spans="1:18" x14ac:dyDescent="0.35">
      <c r="A273" s="2" t="s">
        <v>2019</v>
      </c>
      <c r="B273" s="3">
        <v>43971</v>
      </c>
      <c r="C273" s="3" t="str">
        <f t="shared" si="16"/>
        <v>Wednesday</v>
      </c>
      <c r="D273" s="3" t="str">
        <f t="shared" si="17"/>
        <v>May</v>
      </c>
      <c r="E273" s="3" t="str">
        <f t="shared" si="18"/>
        <v>2020</v>
      </c>
      <c r="F273" s="2" t="s">
        <v>2020</v>
      </c>
      <c r="G273" t="s">
        <v>6154</v>
      </c>
      <c r="H273" s="2">
        <v>4</v>
      </c>
      <c r="I273" s="2" t="str">
        <f>_xlfn.XLOOKUP(F273,customers!A:A,customers!B:B)</f>
        <v>Jasper Sisneros</v>
      </c>
      <c r="J273" s="2" t="str">
        <f>_xlfn.XLOOKUP(F273,customers!A:A,customers!C:C)</f>
        <v>jsisneros7j@a8.net</v>
      </c>
      <c r="K273" s="2" t="str">
        <f>_xlfn.XLOOKUP(F273,customers!A:A,customers!F:F)</f>
        <v>Raleigh</v>
      </c>
      <c r="L273" s="2" t="str">
        <f>_xlfn.XLOOKUP(F273,customers!A:A,customers!G:G)</f>
        <v>United States</v>
      </c>
      <c r="M273" t="str">
        <f>_xlfn.XLOOKUP(G273,products!A:A,products!B:B)</f>
        <v>Ara</v>
      </c>
      <c r="N273" t="str">
        <f>_xlfn.XLOOKUP(G273,products!A:A,products!C:C)</f>
        <v>D</v>
      </c>
      <c r="O273">
        <f>_xlfn.XLOOKUP(G273,products!A:A,products!D:D)</f>
        <v>0.2</v>
      </c>
      <c r="P273">
        <f>_xlfn.XLOOKUP(G273,products!A:A,products!E:E)</f>
        <v>2.9849999999999999</v>
      </c>
      <c r="Q273">
        <f t="shared" si="19"/>
        <v>11.94</v>
      </c>
      <c r="R273" t="str" cm="1">
        <f t="array" ref="R273">_xlfn.IFS(Q273&lt;=50,"low sales",Q273&lt;=100,"medium sales",Q273&gt;100,"High sales")</f>
        <v>low sales</v>
      </c>
    </row>
    <row r="274" spans="1:18" x14ac:dyDescent="0.35">
      <c r="A274" s="2" t="s">
        <v>2025</v>
      </c>
      <c r="B274" s="3">
        <v>44435</v>
      </c>
      <c r="C274" s="3" t="str">
        <f t="shared" si="16"/>
        <v>Friday</v>
      </c>
      <c r="D274" s="3" t="str">
        <f t="shared" si="17"/>
        <v>August</v>
      </c>
      <c r="E274" s="3" t="str">
        <f t="shared" si="18"/>
        <v>2021</v>
      </c>
      <c r="F274" s="2" t="s">
        <v>2026</v>
      </c>
      <c r="G274" t="s">
        <v>6179</v>
      </c>
      <c r="H274" s="2">
        <v>6</v>
      </c>
      <c r="I274" s="2" t="str">
        <f>_xlfn.XLOOKUP(F274,customers!A:A,customers!B:B)</f>
        <v>Zachariah Carlson</v>
      </c>
      <c r="J274" s="2" t="str">
        <f>_xlfn.XLOOKUP(F274,customers!A:A,customers!C:C)</f>
        <v>zcarlson7k@bigcartel.com</v>
      </c>
      <c r="K274" s="2" t="str">
        <f>_xlfn.XLOOKUP(F274,customers!A:A,customers!F:F)</f>
        <v>Shankill</v>
      </c>
      <c r="L274" s="2" t="str">
        <f>_xlfn.XLOOKUP(F274,customers!A:A,customers!G:G)</f>
        <v>Ireland</v>
      </c>
      <c r="M274" t="str">
        <f>_xlfn.XLOOKUP(G274,products!A:A,products!B:B)</f>
        <v>Rob</v>
      </c>
      <c r="N274" t="str">
        <f>_xlfn.XLOOKUP(G274,products!A:A,products!C:C)</f>
        <v>L</v>
      </c>
      <c r="O274">
        <f>_xlfn.XLOOKUP(G274,products!A:A,products!D:D)</f>
        <v>1</v>
      </c>
      <c r="P274">
        <f>_xlfn.XLOOKUP(G274,products!A:A,products!E:E)</f>
        <v>11.95</v>
      </c>
      <c r="Q274">
        <f t="shared" si="19"/>
        <v>71.699999999999989</v>
      </c>
      <c r="R274" t="str" cm="1">
        <f t="array" ref="R274">_xlfn.IFS(Q274&lt;=50,"low sales",Q274&lt;=100,"medium sales",Q274&gt;100,"High sales")</f>
        <v>medium sales</v>
      </c>
    </row>
    <row r="275" spans="1:18" x14ac:dyDescent="0.35">
      <c r="A275" s="2" t="s">
        <v>2032</v>
      </c>
      <c r="B275" s="3">
        <v>44681</v>
      </c>
      <c r="C275" s="3" t="str">
        <f t="shared" si="16"/>
        <v>Saturday</v>
      </c>
      <c r="D275" s="3" t="str">
        <f t="shared" si="17"/>
        <v>April</v>
      </c>
      <c r="E275" s="3" t="str">
        <f t="shared" si="18"/>
        <v>2022</v>
      </c>
      <c r="F275" s="2" t="s">
        <v>2033</v>
      </c>
      <c r="G275" t="s">
        <v>6167</v>
      </c>
      <c r="H275" s="2">
        <v>2</v>
      </c>
      <c r="I275" s="2" t="str">
        <f>_xlfn.XLOOKUP(F275,customers!A:A,customers!B:B)</f>
        <v>Warner Maddox</v>
      </c>
      <c r="J275" s="2" t="str">
        <f>_xlfn.XLOOKUP(F275,customers!A:A,customers!C:C)</f>
        <v>wmaddox7l@timesonline.co.uk</v>
      </c>
      <c r="K275" s="2" t="str">
        <f>_xlfn.XLOOKUP(F275,customers!A:A,customers!F:F)</f>
        <v>New York City</v>
      </c>
      <c r="L275" s="2" t="str">
        <f>_xlfn.XLOOKUP(F275,customers!A:A,customers!G:G)</f>
        <v>United States</v>
      </c>
      <c r="M275" t="str">
        <f>_xlfn.XLOOKUP(G275,products!A:A,products!B:B)</f>
        <v>Ara</v>
      </c>
      <c r="N275" t="str">
        <f>_xlfn.XLOOKUP(G275,products!A:A,products!C:C)</f>
        <v>L</v>
      </c>
      <c r="O275">
        <f>_xlfn.XLOOKUP(G275,products!A:A,products!D:D)</f>
        <v>0.2</v>
      </c>
      <c r="P275">
        <f>_xlfn.XLOOKUP(G275,products!A:A,products!E:E)</f>
        <v>3.8849999999999998</v>
      </c>
      <c r="Q275">
        <f t="shared" si="19"/>
        <v>7.77</v>
      </c>
      <c r="R275" t="str" cm="1">
        <f t="array" ref="R275">_xlfn.IFS(Q275&lt;=50,"low sales",Q275&lt;=100,"medium sales",Q275&gt;100,"High sales")</f>
        <v>low sales</v>
      </c>
    </row>
    <row r="276" spans="1:18" x14ac:dyDescent="0.35">
      <c r="A276" s="2" t="s">
        <v>2038</v>
      </c>
      <c r="B276" s="3">
        <v>43985</v>
      </c>
      <c r="C276" s="3" t="str">
        <f t="shared" si="16"/>
        <v>Wednesday</v>
      </c>
      <c r="D276" s="3" t="str">
        <f t="shared" si="17"/>
        <v>June</v>
      </c>
      <c r="E276" s="3" t="str">
        <f t="shared" si="18"/>
        <v>2020</v>
      </c>
      <c r="F276" s="2" t="s">
        <v>2039</v>
      </c>
      <c r="G276" t="s">
        <v>6175</v>
      </c>
      <c r="H276" s="2">
        <v>1</v>
      </c>
      <c r="I276" s="2" t="str">
        <f>_xlfn.XLOOKUP(F276,customers!A:A,customers!B:B)</f>
        <v>Donnie Hedlestone</v>
      </c>
      <c r="J276" s="2" t="str">
        <f>_xlfn.XLOOKUP(F276,customers!A:A,customers!C:C)</f>
        <v>dhedlestone7m@craigslist.org</v>
      </c>
      <c r="K276" s="2" t="str">
        <f>_xlfn.XLOOKUP(F276,customers!A:A,customers!F:F)</f>
        <v>Stamford</v>
      </c>
      <c r="L276" s="2" t="str">
        <f>_xlfn.XLOOKUP(F276,customers!A:A,customers!G:G)</f>
        <v>United States</v>
      </c>
      <c r="M276" t="str">
        <f>_xlfn.XLOOKUP(G276,products!A:A,products!B:B)</f>
        <v>Ara</v>
      </c>
      <c r="N276" t="str">
        <f>_xlfn.XLOOKUP(G276,products!A:A,products!C:C)</f>
        <v>M</v>
      </c>
      <c r="O276">
        <f>_xlfn.XLOOKUP(G276,products!A:A,products!D:D)</f>
        <v>2.5</v>
      </c>
      <c r="P276">
        <f>_xlfn.XLOOKUP(G276,products!A:A,products!E:E)</f>
        <v>25.874999999999996</v>
      </c>
      <c r="Q276">
        <f t="shared" si="19"/>
        <v>25.874999999999996</v>
      </c>
      <c r="R276" t="str" cm="1">
        <f t="array" ref="R276">_xlfn.IFS(Q276&lt;=50,"low sales",Q276&lt;=100,"medium sales",Q276&gt;100,"High sales")</f>
        <v>low sales</v>
      </c>
    </row>
    <row r="277" spans="1:18" x14ac:dyDescent="0.35">
      <c r="A277" s="2" t="s">
        <v>2044</v>
      </c>
      <c r="B277" s="3">
        <v>44725</v>
      </c>
      <c r="C277" s="3" t="str">
        <f t="shared" si="16"/>
        <v>Monday</v>
      </c>
      <c r="D277" s="3" t="str">
        <f t="shared" si="17"/>
        <v>June</v>
      </c>
      <c r="E277" s="3" t="str">
        <f t="shared" si="18"/>
        <v>2022</v>
      </c>
      <c r="F277" s="2" t="s">
        <v>2045</v>
      </c>
      <c r="G277" t="s">
        <v>6148</v>
      </c>
      <c r="H277" s="2">
        <v>6</v>
      </c>
      <c r="I277" s="2" t="str">
        <f>_xlfn.XLOOKUP(F277,customers!A:A,customers!B:B)</f>
        <v>Teddi Crowthe</v>
      </c>
      <c r="J277" s="2" t="str">
        <f>_xlfn.XLOOKUP(F277,customers!A:A,customers!C:C)</f>
        <v>tcrowthe7n@europa.eu</v>
      </c>
      <c r="K277" s="2" t="str">
        <f>_xlfn.XLOOKUP(F277,customers!A:A,customers!F:F)</f>
        <v>Toledo</v>
      </c>
      <c r="L277" s="2" t="str">
        <f>_xlfn.XLOOKUP(F277,customers!A:A,customers!G:G)</f>
        <v>United States</v>
      </c>
      <c r="M277" t="str">
        <f>_xlfn.XLOOKUP(G277,products!A:A,products!B:B)</f>
        <v>Exc</v>
      </c>
      <c r="N277" t="str">
        <f>_xlfn.XLOOKUP(G277,products!A:A,products!C:C)</f>
        <v>L</v>
      </c>
      <c r="O277">
        <f>_xlfn.XLOOKUP(G277,products!A:A,products!D:D)</f>
        <v>2.5</v>
      </c>
      <c r="P277">
        <f>_xlfn.XLOOKUP(G277,products!A:A,products!E:E)</f>
        <v>34.154999999999994</v>
      </c>
      <c r="Q277">
        <f t="shared" si="19"/>
        <v>204.92999999999995</v>
      </c>
      <c r="R277" t="str" cm="1">
        <f t="array" ref="R277">_xlfn.IFS(Q277&lt;=50,"low sales",Q277&lt;=100,"medium sales",Q277&gt;100,"High sales")</f>
        <v>High sales</v>
      </c>
    </row>
    <row r="278" spans="1:18" x14ac:dyDescent="0.35">
      <c r="A278" s="2" t="s">
        <v>2050</v>
      </c>
      <c r="B278" s="3">
        <v>43992</v>
      </c>
      <c r="C278" s="3" t="str">
        <f t="shared" si="16"/>
        <v>Wednesday</v>
      </c>
      <c r="D278" s="3" t="str">
        <f t="shared" si="17"/>
        <v>June</v>
      </c>
      <c r="E278" s="3" t="str">
        <f t="shared" si="18"/>
        <v>2020</v>
      </c>
      <c r="F278" s="2" t="s">
        <v>2051</v>
      </c>
      <c r="G278" t="s">
        <v>6142</v>
      </c>
      <c r="H278" s="2">
        <v>4</v>
      </c>
      <c r="I278" s="2" t="str">
        <f>_xlfn.XLOOKUP(F278,customers!A:A,customers!B:B)</f>
        <v>Dorelia Bury</v>
      </c>
      <c r="J278" s="2" t="str">
        <f>_xlfn.XLOOKUP(F278,customers!A:A,customers!C:C)</f>
        <v>dbury7o@tinyurl.com</v>
      </c>
      <c r="K278" s="2" t="str">
        <f>_xlfn.XLOOKUP(F278,customers!A:A,customers!F:F)</f>
        <v>Castleblayney</v>
      </c>
      <c r="L278" s="2" t="str">
        <f>_xlfn.XLOOKUP(F278,customers!A:A,customers!G:G)</f>
        <v>Ireland</v>
      </c>
      <c r="M278" t="str">
        <f>_xlfn.XLOOKUP(G278,products!A:A,products!B:B)</f>
        <v>Rob</v>
      </c>
      <c r="N278" t="str">
        <f>_xlfn.XLOOKUP(G278,products!A:A,products!C:C)</f>
        <v>L</v>
      </c>
      <c r="O278">
        <f>_xlfn.XLOOKUP(G278,products!A:A,products!D:D)</f>
        <v>2.5</v>
      </c>
      <c r="P278">
        <f>_xlfn.XLOOKUP(G278,products!A:A,products!E:E)</f>
        <v>27.484999999999996</v>
      </c>
      <c r="Q278">
        <f t="shared" si="19"/>
        <v>109.93999999999998</v>
      </c>
      <c r="R278" t="str" cm="1">
        <f t="array" ref="R278">_xlfn.IFS(Q278&lt;=50,"low sales",Q278&lt;=100,"medium sales",Q278&gt;100,"High sales")</f>
        <v>High sales</v>
      </c>
    </row>
    <row r="279" spans="1:18" x14ac:dyDescent="0.35">
      <c r="A279" s="2" t="s">
        <v>2056</v>
      </c>
      <c r="B279" s="3">
        <v>44183</v>
      </c>
      <c r="C279" s="3" t="str">
        <f t="shared" si="16"/>
        <v>Friday</v>
      </c>
      <c r="D279" s="3" t="str">
        <f t="shared" si="17"/>
        <v>December</v>
      </c>
      <c r="E279" s="3" t="str">
        <f t="shared" si="18"/>
        <v>2020</v>
      </c>
      <c r="F279" s="2" t="s">
        <v>2057</v>
      </c>
      <c r="G279" t="s">
        <v>6171</v>
      </c>
      <c r="H279" s="2">
        <v>6</v>
      </c>
      <c r="I279" s="2" t="str">
        <f>_xlfn.XLOOKUP(F279,customers!A:A,customers!B:B)</f>
        <v>Gussy Broadbear</v>
      </c>
      <c r="J279" s="2" t="str">
        <f>_xlfn.XLOOKUP(F279,customers!A:A,customers!C:C)</f>
        <v>gbroadbear7p@omniture.com</v>
      </c>
      <c r="K279" s="2" t="str">
        <f>_xlfn.XLOOKUP(F279,customers!A:A,customers!F:F)</f>
        <v>Columbia</v>
      </c>
      <c r="L279" s="2" t="str">
        <f>_xlfn.XLOOKUP(F279,customers!A:A,customers!G:G)</f>
        <v>United States</v>
      </c>
      <c r="M279" t="str">
        <f>_xlfn.XLOOKUP(G279,products!A:A,products!B:B)</f>
        <v>Exc</v>
      </c>
      <c r="N279" t="str">
        <f>_xlfn.XLOOKUP(G279,products!A:A,products!C:C)</f>
        <v>L</v>
      </c>
      <c r="O279">
        <f>_xlfn.XLOOKUP(G279,products!A:A,products!D:D)</f>
        <v>1</v>
      </c>
      <c r="P279">
        <f>_xlfn.XLOOKUP(G279,products!A:A,products!E:E)</f>
        <v>14.85</v>
      </c>
      <c r="Q279">
        <f t="shared" si="19"/>
        <v>89.1</v>
      </c>
      <c r="R279" t="str" cm="1">
        <f t="array" ref="R279">_xlfn.IFS(Q279&lt;=50,"low sales",Q279&lt;=100,"medium sales",Q279&gt;100,"High sales")</f>
        <v>medium sales</v>
      </c>
    </row>
    <row r="280" spans="1:18" x14ac:dyDescent="0.35">
      <c r="A280" s="2" t="s">
        <v>2062</v>
      </c>
      <c r="B280" s="3">
        <v>43708</v>
      </c>
      <c r="C280" s="3" t="str">
        <f t="shared" si="16"/>
        <v>Saturday</v>
      </c>
      <c r="D280" s="3" t="str">
        <f t="shared" si="17"/>
        <v>August</v>
      </c>
      <c r="E280" s="3" t="str">
        <f t="shared" si="18"/>
        <v>2019</v>
      </c>
      <c r="F280" s="2" t="s">
        <v>2063</v>
      </c>
      <c r="G280" t="s">
        <v>6167</v>
      </c>
      <c r="H280" s="2">
        <v>2</v>
      </c>
      <c r="I280" s="2" t="str">
        <f>_xlfn.XLOOKUP(F280,customers!A:A,customers!B:B)</f>
        <v>Emlynne Palfrey</v>
      </c>
      <c r="J280" s="2" t="str">
        <f>_xlfn.XLOOKUP(F280,customers!A:A,customers!C:C)</f>
        <v>epalfrey7q@devhub.com</v>
      </c>
      <c r="K280" s="2" t="str">
        <f>_xlfn.XLOOKUP(F280,customers!A:A,customers!F:F)</f>
        <v>Fort Wayne</v>
      </c>
      <c r="L280" s="2" t="str">
        <f>_xlfn.XLOOKUP(F280,customers!A:A,customers!G:G)</f>
        <v>United States</v>
      </c>
      <c r="M280" t="str">
        <f>_xlfn.XLOOKUP(G280,products!A:A,products!B:B)</f>
        <v>Ara</v>
      </c>
      <c r="N280" t="str">
        <f>_xlfn.XLOOKUP(G280,products!A:A,products!C:C)</f>
        <v>L</v>
      </c>
      <c r="O280">
        <f>_xlfn.XLOOKUP(G280,products!A:A,products!D:D)</f>
        <v>0.2</v>
      </c>
      <c r="P280">
        <f>_xlfn.XLOOKUP(G280,products!A:A,products!E:E)</f>
        <v>3.8849999999999998</v>
      </c>
      <c r="Q280">
        <f t="shared" si="19"/>
        <v>7.77</v>
      </c>
      <c r="R280" t="str" cm="1">
        <f t="array" ref="R280">_xlfn.IFS(Q280&lt;=50,"low sales",Q280&lt;=100,"medium sales",Q280&gt;100,"High sales")</f>
        <v>low sales</v>
      </c>
    </row>
    <row r="281" spans="1:18" x14ac:dyDescent="0.35">
      <c r="A281" s="2" t="s">
        <v>2068</v>
      </c>
      <c r="B281" s="3">
        <v>43521</v>
      </c>
      <c r="C281" s="3" t="str">
        <f t="shared" si="16"/>
        <v>Monday</v>
      </c>
      <c r="D281" s="3" t="str">
        <f t="shared" si="17"/>
        <v>February</v>
      </c>
      <c r="E281" s="3" t="str">
        <f t="shared" si="18"/>
        <v>2019</v>
      </c>
      <c r="F281" s="2" t="s">
        <v>2069</v>
      </c>
      <c r="G281" t="s">
        <v>6181</v>
      </c>
      <c r="H281" s="2">
        <v>1</v>
      </c>
      <c r="I281" s="2" t="str">
        <f>_xlfn.XLOOKUP(F281,customers!A:A,customers!B:B)</f>
        <v>Parsifal Metrick</v>
      </c>
      <c r="J281" s="2" t="str">
        <f>_xlfn.XLOOKUP(F281,customers!A:A,customers!C:C)</f>
        <v>pmetrick7r@rakuten.co.jp</v>
      </c>
      <c r="K281" s="2" t="str">
        <f>_xlfn.XLOOKUP(F281,customers!A:A,customers!F:F)</f>
        <v>Saint Louis</v>
      </c>
      <c r="L281" s="2" t="str">
        <f>_xlfn.XLOOKUP(F281,customers!A:A,customers!G:G)</f>
        <v>United States</v>
      </c>
      <c r="M281" t="str">
        <f>_xlfn.XLOOKUP(G281,products!A:A,products!B:B)</f>
        <v>Lib</v>
      </c>
      <c r="N281" t="str">
        <f>_xlfn.XLOOKUP(G281,products!A:A,products!C:C)</f>
        <v>M</v>
      </c>
      <c r="O281">
        <f>_xlfn.XLOOKUP(G281,products!A:A,products!D:D)</f>
        <v>2.5</v>
      </c>
      <c r="P281">
        <f>_xlfn.XLOOKUP(G281,products!A:A,products!E:E)</f>
        <v>33.464999999999996</v>
      </c>
      <c r="Q281">
        <f t="shared" si="19"/>
        <v>33.464999999999996</v>
      </c>
      <c r="R281" t="str" cm="1">
        <f t="array" ref="R281">_xlfn.IFS(Q281&lt;=50,"low sales",Q281&lt;=100,"medium sales",Q281&gt;100,"High sales")</f>
        <v>low sales</v>
      </c>
    </row>
    <row r="282" spans="1:18" x14ac:dyDescent="0.35">
      <c r="A282" s="2" t="s">
        <v>2074</v>
      </c>
      <c r="B282" s="3">
        <v>44234</v>
      </c>
      <c r="C282" s="3" t="str">
        <f t="shared" si="16"/>
        <v>Sunday</v>
      </c>
      <c r="D282" s="3" t="str">
        <f t="shared" si="17"/>
        <v>February</v>
      </c>
      <c r="E282" s="3" t="str">
        <f t="shared" si="18"/>
        <v>2021</v>
      </c>
      <c r="F282" s="2" t="s">
        <v>2075</v>
      </c>
      <c r="G282" t="s">
        <v>6139</v>
      </c>
      <c r="H282" s="2">
        <v>5</v>
      </c>
      <c r="I282" s="2" t="str">
        <f>_xlfn.XLOOKUP(F282,customers!A:A,customers!B:B)</f>
        <v>Christopher Grieveson</v>
      </c>
      <c r="J282" s="2">
        <f>_xlfn.XLOOKUP(F282,customers!A:A,customers!C:C)</f>
        <v>0</v>
      </c>
      <c r="K282" s="2" t="str">
        <f>_xlfn.XLOOKUP(F282,customers!A:A,customers!F:F)</f>
        <v>Portland</v>
      </c>
      <c r="L282" s="2" t="str">
        <f>_xlfn.XLOOKUP(F282,customers!A:A,customers!G:G)</f>
        <v>United States</v>
      </c>
      <c r="M282" t="str">
        <f>_xlfn.XLOOKUP(G282,products!A:A,products!B:B)</f>
        <v>Exc</v>
      </c>
      <c r="N282" t="str">
        <f>_xlfn.XLOOKUP(G282,products!A:A,products!C:C)</f>
        <v>M</v>
      </c>
      <c r="O282">
        <f>_xlfn.XLOOKUP(G282,products!A:A,products!D:D)</f>
        <v>0.5</v>
      </c>
      <c r="P282">
        <f>_xlfn.XLOOKUP(G282,products!A:A,products!E:E)</f>
        <v>8.25</v>
      </c>
      <c r="Q282">
        <f t="shared" si="19"/>
        <v>41.25</v>
      </c>
      <c r="R282" t="str" cm="1">
        <f t="array" ref="R282">_xlfn.IFS(Q282&lt;=50,"low sales",Q282&lt;=100,"medium sales",Q282&gt;100,"High sales")</f>
        <v>low sales</v>
      </c>
    </row>
    <row r="283" spans="1:18" x14ac:dyDescent="0.35">
      <c r="A283" s="2" t="s">
        <v>2079</v>
      </c>
      <c r="B283" s="3">
        <v>44210</v>
      </c>
      <c r="C283" s="3" t="str">
        <f t="shared" si="16"/>
        <v>Thursday</v>
      </c>
      <c r="D283" s="3" t="str">
        <f t="shared" si="17"/>
        <v>January</v>
      </c>
      <c r="E283" s="3" t="str">
        <f t="shared" si="18"/>
        <v>2021</v>
      </c>
      <c r="F283" s="2" t="s">
        <v>2080</v>
      </c>
      <c r="G283" t="s">
        <v>6171</v>
      </c>
      <c r="H283" s="2">
        <v>4</v>
      </c>
      <c r="I283" s="2" t="str">
        <f>_xlfn.XLOOKUP(F283,customers!A:A,customers!B:B)</f>
        <v>Karlan Karby</v>
      </c>
      <c r="J283" s="2" t="str">
        <f>_xlfn.XLOOKUP(F283,customers!A:A,customers!C:C)</f>
        <v>kkarby7t@sbwire.com</v>
      </c>
      <c r="K283" s="2" t="str">
        <f>_xlfn.XLOOKUP(F283,customers!A:A,customers!F:F)</f>
        <v>Boulder</v>
      </c>
      <c r="L283" s="2" t="str">
        <f>_xlfn.XLOOKUP(F283,customers!A:A,customers!G:G)</f>
        <v>United States</v>
      </c>
      <c r="M283" t="str">
        <f>_xlfn.XLOOKUP(G283,products!A:A,products!B:B)</f>
        <v>Exc</v>
      </c>
      <c r="N283" t="str">
        <f>_xlfn.XLOOKUP(G283,products!A:A,products!C:C)</f>
        <v>L</v>
      </c>
      <c r="O283">
        <f>_xlfn.XLOOKUP(G283,products!A:A,products!D:D)</f>
        <v>1</v>
      </c>
      <c r="P283">
        <f>_xlfn.XLOOKUP(G283,products!A:A,products!E:E)</f>
        <v>14.85</v>
      </c>
      <c r="Q283">
        <f t="shared" si="19"/>
        <v>59.4</v>
      </c>
      <c r="R283" t="str" cm="1">
        <f t="array" ref="R283">_xlfn.IFS(Q283&lt;=50,"low sales",Q283&lt;=100,"medium sales",Q283&gt;100,"High sales")</f>
        <v>medium sales</v>
      </c>
    </row>
    <row r="284" spans="1:18" x14ac:dyDescent="0.35">
      <c r="A284" s="2" t="s">
        <v>2085</v>
      </c>
      <c r="B284" s="3">
        <v>43520</v>
      </c>
      <c r="C284" s="3" t="str">
        <f t="shared" si="16"/>
        <v>Sunday</v>
      </c>
      <c r="D284" s="3" t="str">
        <f t="shared" si="17"/>
        <v>February</v>
      </c>
      <c r="E284" s="3" t="str">
        <f t="shared" si="18"/>
        <v>2019</v>
      </c>
      <c r="F284" s="2" t="s">
        <v>2086</v>
      </c>
      <c r="G284" t="s">
        <v>6180</v>
      </c>
      <c r="H284" s="2">
        <v>1</v>
      </c>
      <c r="I284" s="2" t="str">
        <f>_xlfn.XLOOKUP(F284,customers!A:A,customers!B:B)</f>
        <v>Flory Crumpe</v>
      </c>
      <c r="J284" s="2" t="str">
        <f>_xlfn.XLOOKUP(F284,customers!A:A,customers!C:C)</f>
        <v>fcrumpe7u@ftc.gov</v>
      </c>
      <c r="K284" s="2" t="str">
        <f>_xlfn.XLOOKUP(F284,customers!A:A,customers!F:F)</f>
        <v>Norton</v>
      </c>
      <c r="L284" s="2" t="str">
        <f>_xlfn.XLOOKUP(F284,customers!A:A,customers!G:G)</f>
        <v>United Kingdom</v>
      </c>
      <c r="M284" t="str">
        <f>_xlfn.XLOOKUP(G284,products!A:A,products!B:B)</f>
        <v>Ara</v>
      </c>
      <c r="N284" t="str">
        <f>_xlfn.XLOOKUP(G284,products!A:A,products!C:C)</f>
        <v>L</v>
      </c>
      <c r="O284">
        <f>_xlfn.XLOOKUP(G284,products!A:A,products!D:D)</f>
        <v>0.5</v>
      </c>
      <c r="P284">
        <f>_xlfn.XLOOKUP(G284,products!A:A,products!E:E)</f>
        <v>7.77</v>
      </c>
      <c r="Q284">
        <f t="shared" si="19"/>
        <v>7.77</v>
      </c>
      <c r="R284" t="str" cm="1">
        <f t="array" ref="R284">_xlfn.IFS(Q284&lt;=50,"low sales",Q284&lt;=100,"medium sales",Q284&gt;100,"High sales")</f>
        <v>low sales</v>
      </c>
    </row>
    <row r="285" spans="1:18" x14ac:dyDescent="0.35">
      <c r="A285" s="2" t="s">
        <v>2091</v>
      </c>
      <c r="B285" s="3">
        <v>43639</v>
      </c>
      <c r="C285" s="3" t="str">
        <f t="shared" si="16"/>
        <v>Sunday</v>
      </c>
      <c r="D285" s="3" t="str">
        <f t="shared" si="17"/>
        <v>June</v>
      </c>
      <c r="E285" s="3" t="str">
        <f t="shared" si="18"/>
        <v>2019</v>
      </c>
      <c r="F285" s="2" t="s">
        <v>2092</v>
      </c>
      <c r="G285" t="s">
        <v>6172</v>
      </c>
      <c r="H285" s="2">
        <v>1</v>
      </c>
      <c r="I285" s="2" t="str">
        <f>_xlfn.XLOOKUP(F285,customers!A:A,customers!B:B)</f>
        <v>Amity Chatto</v>
      </c>
      <c r="J285" s="2" t="str">
        <f>_xlfn.XLOOKUP(F285,customers!A:A,customers!C:C)</f>
        <v>achatto7v@sakura.ne.jp</v>
      </c>
      <c r="K285" s="2" t="str">
        <f>_xlfn.XLOOKUP(F285,customers!A:A,customers!F:F)</f>
        <v>Sheffield</v>
      </c>
      <c r="L285" s="2" t="str">
        <f>_xlfn.XLOOKUP(F285,customers!A:A,customers!G:G)</f>
        <v>United Kingdom</v>
      </c>
      <c r="M285" t="str">
        <f>_xlfn.XLOOKUP(G285,products!A:A,products!B:B)</f>
        <v>Rob</v>
      </c>
      <c r="N285" t="str">
        <f>_xlfn.XLOOKUP(G285,products!A:A,products!C:C)</f>
        <v>D</v>
      </c>
      <c r="O285">
        <f>_xlfn.XLOOKUP(G285,products!A:A,products!D:D)</f>
        <v>0.5</v>
      </c>
      <c r="P285">
        <f>_xlfn.XLOOKUP(G285,products!A:A,products!E:E)</f>
        <v>5.3699999999999992</v>
      </c>
      <c r="Q285">
        <f t="shared" si="19"/>
        <v>5.3699999999999992</v>
      </c>
      <c r="R285" t="str" cm="1">
        <f t="array" ref="R285">_xlfn.IFS(Q285&lt;=50,"low sales",Q285&lt;=100,"medium sales",Q285&gt;100,"High sales")</f>
        <v>low sales</v>
      </c>
    </row>
    <row r="286" spans="1:18" x14ac:dyDescent="0.35">
      <c r="A286" s="2" t="s">
        <v>2097</v>
      </c>
      <c r="B286" s="3">
        <v>43960</v>
      </c>
      <c r="C286" s="3" t="str">
        <f t="shared" si="16"/>
        <v>Saturday</v>
      </c>
      <c r="D286" s="3" t="str">
        <f t="shared" si="17"/>
        <v>May</v>
      </c>
      <c r="E286" s="3" t="str">
        <f t="shared" si="18"/>
        <v>2020</v>
      </c>
      <c r="F286" s="2" t="s">
        <v>2098</v>
      </c>
      <c r="G286" t="s">
        <v>6166</v>
      </c>
      <c r="H286" s="2">
        <v>3</v>
      </c>
      <c r="I286" s="2" t="str">
        <f>_xlfn.XLOOKUP(F286,customers!A:A,customers!B:B)</f>
        <v>Nanine McCarthy</v>
      </c>
      <c r="J286" s="2">
        <f>_xlfn.XLOOKUP(F286,customers!A:A,customers!C:C)</f>
        <v>0</v>
      </c>
      <c r="K286" s="2" t="str">
        <f>_xlfn.XLOOKUP(F286,customers!A:A,customers!F:F)</f>
        <v>Louisville</v>
      </c>
      <c r="L286" s="2" t="str">
        <f>_xlfn.XLOOKUP(F286,customers!A:A,customers!G:G)</f>
        <v>United States</v>
      </c>
      <c r="M286" t="str">
        <f>_xlfn.XLOOKUP(G286,products!A:A,products!B:B)</f>
        <v>Exc</v>
      </c>
      <c r="N286" t="str">
        <f>_xlfn.XLOOKUP(G286,products!A:A,products!C:C)</f>
        <v>M</v>
      </c>
      <c r="O286">
        <f>_xlfn.XLOOKUP(G286,products!A:A,products!D:D)</f>
        <v>2.5</v>
      </c>
      <c r="P286">
        <f>_xlfn.XLOOKUP(G286,products!A:A,products!E:E)</f>
        <v>31.624999999999996</v>
      </c>
      <c r="Q286">
        <f t="shared" si="19"/>
        <v>94.874999999999986</v>
      </c>
      <c r="R286" t="str" cm="1">
        <f t="array" ref="R286">_xlfn.IFS(Q286&lt;=50,"low sales",Q286&lt;=100,"medium sales",Q286&gt;100,"High sales")</f>
        <v>medium sales</v>
      </c>
    </row>
    <row r="287" spans="1:18" x14ac:dyDescent="0.35">
      <c r="A287" s="2" t="s">
        <v>2102</v>
      </c>
      <c r="B287" s="3">
        <v>44030</v>
      </c>
      <c r="C287" s="3" t="str">
        <f t="shared" si="16"/>
        <v>Saturday</v>
      </c>
      <c r="D287" s="3" t="str">
        <f t="shared" si="17"/>
        <v>July</v>
      </c>
      <c r="E287" s="3" t="str">
        <f t="shared" si="18"/>
        <v>2020</v>
      </c>
      <c r="F287" s="2" t="s">
        <v>2103</v>
      </c>
      <c r="G287" t="s">
        <v>6164</v>
      </c>
      <c r="H287" s="2">
        <v>1</v>
      </c>
      <c r="I287" s="2" t="str">
        <f>_xlfn.XLOOKUP(F287,customers!A:A,customers!B:B)</f>
        <v>Lyndsey Megany</v>
      </c>
      <c r="J287" s="2">
        <f>_xlfn.XLOOKUP(F287,customers!A:A,customers!C:C)</f>
        <v>0</v>
      </c>
      <c r="K287" s="2" t="str">
        <f>_xlfn.XLOOKUP(F287,customers!A:A,customers!F:F)</f>
        <v>Buffalo</v>
      </c>
      <c r="L287" s="2" t="str">
        <f>_xlfn.XLOOKUP(F287,customers!A:A,customers!G:G)</f>
        <v>United States</v>
      </c>
      <c r="M287" t="str">
        <f>_xlfn.XLOOKUP(G287,products!A:A,products!B:B)</f>
        <v>Lib</v>
      </c>
      <c r="N287" t="str">
        <f>_xlfn.XLOOKUP(G287,products!A:A,products!C:C)</f>
        <v>L</v>
      </c>
      <c r="O287">
        <f>_xlfn.XLOOKUP(G287,products!A:A,products!D:D)</f>
        <v>2.5</v>
      </c>
      <c r="P287">
        <f>_xlfn.XLOOKUP(G287,products!A:A,products!E:E)</f>
        <v>36.454999999999998</v>
      </c>
      <c r="Q287">
        <f t="shared" si="19"/>
        <v>36.454999999999998</v>
      </c>
      <c r="R287" t="str" cm="1">
        <f t="array" ref="R287">_xlfn.IFS(Q287&lt;=50,"low sales",Q287&lt;=100,"medium sales",Q287&gt;100,"High sales")</f>
        <v>low sales</v>
      </c>
    </row>
    <row r="288" spans="1:18" x14ac:dyDescent="0.35">
      <c r="A288" s="2" t="s">
        <v>2107</v>
      </c>
      <c r="B288" s="3">
        <v>43755</v>
      </c>
      <c r="C288" s="3" t="str">
        <f t="shared" si="16"/>
        <v>Thursday</v>
      </c>
      <c r="D288" s="3" t="str">
        <f t="shared" si="17"/>
        <v>October</v>
      </c>
      <c r="E288" s="3" t="str">
        <f t="shared" si="18"/>
        <v>2019</v>
      </c>
      <c r="F288" s="2" t="s">
        <v>2108</v>
      </c>
      <c r="G288" t="s">
        <v>6152</v>
      </c>
      <c r="H288" s="2">
        <v>4</v>
      </c>
      <c r="I288" s="2" t="str">
        <f>_xlfn.XLOOKUP(F288,customers!A:A,customers!B:B)</f>
        <v>Byram Mergue</v>
      </c>
      <c r="J288" s="2" t="str">
        <f>_xlfn.XLOOKUP(F288,customers!A:A,customers!C:C)</f>
        <v>bmergue7y@umn.edu</v>
      </c>
      <c r="K288" s="2" t="str">
        <f>_xlfn.XLOOKUP(F288,customers!A:A,customers!F:F)</f>
        <v>Canton</v>
      </c>
      <c r="L288" s="2" t="str">
        <f>_xlfn.XLOOKUP(F288,customers!A:A,customers!G:G)</f>
        <v>United States</v>
      </c>
      <c r="M288" t="str">
        <f>_xlfn.XLOOKUP(G288,products!A:A,products!B:B)</f>
        <v>Ara</v>
      </c>
      <c r="N288" t="str">
        <f>_xlfn.XLOOKUP(G288,products!A:A,products!C:C)</f>
        <v>M</v>
      </c>
      <c r="O288">
        <f>_xlfn.XLOOKUP(G288,products!A:A,products!D:D)</f>
        <v>0.2</v>
      </c>
      <c r="P288">
        <f>_xlfn.XLOOKUP(G288,products!A:A,products!E:E)</f>
        <v>3.375</v>
      </c>
      <c r="Q288">
        <f t="shared" si="19"/>
        <v>13.5</v>
      </c>
      <c r="R288" t="str" cm="1">
        <f t="array" ref="R288">_xlfn.IFS(Q288&lt;=50,"low sales",Q288&lt;=100,"medium sales",Q288&gt;100,"High sales")</f>
        <v>low sales</v>
      </c>
    </row>
    <row r="289" spans="1:18" x14ac:dyDescent="0.35">
      <c r="A289" s="2" t="s">
        <v>2112</v>
      </c>
      <c r="B289" s="3">
        <v>44697</v>
      </c>
      <c r="C289" s="3" t="str">
        <f t="shared" si="16"/>
        <v>Monday</v>
      </c>
      <c r="D289" s="3" t="str">
        <f t="shared" si="17"/>
        <v>May</v>
      </c>
      <c r="E289" s="3" t="str">
        <f t="shared" si="18"/>
        <v>2022</v>
      </c>
      <c r="F289" s="2" t="s">
        <v>2113</v>
      </c>
      <c r="G289" t="s">
        <v>6178</v>
      </c>
      <c r="H289" s="2">
        <v>4</v>
      </c>
      <c r="I289" s="2" t="str">
        <f>_xlfn.XLOOKUP(F289,customers!A:A,customers!B:B)</f>
        <v>Kerr Patise</v>
      </c>
      <c r="J289" s="2" t="str">
        <f>_xlfn.XLOOKUP(F289,customers!A:A,customers!C:C)</f>
        <v>kpatise7z@jigsy.com</v>
      </c>
      <c r="K289" s="2" t="str">
        <f>_xlfn.XLOOKUP(F289,customers!A:A,customers!F:F)</f>
        <v>Boston</v>
      </c>
      <c r="L289" s="2" t="str">
        <f>_xlfn.XLOOKUP(F289,customers!A:A,customers!G:G)</f>
        <v>United States</v>
      </c>
      <c r="M289" t="str">
        <f>_xlfn.XLOOKUP(G289,products!A:A,products!B:B)</f>
        <v>Rob</v>
      </c>
      <c r="N289" t="str">
        <f>_xlfn.XLOOKUP(G289,products!A:A,products!C:C)</f>
        <v>L</v>
      </c>
      <c r="O289">
        <f>_xlfn.XLOOKUP(G289,products!A:A,products!D:D)</f>
        <v>0.2</v>
      </c>
      <c r="P289">
        <f>_xlfn.XLOOKUP(G289,products!A:A,products!E:E)</f>
        <v>3.5849999999999995</v>
      </c>
      <c r="Q289">
        <f t="shared" si="19"/>
        <v>14.339999999999998</v>
      </c>
      <c r="R289" t="str" cm="1">
        <f t="array" ref="R289">_xlfn.IFS(Q289&lt;=50,"low sales",Q289&lt;=100,"medium sales",Q289&gt;100,"High sales")</f>
        <v>low sales</v>
      </c>
    </row>
    <row r="290" spans="1:18" x14ac:dyDescent="0.35">
      <c r="A290" s="2" t="s">
        <v>2118</v>
      </c>
      <c r="B290" s="3">
        <v>44279</v>
      </c>
      <c r="C290" s="3" t="str">
        <f t="shared" si="16"/>
        <v>Wednesday</v>
      </c>
      <c r="D290" s="3" t="str">
        <f t="shared" si="17"/>
        <v>March</v>
      </c>
      <c r="E290" s="3" t="str">
        <f t="shared" si="18"/>
        <v>2021</v>
      </c>
      <c r="F290" s="2" t="s">
        <v>2119</v>
      </c>
      <c r="G290" t="s">
        <v>6139</v>
      </c>
      <c r="H290" s="2">
        <v>1</v>
      </c>
      <c r="I290" s="2" t="str">
        <f>_xlfn.XLOOKUP(F290,customers!A:A,customers!B:B)</f>
        <v>Mathew Goulter</v>
      </c>
      <c r="J290" s="2">
        <f>_xlfn.XLOOKUP(F290,customers!A:A,customers!C:C)</f>
        <v>0</v>
      </c>
      <c r="K290" s="2" t="str">
        <f>_xlfn.XLOOKUP(F290,customers!A:A,customers!F:F)</f>
        <v>Kinlough</v>
      </c>
      <c r="L290" s="2" t="str">
        <f>_xlfn.XLOOKUP(F290,customers!A:A,customers!G:G)</f>
        <v>Ireland</v>
      </c>
      <c r="M290" t="str">
        <f>_xlfn.XLOOKUP(G290,products!A:A,products!B:B)</f>
        <v>Exc</v>
      </c>
      <c r="N290" t="str">
        <f>_xlfn.XLOOKUP(G290,products!A:A,products!C:C)</f>
        <v>M</v>
      </c>
      <c r="O290">
        <f>_xlfn.XLOOKUP(G290,products!A:A,products!D:D)</f>
        <v>0.5</v>
      </c>
      <c r="P290">
        <f>_xlfn.XLOOKUP(G290,products!A:A,products!E:E)</f>
        <v>8.25</v>
      </c>
      <c r="Q290">
        <f t="shared" si="19"/>
        <v>8.25</v>
      </c>
      <c r="R290" t="str" cm="1">
        <f t="array" ref="R290">_xlfn.IFS(Q290&lt;=50,"low sales",Q290&lt;=100,"medium sales",Q290&gt;100,"High sales")</f>
        <v>low sales</v>
      </c>
    </row>
    <row r="291" spans="1:18" x14ac:dyDescent="0.35">
      <c r="A291" s="2" t="s">
        <v>2123</v>
      </c>
      <c r="B291" s="3">
        <v>43772</v>
      </c>
      <c r="C291" s="3" t="str">
        <f t="shared" si="16"/>
        <v>Sunday</v>
      </c>
      <c r="D291" s="3" t="str">
        <f t="shared" si="17"/>
        <v>November</v>
      </c>
      <c r="E291" s="3" t="str">
        <f t="shared" si="18"/>
        <v>2019</v>
      </c>
      <c r="F291" s="2" t="s">
        <v>2124</v>
      </c>
      <c r="G291" t="s">
        <v>6163</v>
      </c>
      <c r="H291" s="2">
        <v>5</v>
      </c>
      <c r="I291" s="2" t="str">
        <f>_xlfn.XLOOKUP(F291,customers!A:A,customers!B:B)</f>
        <v>Marris Grcic</v>
      </c>
      <c r="J291" s="2">
        <f>_xlfn.XLOOKUP(F291,customers!A:A,customers!C:C)</f>
        <v>0</v>
      </c>
      <c r="K291" s="2" t="str">
        <f>_xlfn.XLOOKUP(F291,customers!A:A,customers!F:F)</f>
        <v>Lynchburg</v>
      </c>
      <c r="L291" s="2" t="str">
        <f>_xlfn.XLOOKUP(F291,customers!A:A,customers!G:G)</f>
        <v>United States</v>
      </c>
      <c r="M291" t="str">
        <f>_xlfn.XLOOKUP(G291,products!A:A,products!B:B)</f>
        <v>Rob</v>
      </c>
      <c r="N291" t="str">
        <f>_xlfn.XLOOKUP(G291,products!A:A,products!C:C)</f>
        <v>D</v>
      </c>
      <c r="O291">
        <f>_xlfn.XLOOKUP(G291,products!A:A,products!D:D)</f>
        <v>0.2</v>
      </c>
      <c r="P291">
        <f>_xlfn.XLOOKUP(G291,products!A:A,products!E:E)</f>
        <v>2.6849999999999996</v>
      </c>
      <c r="Q291">
        <f t="shared" si="19"/>
        <v>13.424999999999997</v>
      </c>
      <c r="R291" t="str" cm="1">
        <f t="array" ref="R291">_xlfn.IFS(Q291&lt;=50,"low sales",Q291&lt;=100,"medium sales",Q291&gt;100,"High sales")</f>
        <v>low sales</v>
      </c>
    </row>
    <row r="292" spans="1:18" x14ac:dyDescent="0.35">
      <c r="A292" s="2" t="s">
        <v>2127</v>
      </c>
      <c r="B292" s="3">
        <v>44497</v>
      </c>
      <c r="C292" s="3" t="str">
        <f t="shared" si="16"/>
        <v>Thursday</v>
      </c>
      <c r="D292" s="3" t="str">
        <f t="shared" si="17"/>
        <v>October</v>
      </c>
      <c r="E292" s="3" t="str">
        <f t="shared" si="18"/>
        <v>2021</v>
      </c>
      <c r="F292" s="2" t="s">
        <v>2128</v>
      </c>
      <c r="G292" t="s">
        <v>6147</v>
      </c>
      <c r="H292" s="2">
        <v>5</v>
      </c>
      <c r="I292" s="2" t="str">
        <f>_xlfn.XLOOKUP(F292,customers!A:A,customers!B:B)</f>
        <v>Domeniga Duke</v>
      </c>
      <c r="J292" s="2" t="str">
        <f>_xlfn.XLOOKUP(F292,customers!A:A,customers!C:C)</f>
        <v>dduke82@vkontakte.ru</v>
      </c>
      <c r="K292" s="2" t="str">
        <f>_xlfn.XLOOKUP(F292,customers!A:A,customers!F:F)</f>
        <v>Los Angeles</v>
      </c>
      <c r="L292" s="2" t="str">
        <f>_xlfn.XLOOKUP(F292,customers!A:A,customers!G:G)</f>
        <v>United States</v>
      </c>
      <c r="M292" t="str">
        <f>_xlfn.XLOOKUP(G292,products!A:A,products!B:B)</f>
        <v>Ara</v>
      </c>
      <c r="N292" t="str">
        <f>_xlfn.XLOOKUP(G292,products!A:A,products!C:C)</f>
        <v>D</v>
      </c>
      <c r="O292">
        <f>_xlfn.XLOOKUP(G292,products!A:A,products!D:D)</f>
        <v>1</v>
      </c>
      <c r="P292">
        <f>_xlfn.XLOOKUP(G292,products!A:A,products!E:E)</f>
        <v>9.9499999999999993</v>
      </c>
      <c r="Q292">
        <f t="shared" si="19"/>
        <v>49.75</v>
      </c>
      <c r="R292" t="str" cm="1">
        <f t="array" ref="R292">_xlfn.IFS(Q292&lt;=50,"low sales",Q292&lt;=100,"medium sales",Q292&gt;100,"High sales")</f>
        <v>low sales</v>
      </c>
    </row>
    <row r="293" spans="1:18" x14ac:dyDescent="0.35">
      <c r="A293" s="2" t="s">
        <v>2133</v>
      </c>
      <c r="B293" s="3">
        <v>44181</v>
      </c>
      <c r="C293" s="3" t="str">
        <f t="shared" si="16"/>
        <v>Wednesday</v>
      </c>
      <c r="D293" s="3" t="str">
        <f t="shared" si="17"/>
        <v>December</v>
      </c>
      <c r="E293" s="3" t="str">
        <f t="shared" si="18"/>
        <v>2020</v>
      </c>
      <c r="F293" s="2" t="s">
        <v>2134</v>
      </c>
      <c r="G293" t="s">
        <v>6139</v>
      </c>
      <c r="H293" s="2">
        <v>2</v>
      </c>
      <c r="I293" s="2" t="str">
        <f>_xlfn.XLOOKUP(F293,customers!A:A,customers!B:B)</f>
        <v>Violante Skouling</v>
      </c>
      <c r="J293" s="2">
        <f>_xlfn.XLOOKUP(F293,customers!A:A,customers!C:C)</f>
        <v>0</v>
      </c>
      <c r="K293" s="2" t="str">
        <f>_xlfn.XLOOKUP(F293,customers!A:A,customers!F:F)</f>
        <v>Drumcondra</v>
      </c>
      <c r="L293" s="2" t="str">
        <f>_xlfn.XLOOKUP(F293,customers!A:A,customers!G:G)</f>
        <v>Ireland</v>
      </c>
      <c r="M293" t="str">
        <f>_xlfn.XLOOKUP(G293,products!A:A,products!B:B)</f>
        <v>Exc</v>
      </c>
      <c r="N293" t="str">
        <f>_xlfn.XLOOKUP(G293,products!A:A,products!C:C)</f>
        <v>M</v>
      </c>
      <c r="O293">
        <f>_xlfn.XLOOKUP(G293,products!A:A,products!D:D)</f>
        <v>0.5</v>
      </c>
      <c r="P293">
        <f>_xlfn.XLOOKUP(G293,products!A:A,products!E:E)</f>
        <v>8.25</v>
      </c>
      <c r="Q293">
        <f t="shared" si="19"/>
        <v>16.5</v>
      </c>
      <c r="R293" t="str" cm="1">
        <f t="array" ref="R293">_xlfn.IFS(Q293&lt;=50,"low sales",Q293&lt;=100,"medium sales",Q293&gt;100,"High sales")</f>
        <v>low sales</v>
      </c>
    </row>
    <row r="294" spans="1:18" x14ac:dyDescent="0.35">
      <c r="A294" s="2" t="s">
        <v>2137</v>
      </c>
      <c r="B294" s="3">
        <v>44529</v>
      </c>
      <c r="C294" s="3" t="str">
        <f t="shared" si="16"/>
        <v>Monday</v>
      </c>
      <c r="D294" s="3" t="str">
        <f t="shared" si="17"/>
        <v>November</v>
      </c>
      <c r="E294" s="3" t="str">
        <f t="shared" si="18"/>
        <v>2021</v>
      </c>
      <c r="F294" s="2" t="s">
        <v>2138</v>
      </c>
      <c r="G294" t="s">
        <v>6158</v>
      </c>
      <c r="H294" s="2">
        <v>3</v>
      </c>
      <c r="I294" s="2" t="str">
        <f>_xlfn.XLOOKUP(F294,customers!A:A,customers!B:B)</f>
        <v>Isidore Hussey</v>
      </c>
      <c r="J294" s="2" t="str">
        <f>_xlfn.XLOOKUP(F294,customers!A:A,customers!C:C)</f>
        <v>ihussey84@mapy.cz</v>
      </c>
      <c r="K294" s="2" t="str">
        <f>_xlfn.XLOOKUP(F294,customers!A:A,customers!F:F)</f>
        <v>Birmingham</v>
      </c>
      <c r="L294" s="2" t="str">
        <f>_xlfn.XLOOKUP(F294,customers!A:A,customers!G:G)</f>
        <v>United States</v>
      </c>
      <c r="M294" t="str">
        <f>_xlfn.XLOOKUP(G294,products!A:A,products!B:B)</f>
        <v>Ara</v>
      </c>
      <c r="N294" t="str">
        <f>_xlfn.XLOOKUP(G294,products!A:A,products!C:C)</f>
        <v>D</v>
      </c>
      <c r="O294">
        <f>_xlfn.XLOOKUP(G294,products!A:A,products!D:D)</f>
        <v>0.5</v>
      </c>
      <c r="P294">
        <f>_xlfn.XLOOKUP(G294,products!A:A,products!E:E)</f>
        <v>5.97</v>
      </c>
      <c r="Q294">
        <f t="shared" si="19"/>
        <v>17.91</v>
      </c>
      <c r="R294" t="str" cm="1">
        <f t="array" ref="R294">_xlfn.IFS(Q294&lt;=50,"low sales",Q294&lt;=100,"medium sales",Q294&gt;100,"High sales")</f>
        <v>low sales</v>
      </c>
    </row>
    <row r="295" spans="1:18" x14ac:dyDescent="0.35">
      <c r="A295" s="2" t="s">
        <v>2142</v>
      </c>
      <c r="B295" s="3">
        <v>44275</v>
      </c>
      <c r="C295" s="3" t="str">
        <f t="shared" si="16"/>
        <v>Saturday</v>
      </c>
      <c r="D295" s="3" t="str">
        <f t="shared" si="17"/>
        <v>March</v>
      </c>
      <c r="E295" s="3" t="str">
        <f t="shared" si="18"/>
        <v>2021</v>
      </c>
      <c r="F295" s="2" t="s">
        <v>2143</v>
      </c>
      <c r="G295" t="s">
        <v>6158</v>
      </c>
      <c r="H295" s="2">
        <v>5</v>
      </c>
      <c r="I295" s="2" t="str">
        <f>_xlfn.XLOOKUP(F295,customers!A:A,customers!B:B)</f>
        <v>Cassie Pinkerton</v>
      </c>
      <c r="J295" s="2" t="str">
        <f>_xlfn.XLOOKUP(F295,customers!A:A,customers!C:C)</f>
        <v>cpinkerton85@upenn.edu</v>
      </c>
      <c r="K295" s="2" t="str">
        <f>_xlfn.XLOOKUP(F295,customers!A:A,customers!F:F)</f>
        <v>Alexandria</v>
      </c>
      <c r="L295" s="2" t="str">
        <f>_xlfn.XLOOKUP(F295,customers!A:A,customers!G:G)</f>
        <v>United States</v>
      </c>
      <c r="M295" t="str">
        <f>_xlfn.XLOOKUP(G295,products!A:A,products!B:B)</f>
        <v>Ara</v>
      </c>
      <c r="N295" t="str">
        <f>_xlfn.XLOOKUP(G295,products!A:A,products!C:C)</f>
        <v>D</v>
      </c>
      <c r="O295">
        <f>_xlfn.XLOOKUP(G295,products!A:A,products!D:D)</f>
        <v>0.5</v>
      </c>
      <c r="P295">
        <f>_xlfn.XLOOKUP(G295,products!A:A,products!E:E)</f>
        <v>5.97</v>
      </c>
      <c r="Q295">
        <f t="shared" si="19"/>
        <v>29.849999999999998</v>
      </c>
      <c r="R295" t="str" cm="1">
        <f t="array" ref="R295">_xlfn.IFS(Q295&lt;=50,"low sales",Q295&lt;=100,"medium sales",Q295&gt;100,"High sales")</f>
        <v>low sales</v>
      </c>
    </row>
    <row r="296" spans="1:18" x14ac:dyDescent="0.35">
      <c r="A296" s="2" t="s">
        <v>2148</v>
      </c>
      <c r="B296" s="3">
        <v>44659</v>
      </c>
      <c r="C296" s="3" t="str">
        <f t="shared" si="16"/>
        <v>Friday</v>
      </c>
      <c r="D296" s="3" t="str">
        <f t="shared" si="17"/>
        <v>April</v>
      </c>
      <c r="E296" s="3" t="str">
        <f t="shared" si="18"/>
        <v>2022</v>
      </c>
      <c r="F296" s="2" t="s">
        <v>2149</v>
      </c>
      <c r="G296" t="s">
        <v>6171</v>
      </c>
      <c r="H296" s="2">
        <v>3</v>
      </c>
      <c r="I296" s="2" t="str">
        <f>_xlfn.XLOOKUP(F296,customers!A:A,customers!B:B)</f>
        <v>Micki Fero</v>
      </c>
      <c r="J296" s="2">
        <f>_xlfn.XLOOKUP(F296,customers!A:A,customers!C:C)</f>
        <v>0</v>
      </c>
      <c r="K296" s="2" t="str">
        <f>_xlfn.XLOOKUP(F296,customers!A:A,customers!F:F)</f>
        <v>Danbury</v>
      </c>
      <c r="L296" s="2" t="str">
        <f>_xlfn.XLOOKUP(F296,customers!A:A,customers!G:G)</f>
        <v>United States</v>
      </c>
      <c r="M296" t="str">
        <f>_xlfn.XLOOKUP(G296,products!A:A,products!B:B)</f>
        <v>Exc</v>
      </c>
      <c r="N296" t="str">
        <f>_xlfn.XLOOKUP(G296,products!A:A,products!C:C)</f>
        <v>L</v>
      </c>
      <c r="O296">
        <f>_xlfn.XLOOKUP(G296,products!A:A,products!D:D)</f>
        <v>1</v>
      </c>
      <c r="P296">
        <f>_xlfn.XLOOKUP(G296,products!A:A,products!E:E)</f>
        <v>14.85</v>
      </c>
      <c r="Q296">
        <f t="shared" si="19"/>
        <v>44.55</v>
      </c>
      <c r="R296" t="str" cm="1">
        <f t="array" ref="R296">_xlfn.IFS(Q296&lt;=50,"low sales",Q296&lt;=100,"medium sales",Q296&gt;100,"High sales")</f>
        <v>low sales</v>
      </c>
    </row>
    <row r="297" spans="1:18" x14ac:dyDescent="0.35">
      <c r="A297" s="2" t="s">
        <v>2153</v>
      </c>
      <c r="B297" s="3">
        <v>44057</v>
      </c>
      <c r="C297" s="3" t="str">
        <f t="shared" si="16"/>
        <v>Friday</v>
      </c>
      <c r="D297" s="3" t="str">
        <f t="shared" si="17"/>
        <v>August</v>
      </c>
      <c r="E297" s="3" t="str">
        <f t="shared" si="18"/>
        <v>2020</v>
      </c>
      <c r="F297" s="2" t="s">
        <v>2154</v>
      </c>
      <c r="G297" t="s">
        <v>6141</v>
      </c>
      <c r="H297" s="2">
        <v>2</v>
      </c>
      <c r="I297" s="2" t="str">
        <f>_xlfn.XLOOKUP(F297,customers!A:A,customers!B:B)</f>
        <v>Cybill Graddell</v>
      </c>
      <c r="J297" s="2">
        <f>_xlfn.XLOOKUP(F297,customers!A:A,customers!C:C)</f>
        <v>0</v>
      </c>
      <c r="K297" s="2" t="str">
        <f>_xlfn.XLOOKUP(F297,customers!A:A,customers!F:F)</f>
        <v>Albany</v>
      </c>
      <c r="L297" s="2" t="str">
        <f>_xlfn.XLOOKUP(F297,customers!A:A,customers!G:G)</f>
        <v>United States</v>
      </c>
      <c r="M297" t="str">
        <f>_xlfn.XLOOKUP(G297,products!A:A,products!B:B)</f>
        <v>Exc</v>
      </c>
      <c r="N297" t="str">
        <f>_xlfn.XLOOKUP(G297,products!A:A,products!C:C)</f>
        <v>M</v>
      </c>
      <c r="O297">
        <f>_xlfn.XLOOKUP(G297,products!A:A,products!D:D)</f>
        <v>1</v>
      </c>
      <c r="P297">
        <f>_xlfn.XLOOKUP(G297,products!A:A,products!E:E)</f>
        <v>13.75</v>
      </c>
      <c r="Q297">
        <f t="shared" si="19"/>
        <v>27.5</v>
      </c>
      <c r="R297" t="str" cm="1">
        <f t="array" ref="R297">_xlfn.IFS(Q297&lt;=50,"low sales",Q297&lt;=100,"medium sales",Q297&gt;100,"High sales")</f>
        <v>low sales</v>
      </c>
    </row>
    <row r="298" spans="1:18" x14ac:dyDescent="0.35">
      <c r="A298" s="2" t="s">
        <v>2157</v>
      </c>
      <c r="B298" s="3">
        <v>43597</v>
      </c>
      <c r="C298" s="3" t="str">
        <f t="shared" si="16"/>
        <v>Sunday</v>
      </c>
      <c r="D298" s="3" t="str">
        <f t="shared" si="17"/>
        <v>May</v>
      </c>
      <c r="E298" s="3" t="str">
        <f t="shared" si="18"/>
        <v>2019</v>
      </c>
      <c r="F298" s="2" t="s">
        <v>2158</v>
      </c>
      <c r="G298" t="s">
        <v>6146</v>
      </c>
      <c r="H298" s="2">
        <v>6</v>
      </c>
      <c r="I298" s="2" t="str">
        <f>_xlfn.XLOOKUP(F298,customers!A:A,customers!B:B)</f>
        <v>Dorian Vizor</v>
      </c>
      <c r="J298" s="2" t="str">
        <f>_xlfn.XLOOKUP(F298,customers!A:A,customers!C:C)</f>
        <v>dvizor88@furl.net</v>
      </c>
      <c r="K298" s="2" t="str">
        <f>_xlfn.XLOOKUP(F298,customers!A:A,customers!F:F)</f>
        <v>Naples</v>
      </c>
      <c r="L298" s="2" t="str">
        <f>_xlfn.XLOOKUP(F298,customers!A:A,customers!G:G)</f>
        <v>United States</v>
      </c>
      <c r="M298" t="str">
        <f>_xlfn.XLOOKUP(G298,products!A:A,products!B:B)</f>
        <v>Rob</v>
      </c>
      <c r="N298" t="str">
        <f>_xlfn.XLOOKUP(G298,products!A:A,products!C:C)</f>
        <v>M</v>
      </c>
      <c r="O298">
        <f>_xlfn.XLOOKUP(G298,products!A:A,products!D:D)</f>
        <v>0.5</v>
      </c>
      <c r="P298">
        <f>_xlfn.XLOOKUP(G298,products!A:A,products!E:E)</f>
        <v>5.97</v>
      </c>
      <c r="Q298">
        <f t="shared" si="19"/>
        <v>35.82</v>
      </c>
      <c r="R298" t="str" cm="1">
        <f t="array" ref="R298">_xlfn.IFS(Q298&lt;=50,"low sales",Q298&lt;=100,"medium sales",Q298&gt;100,"High sales")</f>
        <v>low sales</v>
      </c>
    </row>
    <row r="299" spans="1:18" x14ac:dyDescent="0.35">
      <c r="A299" s="2" t="s">
        <v>2163</v>
      </c>
      <c r="B299" s="3">
        <v>44258</v>
      </c>
      <c r="C299" s="3" t="str">
        <f t="shared" si="16"/>
        <v>Wednesday</v>
      </c>
      <c r="D299" s="3" t="str">
        <f t="shared" si="17"/>
        <v>March</v>
      </c>
      <c r="E299" s="3" t="str">
        <f t="shared" si="18"/>
        <v>2021</v>
      </c>
      <c r="F299" s="2" t="s">
        <v>2164</v>
      </c>
      <c r="G299" t="s">
        <v>6172</v>
      </c>
      <c r="H299" s="2">
        <v>3</v>
      </c>
      <c r="I299" s="2" t="str">
        <f>_xlfn.XLOOKUP(F299,customers!A:A,customers!B:B)</f>
        <v>Eddi Sedgebeer</v>
      </c>
      <c r="J299" s="2" t="str">
        <f>_xlfn.XLOOKUP(F299,customers!A:A,customers!C:C)</f>
        <v>esedgebeer89@oaic.gov.au</v>
      </c>
      <c r="K299" s="2" t="str">
        <f>_xlfn.XLOOKUP(F299,customers!A:A,customers!F:F)</f>
        <v>Miami Beach</v>
      </c>
      <c r="L299" s="2" t="str">
        <f>_xlfn.XLOOKUP(F299,customers!A:A,customers!G:G)</f>
        <v>United States</v>
      </c>
      <c r="M299" t="str">
        <f>_xlfn.XLOOKUP(G299,products!A:A,products!B:B)</f>
        <v>Rob</v>
      </c>
      <c r="N299" t="str">
        <f>_xlfn.XLOOKUP(G299,products!A:A,products!C:C)</f>
        <v>D</v>
      </c>
      <c r="O299">
        <f>_xlfn.XLOOKUP(G299,products!A:A,products!D:D)</f>
        <v>0.5</v>
      </c>
      <c r="P299">
        <f>_xlfn.XLOOKUP(G299,products!A:A,products!E:E)</f>
        <v>5.3699999999999992</v>
      </c>
      <c r="Q299">
        <f t="shared" si="19"/>
        <v>16.11</v>
      </c>
      <c r="R299" t="str" cm="1">
        <f t="array" ref="R299">_xlfn.IFS(Q299&lt;=50,"low sales",Q299&lt;=100,"medium sales",Q299&gt;100,"High sales")</f>
        <v>low sales</v>
      </c>
    </row>
    <row r="300" spans="1:18" x14ac:dyDescent="0.35">
      <c r="A300" s="2" t="s">
        <v>2169</v>
      </c>
      <c r="B300" s="3">
        <v>43872</v>
      </c>
      <c r="C300" s="3" t="str">
        <f t="shared" si="16"/>
        <v>Tuesday</v>
      </c>
      <c r="D300" s="3" t="str">
        <f t="shared" si="17"/>
        <v>February</v>
      </c>
      <c r="E300" s="3" t="str">
        <f t="shared" si="18"/>
        <v>2020</v>
      </c>
      <c r="F300" s="2" t="s">
        <v>2170</v>
      </c>
      <c r="G300" t="s">
        <v>6184</v>
      </c>
      <c r="H300" s="2">
        <v>6</v>
      </c>
      <c r="I300" s="2" t="str">
        <f>_xlfn.XLOOKUP(F300,customers!A:A,customers!B:B)</f>
        <v>Ken Lestrange</v>
      </c>
      <c r="J300" s="2" t="str">
        <f>_xlfn.XLOOKUP(F300,customers!A:A,customers!C:C)</f>
        <v>klestrange8a@lulu.com</v>
      </c>
      <c r="K300" s="2" t="str">
        <f>_xlfn.XLOOKUP(F300,customers!A:A,customers!F:F)</f>
        <v>Atlanta</v>
      </c>
      <c r="L300" s="2" t="str">
        <f>_xlfn.XLOOKUP(F300,customers!A:A,customers!G:G)</f>
        <v>United States</v>
      </c>
      <c r="M300" t="str">
        <f>_xlfn.XLOOKUP(G300,products!A:A,products!B:B)</f>
        <v>Exc</v>
      </c>
      <c r="N300" t="str">
        <f>_xlfn.XLOOKUP(G300,products!A:A,products!C:C)</f>
        <v>L</v>
      </c>
      <c r="O300">
        <f>_xlfn.XLOOKUP(G300,products!A:A,products!D:D)</f>
        <v>0.2</v>
      </c>
      <c r="P300">
        <f>_xlfn.XLOOKUP(G300,products!A:A,products!E:E)</f>
        <v>4.4550000000000001</v>
      </c>
      <c r="Q300">
        <f t="shared" si="19"/>
        <v>26.73</v>
      </c>
      <c r="R300" t="str" cm="1">
        <f t="array" ref="R300">_xlfn.IFS(Q300&lt;=50,"low sales",Q300&lt;=100,"medium sales",Q300&gt;100,"High sales")</f>
        <v>low sales</v>
      </c>
    </row>
    <row r="301" spans="1:18" x14ac:dyDescent="0.35">
      <c r="A301" s="2" t="s">
        <v>2175</v>
      </c>
      <c r="B301" s="3">
        <v>43582</v>
      </c>
      <c r="C301" s="3" t="str">
        <f t="shared" si="16"/>
        <v>Saturday</v>
      </c>
      <c r="D301" s="3" t="str">
        <f t="shared" si="17"/>
        <v>April</v>
      </c>
      <c r="E301" s="3" t="str">
        <f t="shared" si="18"/>
        <v>2019</v>
      </c>
      <c r="F301" s="2" t="s">
        <v>2176</v>
      </c>
      <c r="G301" t="s">
        <v>6148</v>
      </c>
      <c r="H301" s="2">
        <v>6</v>
      </c>
      <c r="I301" s="2" t="str">
        <f>_xlfn.XLOOKUP(F301,customers!A:A,customers!B:B)</f>
        <v>Lacee Tanti</v>
      </c>
      <c r="J301" s="2" t="str">
        <f>_xlfn.XLOOKUP(F301,customers!A:A,customers!C:C)</f>
        <v>ltanti8b@techcrunch.com</v>
      </c>
      <c r="K301" s="2" t="str">
        <f>_xlfn.XLOOKUP(F301,customers!A:A,customers!F:F)</f>
        <v>Corpus Christi</v>
      </c>
      <c r="L301" s="2" t="str">
        <f>_xlfn.XLOOKUP(F301,customers!A:A,customers!G:G)</f>
        <v>United States</v>
      </c>
      <c r="M301" t="str">
        <f>_xlfn.XLOOKUP(G301,products!A:A,products!B:B)</f>
        <v>Exc</v>
      </c>
      <c r="N301" t="str">
        <f>_xlfn.XLOOKUP(G301,products!A:A,products!C:C)</f>
        <v>L</v>
      </c>
      <c r="O301">
        <f>_xlfn.XLOOKUP(G301,products!A:A,products!D:D)</f>
        <v>2.5</v>
      </c>
      <c r="P301">
        <f>_xlfn.XLOOKUP(G301,products!A:A,products!E:E)</f>
        <v>34.154999999999994</v>
      </c>
      <c r="Q301">
        <f t="shared" si="19"/>
        <v>204.92999999999995</v>
      </c>
      <c r="R301" t="str" cm="1">
        <f t="array" ref="R301">_xlfn.IFS(Q301&lt;=50,"low sales",Q301&lt;=100,"medium sales",Q301&gt;100,"High sales")</f>
        <v>High sales</v>
      </c>
    </row>
    <row r="302" spans="1:18" x14ac:dyDescent="0.35">
      <c r="A302" s="2" t="s">
        <v>2181</v>
      </c>
      <c r="B302" s="3">
        <v>44646</v>
      </c>
      <c r="C302" s="3" t="str">
        <f t="shared" si="16"/>
        <v>Saturday</v>
      </c>
      <c r="D302" s="3" t="str">
        <f t="shared" si="17"/>
        <v>March</v>
      </c>
      <c r="E302" s="3" t="str">
        <f t="shared" si="18"/>
        <v>2022</v>
      </c>
      <c r="F302" s="2" t="s">
        <v>2182</v>
      </c>
      <c r="G302" t="s">
        <v>6140</v>
      </c>
      <c r="H302" s="2">
        <v>3</v>
      </c>
      <c r="I302" s="2" t="str">
        <f>_xlfn.XLOOKUP(F302,customers!A:A,customers!B:B)</f>
        <v>Arel De Lasci</v>
      </c>
      <c r="J302" s="2" t="str">
        <f>_xlfn.XLOOKUP(F302,customers!A:A,customers!C:C)</f>
        <v>ade8c@1und1.de</v>
      </c>
      <c r="K302" s="2" t="str">
        <f>_xlfn.XLOOKUP(F302,customers!A:A,customers!F:F)</f>
        <v>Honolulu</v>
      </c>
      <c r="L302" s="2" t="str">
        <f>_xlfn.XLOOKUP(F302,customers!A:A,customers!G:G)</f>
        <v>United States</v>
      </c>
      <c r="M302" t="str">
        <f>_xlfn.XLOOKUP(G302,products!A:A,products!B:B)</f>
        <v>Ara</v>
      </c>
      <c r="N302" t="str">
        <f>_xlfn.XLOOKUP(G302,products!A:A,products!C:C)</f>
        <v>L</v>
      </c>
      <c r="O302">
        <f>_xlfn.XLOOKUP(G302,products!A:A,products!D:D)</f>
        <v>1</v>
      </c>
      <c r="P302">
        <f>_xlfn.XLOOKUP(G302,products!A:A,products!E:E)</f>
        <v>12.95</v>
      </c>
      <c r="Q302">
        <f t="shared" si="19"/>
        <v>38.849999999999994</v>
      </c>
      <c r="R302" t="str" cm="1">
        <f t="array" ref="R302">_xlfn.IFS(Q302&lt;=50,"low sales",Q302&lt;=100,"medium sales",Q302&gt;100,"High sales")</f>
        <v>low sales</v>
      </c>
    </row>
    <row r="303" spans="1:18" x14ac:dyDescent="0.35">
      <c r="A303" s="2" t="s">
        <v>2187</v>
      </c>
      <c r="B303" s="3">
        <v>44102</v>
      </c>
      <c r="C303" s="3" t="str">
        <f t="shared" si="16"/>
        <v>Monday</v>
      </c>
      <c r="D303" s="3" t="str">
        <f t="shared" si="17"/>
        <v>September</v>
      </c>
      <c r="E303" s="3" t="str">
        <f t="shared" si="18"/>
        <v>2020</v>
      </c>
      <c r="F303" s="2" t="s">
        <v>2188</v>
      </c>
      <c r="G303" t="s">
        <v>6150</v>
      </c>
      <c r="H303" s="2">
        <v>4</v>
      </c>
      <c r="I303" s="2" t="str">
        <f>_xlfn.XLOOKUP(F303,customers!A:A,customers!B:B)</f>
        <v>Trescha Jedrachowicz</v>
      </c>
      <c r="J303" s="2" t="str">
        <f>_xlfn.XLOOKUP(F303,customers!A:A,customers!C:C)</f>
        <v>tjedrachowicz8d@acquirethisname.com</v>
      </c>
      <c r="K303" s="2" t="str">
        <f>_xlfn.XLOOKUP(F303,customers!A:A,customers!F:F)</f>
        <v>Austin</v>
      </c>
      <c r="L303" s="2" t="str">
        <f>_xlfn.XLOOKUP(F303,customers!A:A,customers!G:G)</f>
        <v>United States</v>
      </c>
      <c r="M303" t="str">
        <f>_xlfn.XLOOKUP(G303,products!A:A,products!B:B)</f>
        <v>Lib</v>
      </c>
      <c r="N303" t="str">
        <f>_xlfn.XLOOKUP(G303,products!A:A,products!C:C)</f>
        <v>D</v>
      </c>
      <c r="O303">
        <f>_xlfn.XLOOKUP(G303,products!A:A,products!D:D)</f>
        <v>0.2</v>
      </c>
      <c r="P303">
        <f>_xlfn.XLOOKUP(G303,products!A:A,products!E:E)</f>
        <v>3.8849999999999998</v>
      </c>
      <c r="Q303">
        <f t="shared" si="19"/>
        <v>15.54</v>
      </c>
      <c r="R303" t="str" cm="1">
        <f t="array" ref="R303">_xlfn.IFS(Q303&lt;=50,"low sales",Q303&lt;=100,"medium sales",Q303&gt;100,"High sales")</f>
        <v>low sales</v>
      </c>
    </row>
    <row r="304" spans="1:18" x14ac:dyDescent="0.35">
      <c r="A304" s="2" t="s">
        <v>2193</v>
      </c>
      <c r="B304" s="3">
        <v>43762</v>
      </c>
      <c r="C304" s="3" t="str">
        <f t="shared" si="16"/>
        <v>Thursday</v>
      </c>
      <c r="D304" s="3" t="str">
        <f t="shared" si="17"/>
        <v>October</v>
      </c>
      <c r="E304" s="3" t="str">
        <f t="shared" si="18"/>
        <v>2019</v>
      </c>
      <c r="F304" s="2" t="s">
        <v>2194</v>
      </c>
      <c r="G304" t="s">
        <v>6157</v>
      </c>
      <c r="H304" s="2">
        <v>1</v>
      </c>
      <c r="I304" s="2" t="str">
        <f>_xlfn.XLOOKUP(F304,customers!A:A,customers!B:B)</f>
        <v>Perkin Stonner</v>
      </c>
      <c r="J304" s="2" t="str">
        <f>_xlfn.XLOOKUP(F304,customers!A:A,customers!C:C)</f>
        <v>pstonner8e@moonfruit.com</v>
      </c>
      <c r="K304" s="2" t="str">
        <f>_xlfn.XLOOKUP(F304,customers!A:A,customers!F:F)</f>
        <v>Baltimore</v>
      </c>
      <c r="L304" s="2" t="str">
        <f>_xlfn.XLOOKUP(F304,customers!A:A,customers!G:G)</f>
        <v>United States</v>
      </c>
      <c r="M304" t="str">
        <f>_xlfn.XLOOKUP(G304,products!A:A,products!B:B)</f>
        <v>Ara</v>
      </c>
      <c r="N304" t="str">
        <f>_xlfn.XLOOKUP(G304,products!A:A,products!C:C)</f>
        <v>M</v>
      </c>
      <c r="O304">
        <f>_xlfn.XLOOKUP(G304,products!A:A,products!D:D)</f>
        <v>0.5</v>
      </c>
      <c r="P304">
        <f>_xlfn.XLOOKUP(G304,products!A:A,products!E:E)</f>
        <v>6.75</v>
      </c>
      <c r="Q304">
        <f t="shared" si="19"/>
        <v>6.75</v>
      </c>
      <c r="R304" t="str" cm="1">
        <f t="array" ref="R304">_xlfn.IFS(Q304&lt;=50,"low sales",Q304&lt;=100,"medium sales",Q304&gt;100,"High sales")</f>
        <v>low sales</v>
      </c>
    </row>
    <row r="305" spans="1:18" x14ac:dyDescent="0.35">
      <c r="A305" s="2" t="s">
        <v>2199</v>
      </c>
      <c r="B305" s="3">
        <v>44412</v>
      </c>
      <c r="C305" s="3" t="str">
        <f t="shared" si="16"/>
        <v>Wednesday</v>
      </c>
      <c r="D305" s="3" t="str">
        <f t="shared" si="17"/>
        <v>August</v>
      </c>
      <c r="E305" s="3" t="str">
        <f t="shared" si="18"/>
        <v>2021</v>
      </c>
      <c r="F305" s="2" t="s">
        <v>2200</v>
      </c>
      <c r="G305" t="s">
        <v>6185</v>
      </c>
      <c r="H305" s="2">
        <v>4</v>
      </c>
      <c r="I305" s="2" t="str">
        <f>_xlfn.XLOOKUP(F305,customers!A:A,customers!B:B)</f>
        <v>Darrin Tingly</v>
      </c>
      <c r="J305" s="2" t="str">
        <f>_xlfn.XLOOKUP(F305,customers!A:A,customers!C:C)</f>
        <v>dtingly8f@goo.ne.jp</v>
      </c>
      <c r="K305" s="2" t="str">
        <f>_xlfn.XLOOKUP(F305,customers!A:A,customers!F:F)</f>
        <v>Lexington</v>
      </c>
      <c r="L305" s="2" t="str">
        <f>_xlfn.XLOOKUP(F305,customers!A:A,customers!G:G)</f>
        <v>United States</v>
      </c>
      <c r="M305" t="str">
        <f>_xlfn.XLOOKUP(G305,products!A:A,products!B:B)</f>
        <v>Exc</v>
      </c>
      <c r="N305" t="str">
        <f>_xlfn.XLOOKUP(G305,products!A:A,products!C:C)</f>
        <v>D</v>
      </c>
      <c r="O305">
        <f>_xlfn.XLOOKUP(G305,products!A:A,products!D:D)</f>
        <v>2.5</v>
      </c>
      <c r="P305">
        <f>_xlfn.XLOOKUP(G305,products!A:A,products!E:E)</f>
        <v>27.945</v>
      </c>
      <c r="Q305">
        <f t="shared" si="19"/>
        <v>111.78</v>
      </c>
      <c r="R305" t="str" cm="1">
        <f t="array" ref="R305">_xlfn.IFS(Q305&lt;=50,"low sales",Q305&lt;=100,"medium sales",Q305&gt;100,"High sales")</f>
        <v>High sales</v>
      </c>
    </row>
    <row r="306" spans="1:18" x14ac:dyDescent="0.35">
      <c r="A306" s="2" t="s">
        <v>2204</v>
      </c>
      <c r="B306" s="3">
        <v>43828</v>
      </c>
      <c r="C306" s="3" t="str">
        <f t="shared" si="16"/>
        <v>Sunday</v>
      </c>
      <c r="D306" s="3" t="str">
        <f t="shared" si="17"/>
        <v>December</v>
      </c>
      <c r="E306" s="3" t="str">
        <f t="shared" si="18"/>
        <v>2019</v>
      </c>
      <c r="F306" s="2" t="s">
        <v>2245</v>
      </c>
      <c r="G306" t="s">
        <v>6167</v>
      </c>
      <c r="H306" s="2">
        <v>1</v>
      </c>
      <c r="I306" s="2" t="str">
        <f>_xlfn.XLOOKUP(F306,customers!A:A,customers!B:B)</f>
        <v>Claudetta Rushe</v>
      </c>
      <c r="J306" s="2" t="str">
        <f>_xlfn.XLOOKUP(F306,customers!A:A,customers!C:C)</f>
        <v>crushe8n@about.me</v>
      </c>
      <c r="K306" s="2" t="str">
        <f>_xlfn.XLOOKUP(F306,customers!A:A,customers!F:F)</f>
        <v>Charlotte</v>
      </c>
      <c r="L306" s="2" t="str">
        <f>_xlfn.XLOOKUP(F306,customers!A:A,customers!G:G)</f>
        <v>United States</v>
      </c>
      <c r="M306" t="str">
        <f>_xlfn.XLOOKUP(G306,products!A:A,products!B:B)</f>
        <v>Ara</v>
      </c>
      <c r="N306" t="str">
        <f>_xlfn.XLOOKUP(G306,products!A:A,products!C:C)</f>
        <v>L</v>
      </c>
      <c r="O306">
        <f>_xlfn.XLOOKUP(G306,products!A:A,products!D:D)</f>
        <v>0.2</v>
      </c>
      <c r="P306">
        <f>_xlfn.XLOOKUP(G306,products!A:A,products!E:E)</f>
        <v>3.8849999999999998</v>
      </c>
      <c r="Q306">
        <f t="shared" si="19"/>
        <v>3.8849999999999998</v>
      </c>
      <c r="R306" t="str" cm="1">
        <f t="array" ref="R306">_xlfn.IFS(Q306&lt;=50,"low sales",Q306&lt;=100,"medium sales",Q306&gt;100,"High sales")</f>
        <v>low sales</v>
      </c>
    </row>
    <row r="307" spans="1:18" x14ac:dyDescent="0.35">
      <c r="A307" s="2" t="s">
        <v>2209</v>
      </c>
      <c r="B307" s="3">
        <v>43796</v>
      </c>
      <c r="C307" s="3" t="str">
        <f t="shared" si="16"/>
        <v>Wednesday</v>
      </c>
      <c r="D307" s="3" t="str">
        <f t="shared" si="17"/>
        <v>November</v>
      </c>
      <c r="E307" s="3" t="str">
        <f t="shared" si="18"/>
        <v>2019</v>
      </c>
      <c r="F307" s="2" t="s">
        <v>2210</v>
      </c>
      <c r="G307" t="s">
        <v>6159</v>
      </c>
      <c r="H307" s="2">
        <v>5</v>
      </c>
      <c r="I307" s="2" t="str">
        <f>_xlfn.XLOOKUP(F307,customers!A:A,customers!B:B)</f>
        <v>Benn Checci</v>
      </c>
      <c r="J307" s="2" t="str">
        <f>_xlfn.XLOOKUP(F307,customers!A:A,customers!C:C)</f>
        <v>bchecci8h@usa.gov</v>
      </c>
      <c r="K307" s="2" t="str">
        <f>_xlfn.XLOOKUP(F307,customers!A:A,customers!F:F)</f>
        <v>Eaton</v>
      </c>
      <c r="L307" s="2" t="str">
        <f>_xlfn.XLOOKUP(F307,customers!A:A,customers!G:G)</f>
        <v>United Kingdom</v>
      </c>
      <c r="M307" t="str">
        <f>_xlfn.XLOOKUP(G307,products!A:A,products!B:B)</f>
        <v>Lib</v>
      </c>
      <c r="N307" t="str">
        <f>_xlfn.XLOOKUP(G307,products!A:A,products!C:C)</f>
        <v>M</v>
      </c>
      <c r="O307">
        <f>_xlfn.XLOOKUP(G307,products!A:A,products!D:D)</f>
        <v>0.2</v>
      </c>
      <c r="P307">
        <f>_xlfn.XLOOKUP(G307,products!A:A,products!E:E)</f>
        <v>4.3650000000000002</v>
      </c>
      <c r="Q307">
        <f t="shared" si="19"/>
        <v>21.825000000000003</v>
      </c>
      <c r="R307" t="str" cm="1">
        <f t="array" ref="R307">_xlfn.IFS(Q307&lt;=50,"low sales",Q307&lt;=100,"medium sales",Q307&gt;100,"High sales")</f>
        <v>low sales</v>
      </c>
    </row>
    <row r="308" spans="1:18" x14ac:dyDescent="0.35">
      <c r="A308" s="2" t="s">
        <v>2215</v>
      </c>
      <c r="B308" s="3">
        <v>43890</v>
      </c>
      <c r="C308" s="3" t="str">
        <f t="shared" si="16"/>
        <v>Saturday</v>
      </c>
      <c r="D308" s="3" t="str">
        <f t="shared" si="17"/>
        <v>February</v>
      </c>
      <c r="E308" s="3" t="str">
        <f t="shared" si="18"/>
        <v>2020</v>
      </c>
      <c r="F308" s="2" t="s">
        <v>2216</v>
      </c>
      <c r="G308" t="s">
        <v>6174</v>
      </c>
      <c r="H308" s="2">
        <v>5</v>
      </c>
      <c r="I308" s="2" t="str">
        <f>_xlfn.XLOOKUP(F308,customers!A:A,customers!B:B)</f>
        <v>Janifer Bagot</v>
      </c>
      <c r="J308" s="2" t="str">
        <f>_xlfn.XLOOKUP(F308,customers!A:A,customers!C:C)</f>
        <v>jbagot8i@mac.com</v>
      </c>
      <c r="K308" s="2" t="str">
        <f>_xlfn.XLOOKUP(F308,customers!A:A,customers!F:F)</f>
        <v>Lincoln</v>
      </c>
      <c r="L308" s="2" t="str">
        <f>_xlfn.XLOOKUP(F308,customers!A:A,customers!G:G)</f>
        <v>United States</v>
      </c>
      <c r="M308" t="str">
        <f>_xlfn.XLOOKUP(G308,products!A:A,products!B:B)</f>
        <v>Rob</v>
      </c>
      <c r="N308" t="str">
        <f>_xlfn.XLOOKUP(G308,products!A:A,products!C:C)</f>
        <v>M</v>
      </c>
      <c r="O308">
        <f>_xlfn.XLOOKUP(G308,products!A:A,products!D:D)</f>
        <v>0.2</v>
      </c>
      <c r="P308">
        <f>_xlfn.XLOOKUP(G308,products!A:A,products!E:E)</f>
        <v>2.9849999999999999</v>
      </c>
      <c r="Q308">
        <f t="shared" si="19"/>
        <v>14.924999999999999</v>
      </c>
      <c r="R308" t="str" cm="1">
        <f t="array" ref="R308">_xlfn.IFS(Q308&lt;=50,"low sales",Q308&lt;=100,"medium sales",Q308&gt;100,"High sales")</f>
        <v>low sales</v>
      </c>
    </row>
    <row r="309" spans="1:18" x14ac:dyDescent="0.35">
      <c r="A309" s="2" t="s">
        <v>2221</v>
      </c>
      <c r="B309" s="3">
        <v>44227</v>
      </c>
      <c r="C309" s="3" t="str">
        <f t="shared" si="16"/>
        <v>Sunday</v>
      </c>
      <c r="D309" s="3" t="str">
        <f t="shared" si="17"/>
        <v>January</v>
      </c>
      <c r="E309" s="3" t="str">
        <f t="shared" si="18"/>
        <v>2021</v>
      </c>
      <c r="F309" s="2" t="s">
        <v>2222</v>
      </c>
      <c r="G309" t="s">
        <v>6155</v>
      </c>
      <c r="H309" s="2">
        <v>3</v>
      </c>
      <c r="I309" s="2" t="str">
        <f>_xlfn.XLOOKUP(F309,customers!A:A,customers!B:B)</f>
        <v>Ermin Beeble</v>
      </c>
      <c r="J309" s="2" t="str">
        <f>_xlfn.XLOOKUP(F309,customers!A:A,customers!C:C)</f>
        <v>ebeeble8j@soundcloud.com</v>
      </c>
      <c r="K309" s="2" t="str">
        <f>_xlfn.XLOOKUP(F309,customers!A:A,customers!F:F)</f>
        <v>Cincinnati</v>
      </c>
      <c r="L309" s="2" t="str">
        <f>_xlfn.XLOOKUP(F309,customers!A:A,customers!G:G)</f>
        <v>United States</v>
      </c>
      <c r="M309" t="str">
        <f>_xlfn.XLOOKUP(G309,products!A:A,products!B:B)</f>
        <v>Ara</v>
      </c>
      <c r="N309" t="str">
        <f>_xlfn.XLOOKUP(G309,products!A:A,products!C:C)</f>
        <v>M</v>
      </c>
      <c r="O309">
        <f>_xlfn.XLOOKUP(G309,products!A:A,products!D:D)</f>
        <v>1</v>
      </c>
      <c r="P309">
        <f>_xlfn.XLOOKUP(G309,products!A:A,products!E:E)</f>
        <v>11.25</v>
      </c>
      <c r="Q309">
        <f t="shared" si="19"/>
        <v>33.75</v>
      </c>
      <c r="R309" t="str" cm="1">
        <f t="array" ref="R309">_xlfn.IFS(Q309&lt;=50,"low sales",Q309&lt;=100,"medium sales",Q309&gt;100,"High sales")</f>
        <v>low sales</v>
      </c>
    </row>
    <row r="310" spans="1:18" x14ac:dyDescent="0.35">
      <c r="A310" s="2" t="s">
        <v>2227</v>
      </c>
      <c r="B310" s="3">
        <v>44729</v>
      </c>
      <c r="C310" s="3" t="str">
        <f t="shared" si="16"/>
        <v>Friday</v>
      </c>
      <c r="D310" s="3" t="str">
        <f t="shared" si="17"/>
        <v>June</v>
      </c>
      <c r="E310" s="3" t="str">
        <f t="shared" si="18"/>
        <v>2022</v>
      </c>
      <c r="F310" s="2" t="s">
        <v>2228</v>
      </c>
      <c r="G310" t="s">
        <v>6155</v>
      </c>
      <c r="H310" s="2">
        <v>3</v>
      </c>
      <c r="I310" s="2" t="str">
        <f>_xlfn.XLOOKUP(F310,customers!A:A,customers!B:B)</f>
        <v>Cos Fluin</v>
      </c>
      <c r="J310" s="2" t="str">
        <f>_xlfn.XLOOKUP(F310,customers!A:A,customers!C:C)</f>
        <v>cfluin8k@flickr.com</v>
      </c>
      <c r="K310" s="2" t="str">
        <f>_xlfn.XLOOKUP(F310,customers!A:A,customers!F:F)</f>
        <v>Sheffield</v>
      </c>
      <c r="L310" s="2" t="str">
        <f>_xlfn.XLOOKUP(F310,customers!A:A,customers!G:G)</f>
        <v>United Kingdom</v>
      </c>
      <c r="M310" t="str">
        <f>_xlfn.XLOOKUP(G310,products!A:A,products!B:B)</f>
        <v>Ara</v>
      </c>
      <c r="N310" t="str">
        <f>_xlfn.XLOOKUP(G310,products!A:A,products!C:C)</f>
        <v>M</v>
      </c>
      <c r="O310">
        <f>_xlfn.XLOOKUP(G310,products!A:A,products!D:D)</f>
        <v>1</v>
      </c>
      <c r="P310">
        <f>_xlfn.XLOOKUP(G310,products!A:A,products!E:E)</f>
        <v>11.25</v>
      </c>
      <c r="Q310">
        <f t="shared" si="19"/>
        <v>33.75</v>
      </c>
      <c r="R310" t="str" cm="1">
        <f t="array" ref="R310">_xlfn.IFS(Q310&lt;=50,"low sales",Q310&lt;=100,"medium sales",Q310&gt;100,"High sales")</f>
        <v>low sales</v>
      </c>
    </row>
    <row r="311" spans="1:18" x14ac:dyDescent="0.35">
      <c r="A311" s="2" t="s">
        <v>2232</v>
      </c>
      <c r="B311" s="3">
        <v>43864</v>
      </c>
      <c r="C311" s="3" t="str">
        <f t="shared" si="16"/>
        <v>Monday</v>
      </c>
      <c r="D311" s="3" t="str">
        <f t="shared" si="17"/>
        <v>February</v>
      </c>
      <c r="E311" s="3" t="str">
        <f t="shared" si="18"/>
        <v>2020</v>
      </c>
      <c r="F311" s="2" t="s">
        <v>2233</v>
      </c>
      <c r="G311" t="s">
        <v>6159</v>
      </c>
      <c r="H311" s="2">
        <v>6</v>
      </c>
      <c r="I311" s="2" t="str">
        <f>_xlfn.XLOOKUP(F311,customers!A:A,customers!B:B)</f>
        <v>Eveleen Bletsor</v>
      </c>
      <c r="J311" s="2" t="str">
        <f>_xlfn.XLOOKUP(F311,customers!A:A,customers!C:C)</f>
        <v>ebletsor8l@vinaora.com</v>
      </c>
      <c r="K311" s="2" t="str">
        <f>_xlfn.XLOOKUP(F311,customers!A:A,customers!F:F)</f>
        <v>West Hartford</v>
      </c>
      <c r="L311" s="2" t="str">
        <f>_xlfn.XLOOKUP(F311,customers!A:A,customers!G:G)</f>
        <v>United States</v>
      </c>
      <c r="M311" t="str">
        <f>_xlfn.XLOOKUP(G311,products!A:A,products!B:B)</f>
        <v>Lib</v>
      </c>
      <c r="N311" t="str">
        <f>_xlfn.XLOOKUP(G311,products!A:A,products!C:C)</f>
        <v>M</v>
      </c>
      <c r="O311">
        <f>_xlfn.XLOOKUP(G311,products!A:A,products!D:D)</f>
        <v>0.2</v>
      </c>
      <c r="P311">
        <f>_xlfn.XLOOKUP(G311,products!A:A,products!E:E)</f>
        <v>4.3650000000000002</v>
      </c>
      <c r="Q311">
        <f t="shared" si="19"/>
        <v>26.19</v>
      </c>
      <c r="R311" t="str" cm="1">
        <f t="array" ref="R311">_xlfn.IFS(Q311&lt;=50,"low sales",Q311&lt;=100,"medium sales",Q311&gt;100,"High sales")</f>
        <v>low sales</v>
      </c>
    </row>
    <row r="312" spans="1:18" x14ac:dyDescent="0.35">
      <c r="A312" s="2" t="s">
        <v>2238</v>
      </c>
      <c r="B312" s="3">
        <v>44586</v>
      </c>
      <c r="C312" s="3" t="str">
        <f t="shared" si="16"/>
        <v>Tuesday</v>
      </c>
      <c r="D312" s="3" t="str">
        <f t="shared" si="17"/>
        <v>January</v>
      </c>
      <c r="E312" s="3" t="str">
        <f t="shared" si="18"/>
        <v>2022</v>
      </c>
      <c r="F312" s="2" t="s">
        <v>2239</v>
      </c>
      <c r="G312" t="s">
        <v>6171</v>
      </c>
      <c r="H312" s="2">
        <v>1</v>
      </c>
      <c r="I312" s="2" t="str">
        <f>_xlfn.XLOOKUP(F312,customers!A:A,customers!B:B)</f>
        <v>Paola Brydell</v>
      </c>
      <c r="J312" s="2" t="str">
        <f>_xlfn.XLOOKUP(F312,customers!A:A,customers!C:C)</f>
        <v>pbrydell8m@bloglovin.com</v>
      </c>
      <c r="K312" s="2" t="str">
        <f>_xlfn.XLOOKUP(F312,customers!A:A,customers!F:F)</f>
        <v>Listowel</v>
      </c>
      <c r="L312" s="2" t="str">
        <f>_xlfn.XLOOKUP(F312,customers!A:A,customers!G:G)</f>
        <v>Ireland</v>
      </c>
      <c r="M312" t="str">
        <f>_xlfn.XLOOKUP(G312,products!A:A,products!B:B)</f>
        <v>Exc</v>
      </c>
      <c r="N312" t="str">
        <f>_xlfn.XLOOKUP(G312,products!A:A,products!C:C)</f>
        <v>L</v>
      </c>
      <c r="O312">
        <f>_xlfn.XLOOKUP(G312,products!A:A,products!D:D)</f>
        <v>1</v>
      </c>
      <c r="P312">
        <f>_xlfn.XLOOKUP(G312,products!A:A,products!E:E)</f>
        <v>14.85</v>
      </c>
      <c r="Q312">
        <f t="shared" si="19"/>
        <v>14.85</v>
      </c>
      <c r="R312" t="str" cm="1">
        <f t="array" ref="R312">_xlfn.IFS(Q312&lt;=50,"low sales",Q312&lt;=100,"medium sales",Q312&gt;100,"High sales")</f>
        <v>low sales</v>
      </c>
    </row>
    <row r="313" spans="1:18" x14ac:dyDescent="0.35">
      <c r="A313" s="2" t="s">
        <v>2244</v>
      </c>
      <c r="B313" s="3">
        <v>43951</v>
      </c>
      <c r="C313" s="3" t="str">
        <f t="shared" si="16"/>
        <v>Thursday</v>
      </c>
      <c r="D313" s="3" t="str">
        <f t="shared" si="17"/>
        <v>April</v>
      </c>
      <c r="E313" s="3" t="str">
        <f t="shared" si="18"/>
        <v>2020</v>
      </c>
      <c r="F313" s="2" t="s">
        <v>2245</v>
      </c>
      <c r="G313" t="s">
        <v>6166</v>
      </c>
      <c r="H313" s="2">
        <v>6</v>
      </c>
      <c r="I313" s="2" t="str">
        <f>_xlfn.XLOOKUP(F313,customers!A:A,customers!B:B)</f>
        <v>Claudetta Rushe</v>
      </c>
      <c r="J313" s="2" t="str">
        <f>_xlfn.XLOOKUP(F313,customers!A:A,customers!C:C)</f>
        <v>crushe8n@about.me</v>
      </c>
      <c r="K313" s="2" t="str">
        <f>_xlfn.XLOOKUP(F313,customers!A:A,customers!F:F)</f>
        <v>Charlotte</v>
      </c>
      <c r="L313" s="2" t="str">
        <f>_xlfn.XLOOKUP(F313,customers!A:A,customers!G:G)</f>
        <v>United States</v>
      </c>
      <c r="M313" t="str">
        <f>_xlfn.XLOOKUP(G313,products!A:A,products!B:B)</f>
        <v>Exc</v>
      </c>
      <c r="N313" t="str">
        <f>_xlfn.XLOOKUP(G313,products!A:A,products!C:C)</f>
        <v>M</v>
      </c>
      <c r="O313">
        <f>_xlfn.XLOOKUP(G313,products!A:A,products!D:D)</f>
        <v>2.5</v>
      </c>
      <c r="P313">
        <f>_xlfn.XLOOKUP(G313,products!A:A,products!E:E)</f>
        <v>31.624999999999996</v>
      </c>
      <c r="Q313">
        <f t="shared" si="19"/>
        <v>189.74999999999997</v>
      </c>
      <c r="R313" t="str" cm="1">
        <f t="array" ref="R313">_xlfn.IFS(Q313&lt;=50,"low sales",Q313&lt;=100,"medium sales",Q313&gt;100,"High sales")</f>
        <v>High sales</v>
      </c>
    </row>
    <row r="314" spans="1:18" x14ac:dyDescent="0.35">
      <c r="A314" s="2" t="s">
        <v>2250</v>
      </c>
      <c r="B314" s="3">
        <v>44317</v>
      </c>
      <c r="C314" s="3" t="str">
        <f t="shared" si="16"/>
        <v>Saturday</v>
      </c>
      <c r="D314" s="3" t="str">
        <f t="shared" si="17"/>
        <v>May</v>
      </c>
      <c r="E314" s="3" t="str">
        <f t="shared" si="18"/>
        <v>2021</v>
      </c>
      <c r="F314" s="2" t="s">
        <v>2251</v>
      </c>
      <c r="G314" t="s">
        <v>6146</v>
      </c>
      <c r="H314" s="2">
        <v>1</v>
      </c>
      <c r="I314" s="2" t="str">
        <f>_xlfn.XLOOKUP(F314,customers!A:A,customers!B:B)</f>
        <v>Natka Leethem</v>
      </c>
      <c r="J314" s="2" t="str">
        <f>_xlfn.XLOOKUP(F314,customers!A:A,customers!C:C)</f>
        <v>nleethem8o@mac.com</v>
      </c>
      <c r="K314" s="2" t="str">
        <f>_xlfn.XLOOKUP(F314,customers!A:A,customers!F:F)</f>
        <v>Alexandria</v>
      </c>
      <c r="L314" s="2" t="str">
        <f>_xlfn.XLOOKUP(F314,customers!A:A,customers!G:G)</f>
        <v>United States</v>
      </c>
      <c r="M314" t="str">
        <f>_xlfn.XLOOKUP(G314,products!A:A,products!B:B)</f>
        <v>Rob</v>
      </c>
      <c r="N314" t="str">
        <f>_xlfn.XLOOKUP(G314,products!A:A,products!C:C)</f>
        <v>M</v>
      </c>
      <c r="O314">
        <f>_xlfn.XLOOKUP(G314,products!A:A,products!D:D)</f>
        <v>0.5</v>
      </c>
      <c r="P314">
        <f>_xlfn.XLOOKUP(G314,products!A:A,products!E:E)</f>
        <v>5.97</v>
      </c>
      <c r="Q314">
        <f t="shared" si="19"/>
        <v>5.97</v>
      </c>
      <c r="R314" t="str" cm="1">
        <f t="array" ref="R314">_xlfn.IFS(Q314&lt;=50,"low sales",Q314&lt;=100,"medium sales",Q314&gt;100,"High sales")</f>
        <v>low sales</v>
      </c>
    </row>
    <row r="315" spans="1:18" x14ac:dyDescent="0.35">
      <c r="A315" s="2" t="s">
        <v>2256</v>
      </c>
      <c r="B315" s="3">
        <v>44497</v>
      </c>
      <c r="C315" s="3" t="str">
        <f t="shared" si="16"/>
        <v>Thursday</v>
      </c>
      <c r="D315" s="3" t="str">
        <f t="shared" si="17"/>
        <v>October</v>
      </c>
      <c r="E315" s="3" t="str">
        <f t="shared" si="18"/>
        <v>2021</v>
      </c>
      <c r="F315" s="2" t="s">
        <v>2257</v>
      </c>
      <c r="G315" t="s">
        <v>6138</v>
      </c>
      <c r="H315" s="2">
        <v>3</v>
      </c>
      <c r="I315" s="2" t="str">
        <f>_xlfn.XLOOKUP(F315,customers!A:A,customers!B:B)</f>
        <v>Ailene Nesfield</v>
      </c>
      <c r="J315" s="2" t="str">
        <f>_xlfn.XLOOKUP(F315,customers!A:A,customers!C:C)</f>
        <v>anesfield8p@people.com.cn</v>
      </c>
      <c r="K315" s="2" t="str">
        <f>_xlfn.XLOOKUP(F315,customers!A:A,customers!F:F)</f>
        <v>Belfast</v>
      </c>
      <c r="L315" s="2" t="str">
        <f>_xlfn.XLOOKUP(F315,customers!A:A,customers!G:G)</f>
        <v>United Kingdom</v>
      </c>
      <c r="M315" t="str">
        <f>_xlfn.XLOOKUP(G315,products!A:A,products!B:B)</f>
        <v>Rob</v>
      </c>
      <c r="N315" t="str">
        <f>_xlfn.XLOOKUP(G315,products!A:A,products!C:C)</f>
        <v>M</v>
      </c>
      <c r="O315">
        <f>_xlfn.XLOOKUP(G315,products!A:A,products!D:D)</f>
        <v>1</v>
      </c>
      <c r="P315">
        <f>_xlfn.XLOOKUP(G315,products!A:A,products!E:E)</f>
        <v>9.9499999999999993</v>
      </c>
      <c r="Q315">
        <f t="shared" si="19"/>
        <v>29.849999999999998</v>
      </c>
      <c r="R315" t="str" cm="1">
        <f t="array" ref="R315">_xlfn.IFS(Q315&lt;=50,"low sales",Q315&lt;=100,"medium sales",Q315&gt;100,"High sales")</f>
        <v>low sales</v>
      </c>
    </row>
    <row r="316" spans="1:18" x14ac:dyDescent="0.35">
      <c r="A316" s="2" t="s">
        <v>2262</v>
      </c>
      <c r="B316" s="3">
        <v>44437</v>
      </c>
      <c r="C316" s="3" t="str">
        <f t="shared" si="16"/>
        <v>Sunday</v>
      </c>
      <c r="D316" s="3" t="str">
        <f t="shared" si="17"/>
        <v>August</v>
      </c>
      <c r="E316" s="3" t="str">
        <f t="shared" si="18"/>
        <v>2021</v>
      </c>
      <c r="F316" s="2" t="s">
        <v>2263</v>
      </c>
      <c r="G316" t="s">
        <v>6177</v>
      </c>
      <c r="H316" s="2">
        <v>5</v>
      </c>
      <c r="I316" s="2" t="str">
        <f>_xlfn.XLOOKUP(F316,customers!A:A,customers!B:B)</f>
        <v>Stacy Pickworth</v>
      </c>
      <c r="J316" s="2">
        <f>_xlfn.XLOOKUP(F316,customers!A:A,customers!C:C)</f>
        <v>0</v>
      </c>
      <c r="K316" s="2" t="str">
        <f>_xlfn.XLOOKUP(F316,customers!A:A,customers!F:F)</f>
        <v>Las Vegas</v>
      </c>
      <c r="L316" s="2" t="str">
        <f>_xlfn.XLOOKUP(F316,customers!A:A,customers!G:G)</f>
        <v>United States</v>
      </c>
      <c r="M316" t="str">
        <f>_xlfn.XLOOKUP(G316,products!A:A,products!B:B)</f>
        <v>Rob</v>
      </c>
      <c r="N316" t="str">
        <f>_xlfn.XLOOKUP(G316,products!A:A,products!C:C)</f>
        <v>D</v>
      </c>
      <c r="O316">
        <f>_xlfn.XLOOKUP(G316,products!A:A,products!D:D)</f>
        <v>1</v>
      </c>
      <c r="P316">
        <f>_xlfn.XLOOKUP(G316,products!A:A,products!E:E)</f>
        <v>8.9499999999999993</v>
      </c>
      <c r="Q316">
        <f t="shared" si="19"/>
        <v>44.75</v>
      </c>
      <c r="R316" t="str" cm="1">
        <f t="array" ref="R316">_xlfn.IFS(Q316&lt;=50,"low sales",Q316&lt;=100,"medium sales",Q316&gt;100,"High sales")</f>
        <v>low sales</v>
      </c>
    </row>
    <row r="317" spans="1:18" x14ac:dyDescent="0.35">
      <c r="A317" s="2" t="s">
        <v>2267</v>
      </c>
      <c r="B317" s="3">
        <v>43826</v>
      </c>
      <c r="C317" s="3" t="str">
        <f t="shared" si="16"/>
        <v>Friday</v>
      </c>
      <c r="D317" s="3" t="str">
        <f t="shared" si="17"/>
        <v>December</v>
      </c>
      <c r="E317" s="3" t="str">
        <f t="shared" si="18"/>
        <v>2019</v>
      </c>
      <c r="F317" s="2" t="s">
        <v>2268</v>
      </c>
      <c r="G317" t="s">
        <v>6148</v>
      </c>
      <c r="H317" s="2">
        <v>1</v>
      </c>
      <c r="I317" s="2" t="str">
        <f>_xlfn.XLOOKUP(F317,customers!A:A,customers!B:B)</f>
        <v>Melli Brockway</v>
      </c>
      <c r="J317" s="2" t="str">
        <f>_xlfn.XLOOKUP(F317,customers!A:A,customers!C:C)</f>
        <v>mbrockway8r@ibm.com</v>
      </c>
      <c r="K317" s="2" t="str">
        <f>_xlfn.XLOOKUP(F317,customers!A:A,customers!F:F)</f>
        <v>Des Moines</v>
      </c>
      <c r="L317" s="2" t="str">
        <f>_xlfn.XLOOKUP(F317,customers!A:A,customers!G:G)</f>
        <v>United States</v>
      </c>
      <c r="M317" t="str">
        <f>_xlfn.XLOOKUP(G317,products!A:A,products!B:B)</f>
        <v>Exc</v>
      </c>
      <c r="N317" t="str">
        <f>_xlfn.XLOOKUP(G317,products!A:A,products!C:C)</f>
        <v>L</v>
      </c>
      <c r="O317">
        <f>_xlfn.XLOOKUP(G317,products!A:A,products!D:D)</f>
        <v>2.5</v>
      </c>
      <c r="P317">
        <f>_xlfn.XLOOKUP(G317,products!A:A,products!E:E)</f>
        <v>34.154999999999994</v>
      </c>
      <c r="Q317">
        <f t="shared" si="19"/>
        <v>34.154999999999994</v>
      </c>
      <c r="R317" t="str" cm="1">
        <f t="array" ref="R317">_xlfn.IFS(Q317&lt;=50,"low sales",Q317&lt;=100,"medium sales",Q317&gt;100,"High sales")</f>
        <v>low sales</v>
      </c>
    </row>
    <row r="318" spans="1:18" x14ac:dyDescent="0.35">
      <c r="A318" s="2" t="s">
        <v>2273</v>
      </c>
      <c r="B318" s="3">
        <v>43641</v>
      </c>
      <c r="C318" s="3" t="str">
        <f t="shared" si="16"/>
        <v>Tuesday</v>
      </c>
      <c r="D318" s="3" t="str">
        <f t="shared" si="17"/>
        <v>June</v>
      </c>
      <c r="E318" s="3" t="str">
        <f t="shared" si="18"/>
        <v>2019</v>
      </c>
      <c r="F318" s="2" t="s">
        <v>2274</v>
      </c>
      <c r="G318" t="s">
        <v>6148</v>
      </c>
      <c r="H318" s="2">
        <v>6</v>
      </c>
      <c r="I318" s="2" t="str">
        <f>_xlfn.XLOOKUP(F318,customers!A:A,customers!B:B)</f>
        <v>Nanny Lush</v>
      </c>
      <c r="J318" s="2" t="str">
        <f>_xlfn.XLOOKUP(F318,customers!A:A,customers!C:C)</f>
        <v>nlush8s@dedecms.com</v>
      </c>
      <c r="K318" s="2" t="str">
        <f>_xlfn.XLOOKUP(F318,customers!A:A,customers!F:F)</f>
        <v>Ballivor</v>
      </c>
      <c r="L318" s="2" t="str">
        <f>_xlfn.XLOOKUP(F318,customers!A:A,customers!G:G)</f>
        <v>Ireland</v>
      </c>
      <c r="M318" t="str">
        <f>_xlfn.XLOOKUP(G318,products!A:A,products!B:B)</f>
        <v>Exc</v>
      </c>
      <c r="N318" t="str">
        <f>_xlfn.XLOOKUP(G318,products!A:A,products!C:C)</f>
        <v>L</v>
      </c>
      <c r="O318">
        <f>_xlfn.XLOOKUP(G318,products!A:A,products!D:D)</f>
        <v>2.5</v>
      </c>
      <c r="P318">
        <f>_xlfn.XLOOKUP(G318,products!A:A,products!E:E)</f>
        <v>34.154999999999994</v>
      </c>
      <c r="Q318">
        <f t="shared" si="19"/>
        <v>204.92999999999995</v>
      </c>
      <c r="R318" t="str" cm="1">
        <f t="array" ref="R318">_xlfn.IFS(Q318&lt;=50,"low sales",Q318&lt;=100,"medium sales",Q318&gt;100,"High sales")</f>
        <v>High sales</v>
      </c>
    </row>
    <row r="319" spans="1:18" x14ac:dyDescent="0.35">
      <c r="A319" s="2" t="s">
        <v>2279</v>
      </c>
      <c r="B319" s="3">
        <v>43526</v>
      </c>
      <c r="C319" s="3" t="str">
        <f t="shared" si="16"/>
        <v>Saturday</v>
      </c>
      <c r="D319" s="3" t="str">
        <f t="shared" si="17"/>
        <v>March</v>
      </c>
      <c r="E319" s="3" t="str">
        <f t="shared" si="18"/>
        <v>2019</v>
      </c>
      <c r="F319" s="2" t="s">
        <v>2280</v>
      </c>
      <c r="G319" t="s">
        <v>6144</v>
      </c>
      <c r="H319" s="2">
        <v>3</v>
      </c>
      <c r="I319" s="2" t="str">
        <f>_xlfn.XLOOKUP(F319,customers!A:A,customers!B:B)</f>
        <v>Selma McMillian</v>
      </c>
      <c r="J319" s="2" t="str">
        <f>_xlfn.XLOOKUP(F319,customers!A:A,customers!C:C)</f>
        <v>smcmillian8t@csmonitor.com</v>
      </c>
      <c r="K319" s="2" t="str">
        <f>_xlfn.XLOOKUP(F319,customers!A:A,customers!F:F)</f>
        <v>Akron</v>
      </c>
      <c r="L319" s="2" t="str">
        <f>_xlfn.XLOOKUP(F319,customers!A:A,customers!G:G)</f>
        <v>United States</v>
      </c>
      <c r="M319" t="str">
        <f>_xlfn.XLOOKUP(G319,products!A:A,products!B:B)</f>
        <v>Exc</v>
      </c>
      <c r="N319" t="str">
        <f>_xlfn.XLOOKUP(G319,products!A:A,products!C:C)</f>
        <v>D</v>
      </c>
      <c r="O319">
        <f>_xlfn.XLOOKUP(G319,products!A:A,products!D:D)</f>
        <v>0.5</v>
      </c>
      <c r="P319">
        <f>_xlfn.XLOOKUP(G319,products!A:A,products!E:E)</f>
        <v>7.29</v>
      </c>
      <c r="Q319">
        <f t="shared" si="19"/>
        <v>21.87</v>
      </c>
      <c r="R319" t="str" cm="1">
        <f t="array" ref="R319">_xlfn.IFS(Q319&lt;=50,"low sales",Q319&lt;=100,"medium sales",Q319&gt;100,"High sales")</f>
        <v>low sales</v>
      </c>
    </row>
    <row r="320" spans="1:18" x14ac:dyDescent="0.35">
      <c r="A320" s="2" t="s">
        <v>2285</v>
      </c>
      <c r="B320" s="3">
        <v>44563</v>
      </c>
      <c r="C320" s="3" t="str">
        <f t="shared" si="16"/>
        <v>Sunday</v>
      </c>
      <c r="D320" s="3" t="str">
        <f t="shared" si="17"/>
        <v>January</v>
      </c>
      <c r="E320" s="3" t="str">
        <f t="shared" si="18"/>
        <v>2022</v>
      </c>
      <c r="F320" s="2" t="s">
        <v>2286</v>
      </c>
      <c r="G320" t="s">
        <v>6175</v>
      </c>
      <c r="H320" s="2">
        <v>2</v>
      </c>
      <c r="I320" s="2" t="str">
        <f>_xlfn.XLOOKUP(F320,customers!A:A,customers!B:B)</f>
        <v>Tess Bennison</v>
      </c>
      <c r="J320" s="2" t="str">
        <f>_xlfn.XLOOKUP(F320,customers!A:A,customers!C:C)</f>
        <v>tbennison8u@google.cn</v>
      </c>
      <c r="K320" s="2" t="str">
        <f>_xlfn.XLOOKUP(F320,customers!A:A,customers!F:F)</f>
        <v>West Palm Beach</v>
      </c>
      <c r="L320" s="2" t="str">
        <f>_xlfn.XLOOKUP(F320,customers!A:A,customers!G:G)</f>
        <v>United States</v>
      </c>
      <c r="M320" t="str">
        <f>_xlfn.XLOOKUP(G320,products!A:A,products!B:B)</f>
        <v>Ara</v>
      </c>
      <c r="N320" t="str">
        <f>_xlfn.XLOOKUP(G320,products!A:A,products!C:C)</f>
        <v>M</v>
      </c>
      <c r="O320">
        <f>_xlfn.XLOOKUP(G320,products!A:A,products!D:D)</f>
        <v>2.5</v>
      </c>
      <c r="P320">
        <f>_xlfn.XLOOKUP(G320,products!A:A,products!E:E)</f>
        <v>25.874999999999996</v>
      </c>
      <c r="Q320">
        <f t="shared" si="19"/>
        <v>51.749999999999993</v>
      </c>
      <c r="R320" t="str" cm="1">
        <f t="array" ref="R320">_xlfn.IFS(Q320&lt;=50,"low sales",Q320&lt;=100,"medium sales",Q320&gt;100,"High sales")</f>
        <v>medium sales</v>
      </c>
    </row>
    <row r="321" spans="1:18" x14ac:dyDescent="0.35">
      <c r="A321" s="2" t="s">
        <v>2291</v>
      </c>
      <c r="B321" s="3">
        <v>43676</v>
      </c>
      <c r="C321" s="3" t="str">
        <f t="shared" si="16"/>
        <v>Tuesday</v>
      </c>
      <c r="D321" s="3" t="str">
        <f t="shared" si="17"/>
        <v>July</v>
      </c>
      <c r="E321" s="3" t="str">
        <f t="shared" si="18"/>
        <v>2019</v>
      </c>
      <c r="F321" s="2" t="s">
        <v>2292</v>
      </c>
      <c r="G321" t="s">
        <v>6156</v>
      </c>
      <c r="H321" s="2">
        <v>2</v>
      </c>
      <c r="I321" s="2" t="str">
        <f>_xlfn.XLOOKUP(F321,customers!A:A,customers!B:B)</f>
        <v>Gabie Tweed</v>
      </c>
      <c r="J321" s="2" t="str">
        <f>_xlfn.XLOOKUP(F321,customers!A:A,customers!C:C)</f>
        <v>gtweed8v@yolasite.com</v>
      </c>
      <c r="K321" s="2" t="str">
        <f>_xlfn.XLOOKUP(F321,customers!A:A,customers!F:F)</f>
        <v>Fresno</v>
      </c>
      <c r="L321" s="2" t="str">
        <f>_xlfn.XLOOKUP(F321,customers!A:A,customers!G:G)</f>
        <v>United States</v>
      </c>
      <c r="M321" t="str">
        <f>_xlfn.XLOOKUP(G321,products!A:A,products!B:B)</f>
        <v>Exc</v>
      </c>
      <c r="N321" t="str">
        <f>_xlfn.XLOOKUP(G321,products!A:A,products!C:C)</f>
        <v>M</v>
      </c>
      <c r="O321">
        <f>_xlfn.XLOOKUP(G321,products!A:A,products!D:D)</f>
        <v>0.2</v>
      </c>
      <c r="P321">
        <f>_xlfn.XLOOKUP(G321,products!A:A,products!E:E)</f>
        <v>4.125</v>
      </c>
      <c r="Q321">
        <f t="shared" si="19"/>
        <v>8.25</v>
      </c>
      <c r="R321" t="str" cm="1">
        <f t="array" ref="R321">_xlfn.IFS(Q321&lt;=50,"low sales",Q321&lt;=100,"medium sales",Q321&gt;100,"High sales")</f>
        <v>low sales</v>
      </c>
    </row>
    <row r="322" spans="1:18" x14ac:dyDescent="0.35">
      <c r="A322" s="2" t="s">
        <v>2291</v>
      </c>
      <c r="B322" s="3">
        <v>43676</v>
      </c>
      <c r="C322" s="3" t="str">
        <f t="shared" si="16"/>
        <v>Tuesday</v>
      </c>
      <c r="D322" s="3" t="str">
        <f t="shared" si="17"/>
        <v>July</v>
      </c>
      <c r="E322" s="3" t="str">
        <f t="shared" si="18"/>
        <v>2019</v>
      </c>
      <c r="F322" s="2" t="s">
        <v>2292</v>
      </c>
      <c r="G322" t="s">
        <v>6167</v>
      </c>
      <c r="H322" s="2">
        <v>5</v>
      </c>
      <c r="I322" s="2" t="str">
        <f>_xlfn.XLOOKUP(F322,customers!A:A,customers!B:B)</f>
        <v>Gabie Tweed</v>
      </c>
      <c r="J322" s="2" t="str">
        <f>_xlfn.XLOOKUP(F322,customers!A:A,customers!C:C)</f>
        <v>gtweed8v@yolasite.com</v>
      </c>
      <c r="K322" s="2" t="str">
        <f>_xlfn.XLOOKUP(F322,customers!A:A,customers!F:F)</f>
        <v>Fresno</v>
      </c>
      <c r="L322" s="2" t="str">
        <f>_xlfn.XLOOKUP(F322,customers!A:A,customers!G:G)</f>
        <v>United States</v>
      </c>
      <c r="M322" t="str">
        <f>_xlfn.XLOOKUP(G322,products!A:A,products!B:B)</f>
        <v>Ara</v>
      </c>
      <c r="N322" t="str">
        <f>_xlfn.XLOOKUP(G322,products!A:A,products!C:C)</f>
        <v>L</v>
      </c>
      <c r="O322">
        <f>_xlfn.XLOOKUP(G322,products!A:A,products!D:D)</f>
        <v>0.2</v>
      </c>
      <c r="P322">
        <f>_xlfn.XLOOKUP(G322,products!A:A,products!E:E)</f>
        <v>3.8849999999999998</v>
      </c>
      <c r="Q322">
        <f t="shared" si="19"/>
        <v>19.424999999999997</v>
      </c>
      <c r="R322" t="str" cm="1">
        <f t="array" ref="R322">_xlfn.IFS(Q322&lt;=50,"low sales",Q322&lt;=100,"medium sales",Q322&gt;100,"High sales")</f>
        <v>low sales</v>
      </c>
    </row>
    <row r="323" spans="1:18" x14ac:dyDescent="0.35">
      <c r="A323" s="2" t="s">
        <v>2301</v>
      </c>
      <c r="B323" s="3">
        <v>44170</v>
      </c>
      <c r="C323" s="3" t="str">
        <f t="shared" ref="C323:C386" si="20">TEXT(B323,"DDDD")</f>
        <v>Saturday</v>
      </c>
      <c r="D323" s="3" t="str">
        <f t="shared" ref="D323:D386" si="21">TEXT(B323,"MMMM")</f>
        <v>December</v>
      </c>
      <c r="E323" s="3" t="str">
        <f t="shared" ref="E323:E386" si="22">TEXT(B323,"YYYY")</f>
        <v>2020</v>
      </c>
      <c r="F323" s="2" t="s">
        <v>2302</v>
      </c>
      <c r="G323" t="s">
        <v>6152</v>
      </c>
      <c r="H323" s="2">
        <v>6</v>
      </c>
      <c r="I323" s="2" t="str">
        <f>_xlfn.XLOOKUP(F323,customers!A:A,customers!B:B)</f>
        <v>Gaile Goggin</v>
      </c>
      <c r="J323" s="2" t="str">
        <f>_xlfn.XLOOKUP(F323,customers!A:A,customers!C:C)</f>
        <v>ggoggin8x@wix.com</v>
      </c>
      <c r="K323" s="2" t="str">
        <f>_xlfn.XLOOKUP(F323,customers!A:A,customers!F:F)</f>
        <v>Sandyford</v>
      </c>
      <c r="L323" s="2" t="str">
        <f>_xlfn.XLOOKUP(F323,customers!A:A,customers!G:G)</f>
        <v>Ireland</v>
      </c>
      <c r="M323" t="str">
        <f>_xlfn.XLOOKUP(G323,products!A:A,products!B:B)</f>
        <v>Ara</v>
      </c>
      <c r="N323" t="str">
        <f>_xlfn.XLOOKUP(G323,products!A:A,products!C:C)</f>
        <v>M</v>
      </c>
      <c r="O323">
        <f>_xlfn.XLOOKUP(G323,products!A:A,products!D:D)</f>
        <v>0.2</v>
      </c>
      <c r="P323">
        <f>_xlfn.XLOOKUP(G323,products!A:A,products!E:E)</f>
        <v>3.375</v>
      </c>
      <c r="Q323">
        <f t="shared" ref="Q323:Q386" si="23">P323*H323</f>
        <v>20.25</v>
      </c>
      <c r="R323" t="str" cm="1">
        <f t="array" ref="R323">_xlfn.IFS(Q323&lt;=50,"low sales",Q323&lt;=100,"medium sales",Q323&gt;100,"High sales")</f>
        <v>low sales</v>
      </c>
    </row>
    <row r="324" spans="1:18" x14ac:dyDescent="0.35">
      <c r="A324" s="2" t="s">
        <v>2307</v>
      </c>
      <c r="B324" s="3">
        <v>44182</v>
      </c>
      <c r="C324" s="3" t="str">
        <f t="shared" si="20"/>
        <v>Thursday</v>
      </c>
      <c r="D324" s="3" t="str">
        <f t="shared" si="21"/>
        <v>December</v>
      </c>
      <c r="E324" s="3" t="str">
        <f t="shared" si="22"/>
        <v>2020</v>
      </c>
      <c r="F324" s="2" t="s">
        <v>2308</v>
      </c>
      <c r="G324" t="s">
        <v>6169</v>
      </c>
      <c r="H324" s="2">
        <v>3</v>
      </c>
      <c r="I324" s="2" t="str">
        <f>_xlfn.XLOOKUP(F324,customers!A:A,customers!B:B)</f>
        <v>Skylar Jeyness</v>
      </c>
      <c r="J324" s="2" t="str">
        <f>_xlfn.XLOOKUP(F324,customers!A:A,customers!C:C)</f>
        <v>sjeyness8y@biglobe.ne.jp</v>
      </c>
      <c r="K324" s="2" t="str">
        <f>_xlfn.XLOOKUP(F324,customers!A:A,customers!F:F)</f>
        <v>Dublin</v>
      </c>
      <c r="L324" s="2" t="str">
        <f>_xlfn.XLOOKUP(F324,customers!A:A,customers!G:G)</f>
        <v>Ireland</v>
      </c>
      <c r="M324" t="str">
        <f>_xlfn.XLOOKUP(G324,products!A:A,products!B:B)</f>
        <v>Lib</v>
      </c>
      <c r="N324" t="str">
        <f>_xlfn.XLOOKUP(G324,products!A:A,products!C:C)</f>
        <v>D</v>
      </c>
      <c r="O324">
        <f>_xlfn.XLOOKUP(G324,products!A:A,products!D:D)</f>
        <v>0.5</v>
      </c>
      <c r="P324">
        <f>_xlfn.XLOOKUP(G324,products!A:A,products!E:E)</f>
        <v>7.77</v>
      </c>
      <c r="Q324">
        <f t="shared" si="23"/>
        <v>23.31</v>
      </c>
      <c r="R324" t="str" cm="1">
        <f t="array" ref="R324">_xlfn.IFS(Q324&lt;=50,"low sales",Q324&lt;=100,"medium sales",Q324&gt;100,"High sales")</f>
        <v>low sales</v>
      </c>
    </row>
    <row r="325" spans="1:18" x14ac:dyDescent="0.35">
      <c r="A325" s="2" t="s">
        <v>2313</v>
      </c>
      <c r="B325" s="3">
        <v>44373</v>
      </c>
      <c r="C325" s="3" t="str">
        <f t="shared" si="20"/>
        <v>Saturday</v>
      </c>
      <c r="D325" s="3" t="str">
        <f t="shared" si="21"/>
        <v>June</v>
      </c>
      <c r="E325" s="3" t="str">
        <f t="shared" si="22"/>
        <v>2021</v>
      </c>
      <c r="F325" s="2" t="s">
        <v>2314</v>
      </c>
      <c r="G325" t="s">
        <v>6153</v>
      </c>
      <c r="H325" s="2">
        <v>5</v>
      </c>
      <c r="I325" s="2" t="str">
        <f>_xlfn.XLOOKUP(F325,customers!A:A,customers!B:B)</f>
        <v>Donica Bonhome</v>
      </c>
      <c r="J325" s="2" t="str">
        <f>_xlfn.XLOOKUP(F325,customers!A:A,customers!C:C)</f>
        <v>dbonhome8z@shinystat.com</v>
      </c>
      <c r="K325" s="2" t="str">
        <f>_xlfn.XLOOKUP(F325,customers!A:A,customers!F:F)</f>
        <v>Knoxville</v>
      </c>
      <c r="L325" s="2" t="str">
        <f>_xlfn.XLOOKUP(F325,customers!A:A,customers!G:G)</f>
        <v>United States</v>
      </c>
      <c r="M325" t="str">
        <f>_xlfn.XLOOKUP(G325,products!A:A,products!B:B)</f>
        <v>Exc</v>
      </c>
      <c r="N325" t="str">
        <f>_xlfn.XLOOKUP(G325,products!A:A,products!C:C)</f>
        <v>D</v>
      </c>
      <c r="O325">
        <f>_xlfn.XLOOKUP(G325,products!A:A,products!D:D)</f>
        <v>0.2</v>
      </c>
      <c r="P325">
        <f>_xlfn.XLOOKUP(G325,products!A:A,products!E:E)</f>
        <v>3.645</v>
      </c>
      <c r="Q325">
        <f t="shared" si="23"/>
        <v>18.225000000000001</v>
      </c>
      <c r="R325" t="str" cm="1">
        <f t="array" ref="R325">_xlfn.IFS(Q325&lt;=50,"low sales",Q325&lt;=100,"medium sales",Q325&gt;100,"High sales")</f>
        <v>low sales</v>
      </c>
    </row>
    <row r="326" spans="1:18" x14ac:dyDescent="0.35">
      <c r="A326" s="2" t="s">
        <v>2319</v>
      </c>
      <c r="B326" s="3">
        <v>43666</v>
      </c>
      <c r="C326" s="3" t="str">
        <f t="shared" si="20"/>
        <v>Saturday</v>
      </c>
      <c r="D326" s="3" t="str">
        <f t="shared" si="21"/>
        <v>July</v>
      </c>
      <c r="E326" s="3" t="str">
        <f t="shared" si="22"/>
        <v>2019</v>
      </c>
      <c r="F326" s="2" t="s">
        <v>2320</v>
      </c>
      <c r="G326" t="s">
        <v>6141</v>
      </c>
      <c r="H326" s="2">
        <v>1</v>
      </c>
      <c r="I326" s="2" t="str">
        <f>_xlfn.XLOOKUP(F326,customers!A:A,customers!B:B)</f>
        <v>Diena Peetermann</v>
      </c>
      <c r="J326" s="2">
        <f>_xlfn.XLOOKUP(F326,customers!A:A,customers!C:C)</f>
        <v>0</v>
      </c>
      <c r="K326" s="2" t="str">
        <f>_xlfn.XLOOKUP(F326,customers!A:A,customers!F:F)</f>
        <v>Shawnee Mission</v>
      </c>
      <c r="L326" s="2" t="str">
        <f>_xlfn.XLOOKUP(F326,customers!A:A,customers!G:G)</f>
        <v>United States</v>
      </c>
      <c r="M326" t="str">
        <f>_xlfn.XLOOKUP(G326,products!A:A,products!B:B)</f>
        <v>Exc</v>
      </c>
      <c r="N326" t="str">
        <f>_xlfn.XLOOKUP(G326,products!A:A,products!C:C)</f>
        <v>M</v>
      </c>
      <c r="O326">
        <f>_xlfn.XLOOKUP(G326,products!A:A,products!D:D)</f>
        <v>1</v>
      </c>
      <c r="P326">
        <f>_xlfn.XLOOKUP(G326,products!A:A,products!E:E)</f>
        <v>13.75</v>
      </c>
      <c r="Q326">
        <f t="shared" si="23"/>
        <v>13.75</v>
      </c>
      <c r="R326" t="str" cm="1">
        <f t="array" ref="R326">_xlfn.IFS(Q326&lt;=50,"low sales",Q326&lt;=100,"medium sales",Q326&gt;100,"High sales")</f>
        <v>low sales</v>
      </c>
    </row>
    <row r="327" spans="1:18" x14ac:dyDescent="0.35">
      <c r="A327" s="2" t="s">
        <v>2324</v>
      </c>
      <c r="B327" s="3">
        <v>44756</v>
      </c>
      <c r="C327" s="3" t="str">
        <f t="shared" si="20"/>
        <v>Thursday</v>
      </c>
      <c r="D327" s="3" t="str">
        <f t="shared" si="21"/>
        <v>July</v>
      </c>
      <c r="E327" s="3" t="str">
        <f t="shared" si="22"/>
        <v>2022</v>
      </c>
      <c r="F327" s="2" t="s">
        <v>2325</v>
      </c>
      <c r="G327" t="s">
        <v>6182</v>
      </c>
      <c r="H327" s="2">
        <v>1</v>
      </c>
      <c r="I327" s="2" t="str">
        <f>_xlfn.XLOOKUP(F327,customers!A:A,customers!B:B)</f>
        <v>Trina Le Sarr</v>
      </c>
      <c r="J327" s="2" t="str">
        <f>_xlfn.XLOOKUP(F327,customers!A:A,customers!C:C)</f>
        <v>tle91@epa.gov</v>
      </c>
      <c r="K327" s="2" t="str">
        <f>_xlfn.XLOOKUP(F327,customers!A:A,customers!F:F)</f>
        <v>San Francisco</v>
      </c>
      <c r="L327" s="2" t="str">
        <f>_xlfn.XLOOKUP(F327,customers!A:A,customers!G:G)</f>
        <v>United States</v>
      </c>
      <c r="M327" t="str">
        <f>_xlfn.XLOOKUP(G327,products!A:A,products!B:B)</f>
        <v>Ara</v>
      </c>
      <c r="N327" t="str">
        <f>_xlfn.XLOOKUP(G327,products!A:A,products!C:C)</f>
        <v>L</v>
      </c>
      <c r="O327">
        <f>_xlfn.XLOOKUP(G327,products!A:A,products!D:D)</f>
        <v>2.5</v>
      </c>
      <c r="P327">
        <f>_xlfn.XLOOKUP(G327,products!A:A,products!E:E)</f>
        <v>29.784999999999997</v>
      </c>
      <c r="Q327">
        <f t="shared" si="23"/>
        <v>29.784999999999997</v>
      </c>
      <c r="R327" t="str" cm="1">
        <f t="array" ref="R327">_xlfn.IFS(Q327&lt;=50,"low sales",Q327&lt;=100,"medium sales",Q327&gt;100,"High sales")</f>
        <v>low sales</v>
      </c>
    </row>
    <row r="328" spans="1:18" x14ac:dyDescent="0.35">
      <c r="A328" s="2" t="s">
        <v>2330</v>
      </c>
      <c r="B328" s="3">
        <v>44057</v>
      </c>
      <c r="C328" s="3" t="str">
        <f t="shared" si="20"/>
        <v>Friday</v>
      </c>
      <c r="D328" s="3" t="str">
        <f t="shared" si="21"/>
        <v>August</v>
      </c>
      <c r="E328" s="3" t="str">
        <f t="shared" si="22"/>
        <v>2020</v>
      </c>
      <c r="F328" s="2" t="s">
        <v>2331</v>
      </c>
      <c r="G328" t="s">
        <v>6177</v>
      </c>
      <c r="H328" s="2">
        <v>5</v>
      </c>
      <c r="I328" s="2" t="str">
        <f>_xlfn.XLOOKUP(F328,customers!A:A,customers!B:B)</f>
        <v>Flynn Antony</v>
      </c>
      <c r="J328" s="2">
        <f>_xlfn.XLOOKUP(F328,customers!A:A,customers!C:C)</f>
        <v>0</v>
      </c>
      <c r="K328" s="2" t="str">
        <f>_xlfn.XLOOKUP(F328,customers!A:A,customers!F:F)</f>
        <v>Birmingham</v>
      </c>
      <c r="L328" s="2" t="str">
        <f>_xlfn.XLOOKUP(F328,customers!A:A,customers!G:G)</f>
        <v>United States</v>
      </c>
      <c r="M328" t="str">
        <f>_xlfn.XLOOKUP(G328,products!A:A,products!B:B)</f>
        <v>Rob</v>
      </c>
      <c r="N328" t="str">
        <f>_xlfn.XLOOKUP(G328,products!A:A,products!C:C)</f>
        <v>D</v>
      </c>
      <c r="O328">
        <f>_xlfn.XLOOKUP(G328,products!A:A,products!D:D)</f>
        <v>1</v>
      </c>
      <c r="P328">
        <f>_xlfn.XLOOKUP(G328,products!A:A,products!E:E)</f>
        <v>8.9499999999999993</v>
      </c>
      <c r="Q328">
        <f t="shared" si="23"/>
        <v>44.75</v>
      </c>
      <c r="R328" t="str" cm="1">
        <f t="array" ref="R328">_xlfn.IFS(Q328&lt;=50,"low sales",Q328&lt;=100,"medium sales",Q328&gt;100,"High sales")</f>
        <v>low sales</v>
      </c>
    </row>
    <row r="329" spans="1:18" x14ac:dyDescent="0.35">
      <c r="A329" s="2" t="s">
        <v>2335</v>
      </c>
      <c r="B329" s="3">
        <v>43579</v>
      </c>
      <c r="C329" s="3" t="str">
        <f t="shared" si="20"/>
        <v>Wednesday</v>
      </c>
      <c r="D329" s="3" t="str">
        <f t="shared" si="21"/>
        <v>April</v>
      </c>
      <c r="E329" s="3" t="str">
        <f t="shared" si="22"/>
        <v>2019</v>
      </c>
      <c r="F329" s="2" t="s">
        <v>2336</v>
      </c>
      <c r="G329" t="s">
        <v>6177</v>
      </c>
      <c r="H329" s="2">
        <v>5</v>
      </c>
      <c r="I329" s="2" t="str">
        <f>_xlfn.XLOOKUP(F329,customers!A:A,customers!B:B)</f>
        <v>Baudoin Alldridge</v>
      </c>
      <c r="J329" s="2" t="str">
        <f>_xlfn.XLOOKUP(F329,customers!A:A,customers!C:C)</f>
        <v>balldridge93@yandex.ru</v>
      </c>
      <c r="K329" s="2" t="str">
        <f>_xlfn.XLOOKUP(F329,customers!A:A,customers!F:F)</f>
        <v>Brooklyn</v>
      </c>
      <c r="L329" s="2" t="str">
        <f>_xlfn.XLOOKUP(F329,customers!A:A,customers!G:G)</f>
        <v>United States</v>
      </c>
      <c r="M329" t="str">
        <f>_xlfn.XLOOKUP(G329,products!A:A,products!B:B)</f>
        <v>Rob</v>
      </c>
      <c r="N329" t="str">
        <f>_xlfn.XLOOKUP(G329,products!A:A,products!C:C)</f>
        <v>D</v>
      </c>
      <c r="O329">
        <f>_xlfn.XLOOKUP(G329,products!A:A,products!D:D)</f>
        <v>1</v>
      </c>
      <c r="P329">
        <f>_xlfn.XLOOKUP(G329,products!A:A,products!E:E)</f>
        <v>8.9499999999999993</v>
      </c>
      <c r="Q329">
        <f t="shared" si="23"/>
        <v>44.75</v>
      </c>
      <c r="R329" t="str" cm="1">
        <f t="array" ref="R329">_xlfn.IFS(Q329&lt;=50,"low sales",Q329&lt;=100,"medium sales",Q329&gt;100,"High sales")</f>
        <v>low sales</v>
      </c>
    </row>
    <row r="330" spans="1:18" x14ac:dyDescent="0.35">
      <c r="A330" s="2" t="s">
        <v>2341</v>
      </c>
      <c r="B330" s="3">
        <v>43620</v>
      </c>
      <c r="C330" s="3" t="str">
        <f t="shared" si="20"/>
        <v>Tuesday</v>
      </c>
      <c r="D330" s="3" t="str">
        <f t="shared" si="21"/>
        <v>June</v>
      </c>
      <c r="E330" s="3" t="str">
        <f t="shared" si="22"/>
        <v>2019</v>
      </c>
      <c r="F330" s="2" t="s">
        <v>2342</v>
      </c>
      <c r="G330" t="s">
        <v>6161</v>
      </c>
      <c r="H330" s="2">
        <v>4</v>
      </c>
      <c r="I330" s="2" t="str">
        <f>_xlfn.XLOOKUP(F330,customers!A:A,customers!B:B)</f>
        <v>Homer Dulany</v>
      </c>
      <c r="J330" s="2">
        <f>_xlfn.XLOOKUP(F330,customers!A:A,customers!C:C)</f>
        <v>0</v>
      </c>
      <c r="K330" s="2" t="str">
        <f>_xlfn.XLOOKUP(F330,customers!A:A,customers!F:F)</f>
        <v>El Paso</v>
      </c>
      <c r="L330" s="2" t="str">
        <f>_xlfn.XLOOKUP(F330,customers!A:A,customers!G:G)</f>
        <v>United States</v>
      </c>
      <c r="M330" t="str">
        <f>_xlfn.XLOOKUP(G330,products!A:A,products!B:B)</f>
        <v>Lib</v>
      </c>
      <c r="N330" t="str">
        <f>_xlfn.XLOOKUP(G330,products!A:A,products!C:C)</f>
        <v>L</v>
      </c>
      <c r="O330">
        <f>_xlfn.XLOOKUP(G330,products!A:A,products!D:D)</f>
        <v>0.5</v>
      </c>
      <c r="P330">
        <f>_xlfn.XLOOKUP(G330,products!A:A,products!E:E)</f>
        <v>9.51</v>
      </c>
      <c r="Q330">
        <f t="shared" si="23"/>
        <v>38.04</v>
      </c>
      <c r="R330" t="str" cm="1">
        <f t="array" ref="R330">_xlfn.IFS(Q330&lt;=50,"low sales",Q330&lt;=100,"medium sales",Q330&gt;100,"High sales")</f>
        <v>low sales</v>
      </c>
    </row>
    <row r="331" spans="1:18" x14ac:dyDescent="0.35">
      <c r="A331" s="2" t="s">
        <v>2346</v>
      </c>
      <c r="B331" s="3">
        <v>44781</v>
      </c>
      <c r="C331" s="3" t="str">
        <f t="shared" si="20"/>
        <v>Monday</v>
      </c>
      <c r="D331" s="3" t="str">
        <f t="shared" si="21"/>
        <v>August</v>
      </c>
      <c r="E331" s="3" t="str">
        <f t="shared" si="22"/>
        <v>2022</v>
      </c>
      <c r="F331" s="2" t="s">
        <v>2347</v>
      </c>
      <c r="G331" t="s">
        <v>6172</v>
      </c>
      <c r="H331" s="2">
        <v>4</v>
      </c>
      <c r="I331" s="2" t="str">
        <f>_xlfn.XLOOKUP(F331,customers!A:A,customers!B:B)</f>
        <v>Lisa Goodger</v>
      </c>
      <c r="J331" s="2" t="str">
        <f>_xlfn.XLOOKUP(F331,customers!A:A,customers!C:C)</f>
        <v>lgoodger95@guardian.co.uk</v>
      </c>
      <c r="K331" s="2" t="str">
        <f>_xlfn.XLOOKUP(F331,customers!A:A,customers!F:F)</f>
        <v>Sacramento</v>
      </c>
      <c r="L331" s="2" t="str">
        <f>_xlfn.XLOOKUP(F331,customers!A:A,customers!G:G)</f>
        <v>United States</v>
      </c>
      <c r="M331" t="str">
        <f>_xlfn.XLOOKUP(G331,products!A:A,products!B:B)</f>
        <v>Rob</v>
      </c>
      <c r="N331" t="str">
        <f>_xlfn.XLOOKUP(G331,products!A:A,products!C:C)</f>
        <v>D</v>
      </c>
      <c r="O331">
        <f>_xlfn.XLOOKUP(G331,products!A:A,products!D:D)</f>
        <v>0.5</v>
      </c>
      <c r="P331">
        <f>_xlfn.XLOOKUP(G331,products!A:A,products!E:E)</f>
        <v>5.3699999999999992</v>
      </c>
      <c r="Q331">
        <f t="shared" si="23"/>
        <v>21.479999999999997</v>
      </c>
      <c r="R331" t="str" cm="1">
        <f t="array" ref="R331">_xlfn.IFS(Q331&lt;=50,"low sales",Q331&lt;=100,"medium sales",Q331&gt;100,"High sales")</f>
        <v>low sales</v>
      </c>
    </row>
    <row r="332" spans="1:18" x14ac:dyDescent="0.35">
      <c r="A332" s="2" t="s">
        <v>2351</v>
      </c>
      <c r="B332" s="3">
        <v>43782</v>
      </c>
      <c r="C332" s="3" t="str">
        <f t="shared" si="20"/>
        <v>Wednesday</v>
      </c>
      <c r="D332" s="3" t="str">
        <f t="shared" si="21"/>
        <v>November</v>
      </c>
      <c r="E332" s="3" t="str">
        <f t="shared" si="22"/>
        <v>2019</v>
      </c>
      <c r="F332" s="2" t="s">
        <v>2280</v>
      </c>
      <c r="G332" t="s">
        <v>6172</v>
      </c>
      <c r="H332" s="2">
        <v>3</v>
      </c>
      <c r="I332" s="2" t="str">
        <f>_xlfn.XLOOKUP(F332,customers!A:A,customers!B:B)</f>
        <v>Selma McMillian</v>
      </c>
      <c r="J332" s="2" t="str">
        <f>_xlfn.XLOOKUP(F332,customers!A:A,customers!C:C)</f>
        <v>smcmillian8t@csmonitor.com</v>
      </c>
      <c r="K332" s="2" t="str">
        <f>_xlfn.XLOOKUP(F332,customers!A:A,customers!F:F)</f>
        <v>Akron</v>
      </c>
      <c r="L332" s="2" t="str">
        <f>_xlfn.XLOOKUP(F332,customers!A:A,customers!G:G)</f>
        <v>United States</v>
      </c>
      <c r="M332" t="str">
        <f>_xlfn.XLOOKUP(G332,products!A:A,products!B:B)</f>
        <v>Rob</v>
      </c>
      <c r="N332" t="str">
        <f>_xlfn.XLOOKUP(G332,products!A:A,products!C:C)</f>
        <v>D</v>
      </c>
      <c r="O332">
        <f>_xlfn.XLOOKUP(G332,products!A:A,products!D:D)</f>
        <v>0.5</v>
      </c>
      <c r="P332">
        <f>_xlfn.XLOOKUP(G332,products!A:A,products!E:E)</f>
        <v>5.3699999999999992</v>
      </c>
      <c r="Q332">
        <f t="shared" si="23"/>
        <v>16.11</v>
      </c>
      <c r="R332" t="str" cm="1">
        <f t="array" ref="R332">_xlfn.IFS(Q332&lt;=50,"low sales",Q332&lt;=100,"medium sales",Q332&gt;100,"High sales")</f>
        <v>low sales</v>
      </c>
    </row>
    <row r="333" spans="1:18" x14ac:dyDescent="0.35">
      <c r="A333" s="2" t="s">
        <v>2357</v>
      </c>
      <c r="B333" s="3">
        <v>43989</v>
      </c>
      <c r="C333" s="3" t="str">
        <f t="shared" si="20"/>
        <v>Sunday</v>
      </c>
      <c r="D333" s="3" t="str">
        <f t="shared" si="21"/>
        <v>June</v>
      </c>
      <c r="E333" s="3" t="str">
        <f t="shared" si="22"/>
        <v>2020</v>
      </c>
      <c r="F333" s="2" t="s">
        <v>2358</v>
      </c>
      <c r="G333" t="s">
        <v>6151</v>
      </c>
      <c r="H333" s="2">
        <v>1</v>
      </c>
      <c r="I333" s="2" t="str">
        <f>_xlfn.XLOOKUP(F333,customers!A:A,customers!B:B)</f>
        <v>Corine Drewett</v>
      </c>
      <c r="J333" s="2" t="str">
        <f>_xlfn.XLOOKUP(F333,customers!A:A,customers!C:C)</f>
        <v>cdrewett97@wikipedia.org</v>
      </c>
      <c r="K333" s="2" t="str">
        <f>_xlfn.XLOOKUP(F333,customers!A:A,customers!F:F)</f>
        <v>Boynton Beach</v>
      </c>
      <c r="L333" s="2" t="str">
        <f>_xlfn.XLOOKUP(F333,customers!A:A,customers!G:G)</f>
        <v>United States</v>
      </c>
      <c r="M333" t="str">
        <f>_xlfn.XLOOKUP(G333,products!A:A,products!B:B)</f>
        <v>Rob</v>
      </c>
      <c r="N333" t="str">
        <f>_xlfn.XLOOKUP(G333,products!A:A,products!C:C)</f>
        <v>M</v>
      </c>
      <c r="O333">
        <f>_xlfn.XLOOKUP(G333,products!A:A,products!D:D)</f>
        <v>2.5</v>
      </c>
      <c r="P333">
        <f>_xlfn.XLOOKUP(G333,products!A:A,products!E:E)</f>
        <v>22.884999999999998</v>
      </c>
      <c r="Q333">
        <f t="shared" si="23"/>
        <v>22.884999999999998</v>
      </c>
      <c r="R333" t="str" cm="1">
        <f t="array" ref="R333">_xlfn.IFS(Q333&lt;=50,"low sales",Q333&lt;=100,"medium sales",Q333&gt;100,"High sales")</f>
        <v>low sales</v>
      </c>
    </row>
    <row r="334" spans="1:18" x14ac:dyDescent="0.35">
      <c r="A334" s="2" t="s">
        <v>2363</v>
      </c>
      <c r="B334" s="3">
        <v>43689</v>
      </c>
      <c r="C334" s="3" t="str">
        <f t="shared" si="20"/>
        <v>Monday</v>
      </c>
      <c r="D334" s="3" t="str">
        <f t="shared" si="21"/>
        <v>August</v>
      </c>
      <c r="E334" s="3" t="str">
        <f t="shared" si="22"/>
        <v>2019</v>
      </c>
      <c r="F334" s="2" t="s">
        <v>2364</v>
      </c>
      <c r="G334" t="s">
        <v>6158</v>
      </c>
      <c r="H334" s="2">
        <v>3</v>
      </c>
      <c r="I334" s="2" t="str">
        <f>_xlfn.XLOOKUP(F334,customers!A:A,customers!B:B)</f>
        <v>Quinn Parsons</v>
      </c>
      <c r="J334" s="2" t="str">
        <f>_xlfn.XLOOKUP(F334,customers!A:A,customers!C:C)</f>
        <v>qparsons98@blogtalkradio.com</v>
      </c>
      <c r="K334" s="2" t="str">
        <f>_xlfn.XLOOKUP(F334,customers!A:A,customers!F:F)</f>
        <v>Los Angeles</v>
      </c>
      <c r="L334" s="2" t="str">
        <f>_xlfn.XLOOKUP(F334,customers!A:A,customers!G:G)</f>
        <v>United States</v>
      </c>
      <c r="M334" t="str">
        <f>_xlfn.XLOOKUP(G334,products!A:A,products!B:B)</f>
        <v>Ara</v>
      </c>
      <c r="N334" t="str">
        <f>_xlfn.XLOOKUP(G334,products!A:A,products!C:C)</f>
        <v>D</v>
      </c>
      <c r="O334">
        <f>_xlfn.XLOOKUP(G334,products!A:A,products!D:D)</f>
        <v>0.5</v>
      </c>
      <c r="P334">
        <f>_xlfn.XLOOKUP(G334,products!A:A,products!E:E)</f>
        <v>5.97</v>
      </c>
      <c r="Q334">
        <f t="shared" si="23"/>
        <v>17.91</v>
      </c>
      <c r="R334" t="str" cm="1">
        <f t="array" ref="R334">_xlfn.IFS(Q334&lt;=50,"low sales",Q334&lt;=100,"medium sales",Q334&gt;100,"High sales")</f>
        <v>low sales</v>
      </c>
    </row>
    <row r="335" spans="1:18" x14ac:dyDescent="0.35">
      <c r="A335" s="2" t="s">
        <v>2369</v>
      </c>
      <c r="B335" s="3">
        <v>43712</v>
      </c>
      <c r="C335" s="3" t="str">
        <f t="shared" si="20"/>
        <v>Wednesday</v>
      </c>
      <c r="D335" s="3" t="str">
        <f t="shared" si="21"/>
        <v>September</v>
      </c>
      <c r="E335" s="3" t="str">
        <f t="shared" si="22"/>
        <v>2019</v>
      </c>
      <c r="F335" s="2" t="s">
        <v>2370</v>
      </c>
      <c r="G335" t="s">
        <v>6146</v>
      </c>
      <c r="H335" s="2">
        <v>4</v>
      </c>
      <c r="I335" s="2" t="str">
        <f>_xlfn.XLOOKUP(F335,customers!A:A,customers!B:B)</f>
        <v>Vivyan Ceely</v>
      </c>
      <c r="J335" s="2" t="str">
        <f>_xlfn.XLOOKUP(F335,customers!A:A,customers!C:C)</f>
        <v>vceely99@auda.org.au</v>
      </c>
      <c r="K335" s="2" t="str">
        <f>_xlfn.XLOOKUP(F335,customers!A:A,customers!F:F)</f>
        <v>Baltimore</v>
      </c>
      <c r="L335" s="2" t="str">
        <f>_xlfn.XLOOKUP(F335,customers!A:A,customers!G:G)</f>
        <v>United States</v>
      </c>
      <c r="M335" t="str">
        <f>_xlfn.XLOOKUP(G335,products!A:A,products!B:B)</f>
        <v>Rob</v>
      </c>
      <c r="N335" t="str">
        <f>_xlfn.XLOOKUP(G335,products!A:A,products!C:C)</f>
        <v>M</v>
      </c>
      <c r="O335">
        <f>_xlfn.XLOOKUP(G335,products!A:A,products!D:D)</f>
        <v>0.5</v>
      </c>
      <c r="P335">
        <f>_xlfn.XLOOKUP(G335,products!A:A,products!E:E)</f>
        <v>5.97</v>
      </c>
      <c r="Q335">
        <f t="shared" si="23"/>
        <v>23.88</v>
      </c>
      <c r="R335" t="str" cm="1">
        <f t="array" ref="R335">_xlfn.IFS(Q335&lt;=50,"low sales",Q335&lt;=100,"medium sales",Q335&gt;100,"High sales")</f>
        <v>low sales</v>
      </c>
    </row>
    <row r="336" spans="1:18" x14ac:dyDescent="0.35">
      <c r="A336" s="2" t="s">
        <v>2375</v>
      </c>
      <c r="B336" s="3">
        <v>43742</v>
      </c>
      <c r="C336" s="3" t="str">
        <f t="shared" si="20"/>
        <v>Friday</v>
      </c>
      <c r="D336" s="3" t="str">
        <f t="shared" si="21"/>
        <v>October</v>
      </c>
      <c r="E336" s="3" t="str">
        <f t="shared" si="22"/>
        <v>2019</v>
      </c>
      <c r="F336" s="2" t="s">
        <v>2376</v>
      </c>
      <c r="G336" t="s">
        <v>6179</v>
      </c>
      <c r="H336" s="2">
        <v>5</v>
      </c>
      <c r="I336" s="2" t="str">
        <f>_xlfn.XLOOKUP(F336,customers!A:A,customers!B:B)</f>
        <v>Elonore Goodings</v>
      </c>
      <c r="J336" s="2">
        <f>_xlfn.XLOOKUP(F336,customers!A:A,customers!C:C)</f>
        <v>0</v>
      </c>
      <c r="K336" s="2" t="str">
        <f>_xlfn.XLOOKUP(F336,customers!A:A,customers!F:F)</f>
        <v>Salt Lake City</v>
      </c>
      <c r="L336" s="2" t="str">
        <f>_xlfn.XLOOKUP(F336,customers!A:A,customers!G:G)</f>
        <v>United States</v>
      </c>
      <c r="M336" t="str">
        <f>_xlfn.XLOOKUP(G336,products!A:A,products!B:B)</f>
        <v>Rob</v>
      </c>
      <c r="N336" t="str">
        <f>_xlfn.XLOOKUP(G336,products!A:A,products!C:C)</f>
        <v>L</v>
      </c>
      <c r="O336">
        <f>_xlfn.XLOOKUP(G336,products!A:A,products!D:D)</f>
        <v>1</v>
      </c>
      <c r="P336">
        <f>_xlfn.XLOOKUP(G336,products!A:A,products!E:E)</f>
        <v>11.95</v>
      </c>
      <c r="Q336">
        <f t="shared" si="23"/>
        <v>59.75</v>
      </c>
      <c r="R336" t="str" cm="1">
        <f t="array" ref="R336">_xlfn.IFS(Q336&lt;=50,"low sales",Q336&lt;=100,"medium sales",Q336&gt;100,"High sales")</f>
        <v>medium sales</v>
      </c>
    </row>
    <row r="337" spans="1:18" x14ac:dyDescent="0.35">
      <c r="A337" s="2" t="s">
        <v>2379</v>
      </c>
      <c r="B337" s="3">
        <v>43885</v>
      </c>
      <c r="C337" s="3" t="str">
        <f t="shared" si="20"/>
        <v>Monday</v>
      </c>
      <c r="D337" s="3" t="str">
        <f t="shared" si="21"/>
        <v>February</v>
      </c>
      <c r="E337" s="3" t="str">
        <f t="shared" si="22"/>
        <v>2020</v>
      </c>
      <c r="F337" s="2" t="s">
        <v>2380</v>
      </c>
      <c r="G337" t="s">
        <v>6145</v>
      </c>
      <c r="H337" s="2">
        <v>6</v>
      </c>
      <c r="I337" s="2" t="str">
        <f>_xlfn.XLOOKUP(F337,customers!A:A,customers!B:B)</f>
        <v>Clement Vasiliev</v>
      </c>
      <c r="J337" s="2" t="str">
        <f>_xlfn.XLOOKUP(F337,customers!A:A,customers!C:C)</f>
        <v>cvasiliev9b@discuz.net</v>
      </c>
      <c r="K337" s="2" t="str">
        <f>_xlfn.XLOOKUP(F337,customers!A:A,customers!F:F)</f>
        <v>Garland</v>
      </c>
      <c r="L337" s="2" t="str">
        <f>_xlfn.XLOOKUP(F337,customers!A:A,customers!G:G)</f>
        <v>United States</v>
      </c>
      <c r="M337" t="str">
        <f>_xlfn.XLOOKUP(G337,products!A:A,products!B:B)</f>
        <v>Lib</v>
      </c>
      <c r="N337" t="str">
        <f>_xlfn.XLOOKUP(G337,products!A:A,products!C:C)</f>
        <v>L</v>
      </c>
      <c r="O337">
        <f>_xlfn.XLOOKUP(G337,products!A:A,products!D:D)</f>
        <v>0.2</v>
      </c>
      <c r="P337">
        <f>_xlfn.XLOOKUP(G337,products!A:A,products!E:E)</f>
        <v>4.7549999999999999</v>
      </c>
      <c r="Q337">
        <f t="shared" si="23"/>
        <v>28.53</v>
      </c>
      <c r="R337" t="str" cm="1">
        <f t="array" ref="R337">_xlfn.IFS(Q337&lt;=50,"low sales",Q337&lt;=100,"medium sales",Q337&gt;100,"High sales")</f>
        <v>low sales</v>
      </c>
    </row>
    <row r="338" spans="1:18" x14ac:dyDescent="0.35">
      <c r="A338" s="2" t="s">
        <v>2385</v>
      </c>
      <c r="B338" s="3">
        <v>44434</v>
      </c>
      <c r="C338" s="3" t="str">
        <f t="shared" si="20"/>
        <v>Thursday</v>
      </c>
      <c r="D338" s="3" t="str">
        <f t="shared" si="21"/>
        <v>August</v>
      </c>
      <c r="E338" s="3" t="str">
        <f t="shared" si="22"/>
        <v>2021</v>
      </c>
      <c r="F338" s="2" t="s">
        <v>2386</v>
      </c>
      <c r="G338" t="s">
        <v>6155</v>
      </c>
      <c r="H338" s="2">
        <v>4</v>
      </c>
      <c r="I338" s="2" t="str">
        <f>_xlfn.XLOOKUP(F338,customers!A:A,customers!B:B)</f>
        <v>Terencio O'Moylan</v>
      </c>
      <c r="J338" s="2" t="str">
        <f>_xlfn.XLOOKUP(F338,customers!A:A,customers!C:C)</f>
        <v>tomoylan9c@liveinternet.ru</v>
      </c>
      <c r="K338" s="2" t="str">
        <f>_xlfn.XLOOKUP(F338,customers!A:A,customers!F:F)</f>
        <v>Church End</v>
      </c>
      <c r="L338" s="2" t="str">
        <f>_xlfn.XLOOKUP(F338,customers!A:A,customers!G:G)</f>
        <v>United Kingdom</v>
      </c>
      <c r="M338" t="str">
        <f>_xlfn.XLOOKUP(G338,products!A:A,products!B:B)</f>
        <v>Ara</v>
      </c>
      <c r="N338" t="str">
        <f>_xlfn.XLOOKUP(G338,products!A:A,products!C:C)</f>
        <v>M</v>
      </c>
      <c r="O338">
        <f>_xlfn.XLOOKUP(G338,products!A:A,products!D:D)</f>
        <v>1</v>
      </c>
      <c r="P338">
        <f>_xlfn.XLOOKUP(G338,products!A:A,products!E:E)</f>
        <v>11.25</v>
      </c>
      <c r="Q338">
        <f t="shared" si="23"/>
        <v>45</v>
      </c>
      <c r="R338" t="str" cm="1">
        <f t="array" ref="R338">_xlfn.IFS(Q338&lt;=50,"low sales",Q338&lt;=100,"medium sales",Q338&gt;100,"High sales")</f>
        <v>low sales</v>
      </c>
    </row>
    <row r="339" spans="1:18" x14ac:dyDescent="0.35">
      <c r="A339" s="2" t="s">
        <v>2391</v>
      </c>
      <c r="B339" s="3">
        <v>44472</v>
      </c>
      <c r="C339" s="3" t="str">
        <f t="shared" si="20"/>
        <v>Sunday</v>
      </c>
      <c r="D339" s="3" t="str">
        <f t="shared" si="21"/>
        <v>October</v>
      </c>
      <c r="E339" s="3" t="str">
        <f t="shared" si="22"/>
        <v>2021</v>
      </c>
      <c r="F339" s="2" t="s">
        <v>2331</v>
      </c>
      <c r="G339" t="s">
        <v>6185</v>
      </c>
      <c r="H339" s="2">
        <v>2</v>
      </c>
      <c r="I339" s="2" t="str">
        <f>_xlfn.XLOOKUP(F339,customers!A:A,customers!B:B)</f>
        <v>Flynn Antony</v>
      </c>
      <c r="J339" s="2">
        <f>_xlfn.XLOOKUP(F339,customers!A:A,customers!C:C)</f>
        <v>0</v>
      </c>
      <c r="K339" s="2" t="str">
        <f>_xlfn.XLOOKUP(F339,customers!A:A,customers!F:F)</f>
        <v>Birmingham</v>
      </c>
      <c r="L339" s="2" t="str">
        <f>_xlfn.XLOOKUP(F339,customers!A:A,customers!G:G)</f>
        <v>United States</v>
      </c>
      <c r="M339" t="str">
        <f>_xlfn.XLOOKUP(G339,products!A:A,products!B:B)</f>
        <v>Exc</v>
      </c>
      <c r="N339" t="str">
        <f>_xlfn.XLOOKUP(G339,products!A:A,products!C:C)</f>
        <v>D</v>
      </c>
      <c r="O339">
        <f>_xlfn.XLOOKUP(G339,products!A:A,products!D:D)</f>
        <v>2.5</v>
      </c>
      <c r="P339">
        <f>_xlfn.XLOOKUP(G339,products!A:A,products!E:E)</f>
        <v>27.945</v>
      </c>
      <c r="Q339">
        <f t="shared" si="23"/>
        <v>55.89</v>
      </c>
      <c r="R339" t="str" cm="1">
        <f t="array" ref="R339">_xlfn.IFS(Q339&lt;=50,"low sales",Q339&lt;=100,"medium sales",Q339&gt;100,"High sales")</f>
        <v>medium sales</v>
      </c>
    </row>
    <row r="340" spans="1:18" x14ac:dyDescent="0.35">
      <c r="A340" s="2" t="s">
        <v>2396</v>
      </c>
      <c r="B340" s="3">
        <v>43995</v>
      </c>
      <c r="C340" s="3" t="str">
        <f t="shared" si="20"/>
        <v>Saturday</v>
      </c>
      <c r="D340" s="3" t="str">
        <f t="shared" si="21"/>
        <v>June</v>
      </c>
      <c r="E340" s="3" t="str">
        <f t="shared" si="22"/>
        <v>2020</v>
      </c>
      <c r="F340" s="2" t="s">
        <v>2397</v>
      </c>
      <c r="G340" t="s">
        <v>6171</v>
      </c>
      <c r="H340" s="2">
        <v>4</v>
      </c>
      <c r="I340" s="2" t="str">
        <f>_xlfn.XLOOKUP(F340,customers!A:A,customers!B:B)</f>
        <v>Wyatan Fetherston</v>
      </c>
      <c r="J340" s="2" t="str">
        <f>_xlfn.XLOOKUP(F340,customers!A:A,customers!C:C)</f>
        <v>wfetherston9e@constantcontact.com</v>
      </c>
      <c r="K340" s="2" t="str">
        <f>_xlfn.XLOOKUP(F340,customers!A:A,customers!F:F)</f>
        <v>New York City</v>
      </c>
      <c r="L340" s="2" t="str">
        <f>_xlfn.XLOOKUP(F340,customers!A:A,customers!G:G)</f>
        <v>United States</v>
      </c>
      <c r="M340" t="str">
        <f>_xlfn.XLOOKUP(G340,products!A:A,products!B:B)</f>
        <v>Exc</v>
      </c>
      <c r="N340" t="str">
        <f>_xlfn.XLOOKUP(G340,products!A:A,products!C:C)</f>
        <v>L</v>
      </c>
      <c r="O340">
        <f>_xlfn.XLOOKUP(G340,products!A:A,products!D:D)</f>
        <v>1</v>
      </c>
      <c r="P340">
        <f>_xlfn.XLOOKUP(G340,products!A:A,products!E:E)</f>
        <v>14.85</v>
      </c>
      <c r="Q340">
        <f t="shared" si="23"/>
        <v>59.4</v>
      </c>
      <c r="R340" t="str" cm="1">
        <f t="array" ref="R340">_xlfn.IFS(Q340&lt;=50,"low sales",Q340&lt;=100,"medium sales",Q340&gt;100,"High sales")</f>
        <v>medium sales</v>
      </c>
    </row>
    <row r="341" spans="1:18" x14ac:dyDescent="0.35">
      <c r="A341" s="2" t="s">
        <v>2402</v>
      </c>
      <c r="B341" s="3">
        <v>44256</v>
      </c>
      <c r="C341" s="3" t="str">
        <f t="shared" si="20"/>
        <v>Monday</v>
      </c>
      <c r="D341" s="3" t="str">
        <f t="shared" si="21"/>
        <v>March</v>
      </c>
      <c r="E341" s="3" t="str">
        <f t="shared" si="22"/>
        <v>2021</v>
      </c>
      <c r="F341" s="2" t="s">
        <v>2403</v>
      </c>
      <c r="G341" t="s">
        <v>6153</v>
      </c>
      <c r="H341" s="2">
        <v>2</v>
      </c>
      <c r="I341" s="2" t="str">
        <f>_xlfn.XLOOKUP(F341,customers!A:A,customers!B:B)</f>
        <v>Emmaline Rasmus</v>
      </c>
      <c r="J341" s="2" t="str">
        <f>_xlfn.XLOOKUP(F341,customers!A:A,customers!C:C)</f>
        <v>erasmus9f@techcrunch.com</v>
      </c>
      <c r="K341" s="2" t="str">
        <f>_xlfn.XLOOKUP(F341,customers!A:A,customers!F:F)</f>
        <v>Boston</v>
      </c>
      <c r="L341" s="2" t="str">
        <f>_xlfn.XLOOKUP(F341,customers!A:A,customers!G:G)</f>
        <v>United States</v>
      </c>
      <c r="M341" t="str">
        <f>_xlfn.XLOOKUP(G341,products!A:A,products!B:B)</f>
        <v>Exc</v>
      </c>
      <c r="N341" t="str">
        <f>_xlfn.XLOOKUP(G341,products!A:A,products!C:C)</f>
        <v>D</v>
      </c>
      <c r="O341">
        <f>_xlfn.XLOOKUP(G341,products!A:A,products!D:D)</f>
        <v>0.2</v>
      </c>
      <c r="P341">
        <f>_xlfn.XLOOKUP(G341,products!A:A,products!E:E)</f>
        <v>3.645</v>
      </c>
      <c r="Q341">
        <f t="shared" si="23"/>
        <v>7.29</v>
      </c>
      <c r="R341" t="str" cm="1">
        <f t="array" ref="R341">_xlfn.IFS(Q341&lt;=50,"low sales",Q341&lt;=100,"medium sales",Q341&gt;100,"High sales")</f>
        <v>low sales</v>
      </c>
    </row>
    <row r="342" spans="1:18" x14ac:dyDescent="0.35">
      <c r="A342" s="2" t="s">
        <v>2408</v>
      </c>
      <c r="B342" s="3">
        <v>43528</v>
      </c>
      <c r="C342" s="3" t="str">
        <f t="shared" si="20"/>
        <v>Monday</v>
      </c>
      <c r="D342" s="3" t="str">
        <f t="shared" si="21"/>
        <v>March</v>
      </c>
      <c r="E342" s="3" t="str">
        <f t="shared" si="22"/>
        <v>2019</v>
      </c>
      <c r="F342" s="2" t="s">
        <v>2409</v>
      </c>
      <c r="G342" t="s">
        <v>6144</v>
      </c>
      <c r="H342" s="2">
        <v>1</v>
      </c>
      <c r="I342" s="2" t="str">
        <f>_xlfn.XLOOKUP(F342,customers!A:A,customers!B:B)</f>
        <v>Wesley Giorgioni</v>
      </c>
      <c r="J342" s="2" t="str">
        <f>_xlfn.XLOOKUP(F342,customers!A:A,customers!C:C)</f>
        <v>wgiorgioni9g@wikipedia.org</v>
      </c>
      <c r="K342" s="2" t="str">
        <f>_xlfn.XLOOKUP(F342,customers!A:A,customers!F:F)</f>
        <v>San Francisco</v>
      </c>
      <c r="L342" s="2" t="str">
        <f>_xlfn.XLOOKUP(F342,customers!A:A,customers!G:G)</f>
        <v>United States</v>
      </c>
      <c r="M342" t="str">
        <f>_xlfn.XLOOKUP(G342,products!A:A,products!B:B)</f>
        <v>Exc</v>
      </c>
      <c r="N342" t="str">
        <f>_xlfn.XLOOKUP(G342,products!A:A,products!C:C)</f>
        <v>D</v>
      </c>
      <c r="O342">
        <f>_xlfn.XLOOKUP(G342,products!A:A,products!D:D)</f>
        <v>0.5</v>
      </c>
      <c r="P342">
        <f>_xlfn.XLOOKUP(G342,products!A:A,products!E:E)</f>
        <v>7.29</v>
      </c>
      <c r="Q342">
        <f t="shared" si="23"/>
        <v>7.29</v>
      </c>
      <c r="R342" t="str" cm="1">
        <f t="array" ref="R342">_xlfn.IFS(Q342&lt;=50,"low sales",Q342&lt;=100,"medium sales",Q342&gt;100,"High sales")</f>
        <v>low sales</v>
      </c>
    </row>
    <row r="343" spans="1:18" x14ac:dyDescent="0.35">
      <c r="A343" s="2" t="s">
        <v>2414</v>
      </c>
      <c r="B343" s="3">
        <v>43751</v>
      </c>
      <c r="C343" s="3" t="str">
        <f t="shared" si="20"/>
        <v>Sunday</v>
      </c>
      <c r="D343" s="3" t="str">
        <f t="shared" si="21"/>
        <v>October</v>
      </c>
      <c r="E343" s="3" t="str">
        <f t="shared" si="22"/>
        <v>2019</v>
      </c>
      <c r="F343" s="2" t="s">
        <v>2415</v>
      </c>
      <c r="G343" t="s">
        <v>6176</v>
      </c>
      <c r="H343" s="2">
        <v>2</v>
      </c>
      <c r="I343" s="2" t="str">
        <f>_xlfn.XLOOKUP(F343,customers!A:A,customers!B:B)</f>
        <v>Lucienne Scargle</v>
      </c>
      <c r="J343" s="2" t="str">
        <f>_xlfn.XLOOKUP(F343,customers!A:A,customers!C:C)</f>
        <v>lscargle9h@myspace.com</v>
      </c>
      <c r="K343" s="2" t="str">
        <f>_xlfn.XLOOKUP(F343,customers!A:A,customers!F:F)</f>
        <v>Indianapolis</v>
      </c>
      <c r="L343" s="2" t="str">
        <f>_xlfn.XLOOKUP(F343,customers!A:A,customers!G:G)</f>
        <v>United States</v>
      </c>
      <c r="M343" t="str">
        <f>_xlfn.XLOOKUP(G343,products!A:A,products!B:B)</f>
        <v>Exc</v>
      </c>
      <c r="N343" t="str">
        <f>_xlfn.XLOOKUP(G343,products!A:A,products!C:C)</f>
        <v>L</v>
      </c>
      <c r="O343">
        <f>_xlfn.XLOOKUP(G343,products!A:A,products!D:D)</f>
        <v>0.5</v>
      </c>
      <c r="P343">
        <f>_xlfn.XLOOKUP(G343,products!A:A,products!E:E)</f>
        <v>8.91</v>
      </c>
      <c r="Q343">
        <f t="shared" si="23"/>
        <v>17.82</v>
      </c>
      <c r="R343" t="str" cm="1">
        <f t="array" ref="R343">_xlfn.IFS(Q343&lt;=50,"low sales",Q343&lt;=100,"medium sales",Q343&gt;100,"High sales")</f>
        <v>low sales</v>
      </c>
    </row>
    <row r="344" spans="1:18" x14ac:dyDescent="0.35">
      <c r="A344" s="2" t="s">
        <v>2414</v>
      </c>
      <c r="B344" s="3">
        <v>43751</v>
      </c>
      <c r="C344" s="3" t="str">
        <f t="shared" si="20"/>
        <v>Sunday</v>
      </c>
      <c r="D344" s="3" t="str">
        <f t="shared" si="21"/>
        <v>October</v>
      </c>
      <c r="E344" s="3" t="str">
        <f t="shared" si="22"/>
        <v>2019</v>
      </c>
      <c r="F344" s="2" t="s">
        <v>2415</v>
      </c>
      <c r="G344" t="s">
        <v>6169</v>
      </c>
      <c r="H344" s="2">
        <v>5</v>
      </c>
      <c r="I344" s="2" t="str">
        <f>_xlfn.XLOOKUP(F344,customers!A:A,customers!B:B)</f>
        <v>Lucienne Scargle</v>
      </c>
      <c r="J344" s="2" t="str">
        <f>_xlfn.XLOOKUP(F344,customers!A:A,customers!C:C)</f>
        <v>lscargle9h@myspace.com</v>
      </c>
      <c r="K344" s="2" t="str">
        <f>_xlfn.XLOOKUP(F344,customers!A:A,customers!F:F)</f>
        <v>Indianapolis</v>
      </c>
      <c r="L344" s="2" t="str">
        <f>_xlfn.XLOOKUP(F344,customers!A:A,customers!G:G)</f>
        <v>United States</v>
      </c>
      <c r="M344" t="str">
        <f>_xlfn.XLOOKUP(G344,products!A:A,products!B:B)</f>
        <v>Lib</v>
      </c>
      <c r="N344" t="str">
        <f>_xlfn.XLOOKUP(G344,products!A:A,products!C:C)</f>
        <v>D</v>
      </c>
      <c r="O344">
        <f>_xlfn.XLOOKUP(G344,products!A:A,products!D:D)</f>
        <v>0.5</v>
      </c>
      <c r="P344">
        <f>_xlfn.XLOOKUP(G344,products!A:A,products!E:E)</f>
        <v>7.77</v>
      </c>
      <c r="Q344">
        <f t="shared" si="23"/>
        <v>38.849999999999994</v>
      </c>
      <c r="R344" t="str" cm="1">
        <f t="array" ref="R344">_xlfn.IFS(Q344&lt;=50,"low sales",Q344&lt;=100,"medium sales",Q344&gt;100,"High sales")</f>
        <v>low sales</v>
      </c>
    </row>
    <row r="345" spans="1:18" x14ac:dyDescent="0.35">
      <c r="A345" s="2" t="s">
        <v>2424</v>
      </c>
      <c r="B345" s="3">
        <v>43692</v>
      </c>
      <c r="C345" s="3" t="str">
        <f t="shared" si="20"/>
        <v>Thursday</v>
      </c>
      <c r="D345" s="3" t="str">
        <f t="shared" si="21"/>
        <v>August</v>
      </c>
      <c r="E345" s="3" t="str">
        <f t="shared" si="22"/>
        <v>2019</v>
      </c>
      <c r="F345" s="2" t="s">
        <v>2425</v>
      </c>
      <c r="G345" t="s">
        <v>6172</v>
      </c>
      <c r="H345" s="2">
        <v>6</v>
      </c>
      <c r="I345" s="2" t="str">
        <f>_xlfn.XLOOKUP(F345,customers!A:A,customers!B:B)</f>
        <v>Noam Climance</v>
      </c>
      <c r="J345" s="2" t="str">
        <f>_xlfn.XLOOKUP(F345,customers!A:A,customers!C:C)</f>
        <v>nclimance9j@europa.eu</v>
      </c>
      <c r="K345" s="2" t="str">
        <f>_xlfn.XLOOKUP(F345,customers!A:A,customers!F:F)</f>
        <v>Seattle</v>
      </c>
      <c r="L345" s="2" t="str">
        <f>_xlfn.XLOOKUP(F345,customers!A:A,customers!G:G)</f>
        <v>United States</v>
      </c>
      <c r="M345" t="str">
        <f>_xlfn.XLOOKUP(G345,products!A:A,products!B:B)</f>
        <v>Rob</v>
      </c>
      <c r="N345" t="str">
        <f>_xlfn.XLOOKUP(G345,products!A:A,products!C:C)</f>
        <v>D</v>
      </c>
      <c r="O345">
        <f>_xlfn.XLOOKUP(G345,products!A:A,products!D:D)</f>
        <v>0.5</v>
      </c>
      <c r="P345">
        <f>_xlfn.XLOOKUP(G345,products!A:A,products!E:E)</f>
        <v>5.3699999999999992</v>
      </c>
      <c r="Q345">
        <f t="shared" si="23"/>
        <v>32.22</v>
      </c>
      <c r="R345" t="str" cm="1">
        <f t="array" ref="R345">_xlfn.IFS(Q345&lt;=50,"low sales",Q345&lt;=100,"medium sales",Q345&gt;100,"High sales")</f>
        <v>low sales</v>
      </c>
    </row>
    <row r="346" spans="1:18" x14ac:dyDescent="0.35">
      <c r="A346" s="2" t="s">
        <v>2429</v>
      </c>
      <c r="B346" s="3">
        <v>44529</v>
      </c>
      <c r="C346" s="3" t="str">
        <f t="shared" si="20"/>
        <v>Monday</v>
      </c>
      <c r="D346" s="3" t="str">
        <f t="shared" si="21"/>
        <v>November</v>
      </c>
      <c r="E346" s="3" t="str">
        <f t="shared" si="22"/>
        <v>2021</v>
      </c>
      <c r="F346" s="2" t="s">
        <v>2430</v>
      </c>
      <c r="G346" t="s">
        <v>6138</v>
      </c>
      <c r="H346" s="2">
        <v>2</v>
      </c>
      <c r="I346" s="2" t="str">
        <f>_xlfn.XLOOKUP(F346,customers!A:A,customers!B:B)</f>
        <v>Catarina Donn</v>
      </c>
      <c r="J346" s="2">
        <f>_xlfn.XLOOKUP(F346,customers!A:A,customers!C:C)</f>
        <v>0</v>
      </c>
      <c r="K346" s="2" t="str">
        <f>_xlfn.XLOOKUP(F346,customers!A:A,customers!F:F)</f>
        <v>Dunmanway</v>
      </c>
      <c r="L346" s="2" t="str">
        <f>_xlfn.XLOOKUP(F346,customers!A:A,customers!G:G)</f>
        <v>Ireland</v>
      </c>
      <c r="M346" t="str">
        <f>_xlfn.XLOOKUP(G346,products!A:A,products!B:B)</f>
        <v>Rob</v>
      </c>
      <c r="N346" t="str">
        <f>_xlfn.XLOOKUP(G346,products!A:A,products!C:C)</f>
        <v>M</v>
      </c>
      <c r="O346">
        <f>_xlfn.XLOOKUP(G346,products!A:A,products!D:D)</f>
        <v>1</v>
      </c>
      <c r="P346">
        <f>_xlfn.XLOOKUP(G346,products!A:A,products!E:E)</f>
        <v>9.9499999999999993</v>
      </c>
      <c r="Q346">
        <f t="shared" si="23"/>
        <v>19.899999999999999</v>
      </c>
      <c r="R346" t="str" cm="1">
        <f t="array" ref="R346">_xlfn.IFS(Q346&lt;=50,"low sales",Q346&lt;=100,"medium sales",Q346&gt;100,"High sales")</f>
        <v>low sales</v>
      </c>
    </row>
    <row r="347" spans="1:18" x14ac:dyDescent="0.35">
      <c r="A347" s="2" t="s">
        <v>2434</v>
      </c>
      <c r="B347" s="3">
        <v>43849</v>
      </c>
      <c r="C347" s="3" t="str">
        <f t="shared" si="20"/>
        <v>Sunday</v>
      </c>
      <c r="D347" s="3" t="str">
        <f t="shared" si="21"/>
        <v>January</v>
      </c>
      <c r="E347" s="3" t="str">
        <f t="shared" si="22"/>
        <v>2020</v>
      </c>
      <c r="F347" s="2" t="s">
        <v>2435</v>
      </c>
      <c r="G347" t="s">
        <v>6179</v>
      </c>
      <c r="H347" s="2">
        <v>5</v>
      </c>
      <c r="I347" s="2" t="str">
        <f>_xlfn.XLOOKUP(F347,customers!A:A,customers!B:B)</f>
        <v>Ameline Snazle</v>
      </c>
      <c r="J347" s="2" t="str">
        <f>_xlfn.XLOOKUP(F347,customers!A:A,customers!C:C)</f>
        <v>asnazle9l@oracle.com</v>
      </c>
      <c r="K347" s="2" t="str">
        <f>_xlfn.XLOOKUP(F347,customers!A:A,customers!F:F)</f>
        <v>Montgomery</v>
      </c>
      <c r="L347" s="2" t="str">
        <f>_xlfn.XLOOKUP(F347,customers!A:A,customers!G:G)</f>
        <v>United States</v>
      </c>
      <c r="M347" t="str">
        <f>_xlfn.XLOOKUP(G347,products!A:A,products!B:B)</f>
        <v>Rob</v>
      </c>
      <c r="N347" t="str">
        <f>_xlfn.XLOOKUP(G347,products!A:A,products!C:C)</f>
        <v>L</v>
      </c>
      <c r="O347">
        <f>_xlfn.XLOOKUP(G347,products!A:A,products!D:D)</f>
        <v>1</v>
      </c>
      <c r="P347">
        <f>_xlfn.XLOOKUP(G347,products!A:A,products!E:E)</f>
        <v>11.95</v>
      </c>
      <c r="Q347">
        <f t="shared" si="23"/>
        <v>59.75</v>
      </c>
      <c r="R347" t="str" cm="1">
        <f t="array" ref="R347">_xlfn.IFS(Q347&lt;=50,"low sales",Q347&lt;=100,"medium sales",Q347&gt;100,"High sales")</f>
        <v>medium sales</v>
      </c>
    </row>
    <row r="348" spans="1:18" x14ac:dyDescent="0.35">
      <c r="A348" s="2" t="s">
        <v>2440</v>
      </c>
      <c r="B348" s="3">
        <v>44344</v>
      </c>
      <c r="C348" s="3" t="str">
        <f t="shared" si="20"/>
        <v>Friday</v>
      </c>
      <c r="D348" s="3" t="str">
        <f t="shared" si="21"/>
        <v>May</v>
      </c>
      <c r="E348" s="3" t="str">
        <f t="shared" si="22"/>
        <v>2021</v>
      </c>
      <c r="F348" s="2" t="s">
        <v>2441</v>
      </c>
      <c r="G348" t="s">
        <v>6180</v>
      </c>
      <c r="H348" s="2">
        <v>3</v>
      </c>
      <c r="I348" s="2" t="str">
        <f>_xlfn.XLOOKUP(F348,customers!A:A,customers!B:B)</f>
        <v>Rebeka Worg</v>
      </c>
      <c r="J348" s="2" t="str">
        <f>_xlfn.XLOOKUP(F348,customers!A:A,customers!C:C)</f>
        <v>rworg9m@arstechnica.com</v>
      </c>
      <c r="K348" s="2" t="str">
        <f>_xlfn.XLOOKUP(F348,customers!A:A,customers!F:F)</f>
        <v>Dallas</v>
      </c>
      <c r="L348" s="2" t="str">
        <f>_xlfn.XLOOKUP(F348,customers!A:A,customers!G:G)</f>
        <v>United States</v>
      </c>
      <c r="M348" t="str">
        <f>_xlfn.XLOOKUP(G348,products!A:A,products!B:B)</f>
        <v>Ara</v>
      </c>
      <c r="N348" t="str">
        <f>_xlfn.XLOOKUP(G348,products!A:A,products!C:C)</f>
        <v>L</v>
      </c>
      <c r="O348">
        <f>_xlfn.XLOOKUP(G348,products!A:A,products!D:D)</f>
        <v>0.5</v>
      </c>
      <c r="P348">
        <f>_xlfn.XLOOKUP(G348,products!A:A,products!E:E)</f>
        <v>7.77</v>
      </c>
      <c r="Q348">
        <f t="shared" si="23"/>
        <v>23.31</v>
      </c>
      <c r="R348" t="str" cm="1">
        <f t="array" ref="R348">_xlfn.IFS(Q348&lt;=50,"low sales",Q348&lt;=100,"medium sales",Q348&gt;100,"High sales")</f>
        <v>low sales</v>
      </c>
    </row>
    <row r="349" spans="1:18" x14ac:dyDescent="0.35">
      <c r="A349" s="2" t="s">
        <v>2446</v>
      </c>
      <c r="B349" s="3">
        <v>44576</v>
      </c>
      <c r="C349" s="3" t="str">
        <f t="shared" si="20"/>
        <v>Saturday</v>
      </c>
      <c r="D349" s="3" t="str">
        <f t="shared" si="21"/>
        <v>January</v>
      </c>
      <c r="E349" s="3" t="str">
        <f t="shared" si="22"/>
        <v>2022</v>
      </c>
      <c r="F349" s="2" t="s">
        <v>2447</v>
      </c>
      <c r="G349" t="s">
        <v>6162</v>
      </c>
      <c r="H349" s="2">
        <v>3</v>
      </c>
      <c r="I349" s="2" t="str">
        <f>_xlfn.XLOOKUP(F349,customers!A:A,customers!B:B)</f>
        <v>Lewes Danes</v>
      </c>
      <c r="J349" s="2" t="str">
        <f>_xlfn.XLOOKUP(F349,customers!A:A,customers!C:C)</f>
        <v>ldanes9n@umn.edu</v>
      </c>
      <c r="K349" s="2" t="str">
        <f>_xlfn.XLOOKUP(F349,customers!A:A,customers!F:F)</f>
        <v>Topeka</v>
      </c>
      <c r="L349" s="2" t="str">
        <f>_xlfn.XLOOKUP(F349,customers!A:A,customers!G:G)</f>
        <v>United States</v>
      </c>
      <c r="M349" t="str">
        <f>_xlfn.XLOOKUP(G349,products!A:A,products!B:B)</f>
        <v>Lib</v>
      </c>
      <c r="N349" t="str">
        <f>_xlfn.XLOOKUP(G349,products!A:A,products!C:C)</f>
        <v>M</v>
      </c>
      <c r="O349">
        <f>_xlfn.XLOOKUP(G349,products!A:A,products!D:D)</f>
        <v>1</v>
      </c>
      <c r="P349">
        <f>_xlfn.XLOOKUP(G349,products!A:A,products!E:E)</f>
        <v>14.55</v>
      </c>
      <c r="Q349">
        <f t="shared" si="23"/>
        <v>43.650000000000006</v>
      </c>
      <c r="R349" t="str" cm="1">
        <f t="array" ref="R349">_xlfn.IFS(Q349&lt;=50,"low sales",Q349&lt;=100,"medium sales",Q349&gt;100,"High sales")</f>
        <v>low sales</v>
      </c>
    </row>
    <row r="350" spans="1:18" x14ac:dyDescent="0.35">
      <c r="A350" s="2" t="s">
        <v>2452</v>
      </c>
      <c r="B350" s="3">
        <v>43803</v>
      </c>
      <c r="C350" s="3" t="str">
        <f t="shared" si="20"/>
        <v>Wednesday</v>
      </c>
      <c r="D350" s="3" t="str">
        <f t="shared" si="21"/>
        <v>December</v>
      </c>
      <c r="E350" s="3" t="str">
        <f t="shared" si="22"/>
        <v>2019</v>
      </c>
      <c r="F350" s="2" t="s">
        <v>2453</v>
      </c>
      <c r="G350" t="s">
        <v>6148</v>
      </c>
      <c r="H350" s="2">
        <v>6</v>
      </c>
      <c r="I350" s="2" t="str">
        <f>_xlfn.XLOOKUP(F350,customers!A:A,customers!B:B)</f>
        <v>Shelli Keynd</v>
      </c>
      <c r="J350" s="2" t="str">
        <f>_xlfn.XLOOKUP(F350,customers!A:A,customers!C:C)</f>
        <v>skeynd9o@narod.ru</v>
      </c>
      <c r="K350" s="2" t="str">
        <f>_xlfn.XLOOKUP(F350,customers!A:A,customers!F:F)</f>
        <v>Tyler</v>
      </c>
      <c r="L350" s="2" t="str">
        <f>_xlfn.XLOOKUP(F350,customers!A:A,customers!G:G)</f>
        <v>United States</v>
      </c>
      <c r="M350" t="str">
        <f>_xlfn.XLOOKUP(G350,products!A:A,products!B:B)</f>
        <v>Exc</v>
      </c>
      <c r="N350" t="str">
        <f>_xlfn.XLOOKUP(G350,products!A:A,products!C:C)</f>
        <v>L</v>
      </c>
      <c r="O350">
        <f>_xlfn.XLOOKUP(G350,products!A:A,products!D:D)</f>
        <v>2.5</v>
      </c>
      <c r="P350">
        <f>_xlfn.XLOOKUP(G350,products!A:A,products!E:E)</f>
        <v>34.154999999999994</v>
      </c>
      <c r="Q350">
        <f t="shared" si="23"/>
        <v>204.92999999999995</v>
      </c>
      <c r="R350" t="str" cm="1">
        <f t="array" ref="R350">_xlfn.IFS(Q350&lt;=50,"low sales",Q350&lt;=100,"medium sales",Q350&gt;100,"High sales")</f>
        <v>High sales</v>
      </c>
    </row>
    <row r="351" spans="1:18" x14ac:dyDescent="0.35">
      <c r="A351" s="2" t="s">
        <v>2458</v>
      </c>
      <c r="B351" s="3">
        <v>44743</v>
      </c>
      <c r="C351" s="3" t="str">
        <f t="shared" si="20"/>
        <v>Friday</v>
      </c>
      <c r="D351" s="3" t="str">
        <f t="shared" si="21"/>
        <v>July</v>
      </c>
      <c r="E351" s="3" t="str">
        <f t="shared" si="22"/>
        <v>2022</v>
      </c>
      <c r="F351" s="2" t="s">
        <v>2459</v>
      </c>
      <c r="G351" t="s">
        <v>6178</v>
      </c>
      <c r="H351" s="2">
        <v>4</v>
      </c>
      <c r="I351" s="2" t="str">
        <f>_xlfn.XLOOKUP(F351,customers!A:A,customers!B:B)</f>
        <v>Dell Daveridge</v>
      </c>
      <c r="J351" s="2" t="str">
        <f>_xlfn.XLOOKUP(F351,customers!A:A,customers!C:C)</f>
        <v>ddaveridge9p@arstechnica.com</v>
      </c>
      <c r="K351" s="2" t="str">
        <f>_xlfn.XLOOKUP(F351,customers!A:A,customers!F:F)</f>
        <v>Los Angeles</v>
      </c>
      <c r="L351" s="2" t="str">
        <f>_xlfn.XLOOKUP(F351,customers!A:A,customers!G:G)</f>
        <v>United States</v>
      </c>
      <c r="M351" t="str">
        <f>_xlfn.XLOOKUP(G351,products!A:A,products!B:B)</f>
        <v>Rob</v>
      </c>
      <c r="N351" t="str">
        <f>_xlfn.XLOOKUP(G351,products!A:A,products!C:C)</f>
        <v>L</v>
      </c>
      <c r="O351">
        <f>_xlfn.XLOOKUP(G351,products!A:A,products!D:D)</f>
        <v>0.2</v>
      </c>
      <c r="P351">
        <f>_xlfn.XLOOKUP(G351,products!A:A,products!E:E)</f>
        <v>3.5849999999999995</v>
      </c>
      <c r="Q351">
        <f t="shared" si="23"/>
        <v>14.339999999999998</v>
      </c>
      <c r="R351" t="str" cm="1">
        <f t="array" ref="R351">_xlfn.IFS(Q351&lt;=50,"low sales",Q351&lt;=100,"medium sales",Q351&gt;100,"High sales")</f>
        <v>low sales</v>
      </c>
    </row>
    <row r="352" spans="1:18" x14ac:dyDescent="0.35">
      <c r="A352" s="2" t="s">
        <v>2464</v>
      </c>
      <c r="B352" s="3">
        <v>43592</v>
      </c>
      <c r="C352" s="3" t="str">
        <f t="shared" si="20"/>
        <v>Tuesday</v>
      </c>
      <c r="D352" s="3" t="str">
        <f t="shared" si="21"/>
        <v>May</v>
      </c>
      <c r="E352" s="3" t="str">
        <f t="shared" si="22"/>
        <v>2019</v>
      </c>
      <c r="F352" s="2" t="s">
        <v>2465</v>
      </c>
      <c r="G352" t="s">
        <v>6158</v>
      </c>
      <c r="H352" s="2">
        <v>4</v>
      </c>
      <c r="I352" s="2" t="str">
        <f>_xlfn.XLOOKUP(F352,customers!A:A,customers!B:B)</f>
        <v>Joshuah Awdry</v>
      </c>
      <c r="J352" s="2" t="str">
        <f>_xlfn.XLOOKUP(F352,customers!A:A,customers!C:C)</f>
        <v>jawdry9q@utexas.edu</v>
      </c>
      <c r="K352" s="2" t="str">
        <f>_xlfn.XLOOKUP(F352,customers!A:A,customers!F:F)</f>
        <v>Shreveport</v>
      </c>
      <c r="L352" s="2" t="str">
        <f>_xlfn.XLOOKUP(F352,customers!A:A,customers!G:G)</f>
        <v>United States</v>
      </c>
      <c r="M352" t="str">
        <f>_xlfn.XLOOKUP(G352,products!A:A,products!B:B)</f>
        <v>Ara</v>
      </c>
      <c r="N352" t="str">
        <f>_xlfn.XLOOKUP(G352,products!A:A,products!C:C)</f>
        <v>D</v>
      </c>
      <c r="O352">
        <f>_xlfn.XLOOKUP(G352,products!A:A,products!D:D)</f>
        <v>0.5</v>
      </c>
      <c r="P352">
        <f>_xlfn.XLOOKUP(G352,products!A:A,products!E:E)</f>
        <v>5.97</v>
      </c>
      <c r="Q352">
        <f t="shared" si="23"/>
        <v>23.88</v>
      </c>
      <c r="R352" t="str" cm="1">
        <f t="array" ref="R352">_xlfn.IFS(Q352&lt;=50,"low sales",Q352&lt;=100,"medium sales",Q352&gt;100,"High sales")</f>
        <v>low sales</v>
      </c>
    </row>
    <row r="353" spans="1:18" x14ac:dyDescent="0.35">
      <c r="A353" s="2" t="s">
        <v>2470</v>
      </c>
      <c r="B353" s="3">
        <v>44066</v>
      </c>
      <c r="C353" s="3" t="str">
        <f t="shared" si="20"/>
        <v>Sunday</v>
      </c>
      <c r="D353" s="3" t="str">
        <f t="shared" si="21"/>
        <v>August</v>
      </c>
      <c r="E353" s="3" t="str">
        <f t="shared" si="22"/>
        <v>2020</v>
      </c>
      <c r="F353" s="2" t="s">
        <v>2471</v>
      </c>
      <c r="G353" t="s">
        <v>6155</v>
      </c>
      <c r="H353" s="2">
        <v>2</v>
      </c>
      <c r="I353" s="2" t="str">
        <f>_xlfn.XLOOKUP(F353,customers!A:A,customers!B:B)</f>
        <v>Ethel Ryles</v>
      </c>
      <c r="J353" s="2" t="str">
        <f>_xlfn.XLOOKUP(F353,customers!A:A,customers!C:C)</f>
        <v>eryles9r@fastcompany.com</v>
      </c>
      <c r="K353" s="2" t="str">
        <f>_xlfn.XLOOKUP(F353,customers!A:A,customers!F:F)</f>
        <v>Boise</v>
      </c>
      <c r="L353" s="2" t="str">
        <f>_xlfn.XLOOKUP(F353,customers!A:A,customers!G:G)</f>
        <v>United States</v>
      </c>
      <c r="M353" t="str">
        <f>_xlfn.XLOOKUP(G353,products!A:A,products!B:B)</f>
        <v>Ara</v>
      </c>
      <c r="N353" t="str">
        <f>_xlfn.XLOOKUP(G353,products!A:A,products!C:C)</f>
        <v>M</v>
      </c>
      <c r="O353">
        <f>_xlfn.XLOOKUP(G353,products!A:A,products!D:D)</f>
        <v>1</v>
      </c>
      <c r="P353">
        <f>_xlfn.XLOOKUP(G353,products!A:A,products!E:E)</f>
        <v>11.25</v>
      </c>
      <c r="Q353">
        <f t="shared" si="23"/>
        <v>22.5</v>
      </c>
      <c r="R353" t="str" cm="1">
        <f t="array" ref="R353">_xlfn.IFS(Q353&lt;=50,"low sales",Q353&lt;=100,"medium sales",Q353&gt;100,"High sales")</f>
        <v>low sales</v>
      </c>
    </row>
    <row r="354" spans="1:18" x14ac:dyDescent="0.35">
      <c r="A354" s="2" t="s">
        <v>2476</v>
      </c>
      <c r="B354" s="3">
        <v>43984</v>
      </c>
      <c r="C354" s="3" t="str">
        <f t="shared" si="20"/>
        <v>Tuesday</v>
      </c>
      <c r="D354" s="3" t="str">
        <f t="shared" si="21"/>
        <v>June</v>
      </c>
      <c r="E354" s="3" t="str">
        <f t="shared" si="22"/>
        <v>2020</v>
      </c>
      <c r="F354" s="2" t="s">
        <v>2331</v>
      </c>
      <c r="G354" t="s">
        <v>6144</v>
      </c>
      <c r="H354" s="2">
        <v>5</v>
      </c>
      <c r="I354" s="2" t="str">
        <f>_xlfn.XLOOKUP(F354,customers!A:A,customers!B:B)</f>
        <v>Flynn Antony</v>
      </c>
      <c r="J354" s="2">
        <f>_xlfn.XLOOKUP(F354,customers!A:A,customers!C:C)</f>
        <v>0</v>
      </c>
      <c r="K354" s="2" t="str">
        <f>_xlfn.XLOOKUP(F354,customers!A:A,customers!F:F)</f>
        <v>Birmingham</v>
      </c>
      <c r="L354" s="2" t="str">
        <f>_xlfn.XLOOKUP(F354,customers!A:A,customers!G:G)</f>
        <v>United States</v>
      </c>
      <c r="M354" t="str">
        <f>_xlfn.XLOOKUP(G354,products!A:A,products!B:B)</f>
        <v>Exc</v>
      </c>
      <c r="N354" t="str">
        <f>_xlfn.XLOOKUP(G354,products!A:A,products!C:C)</f>
        <v>D</v>
      </c>
      <c r="O354">
        <f>_xlfn.XLOOKUP(G354,products!A:A,products!D:D)</f>
        <v>0.5</v>
      </c>
      <c r="P354">
        <f>_xlfn.XLOOKUP(G354,products!A:A,products!E:E)</f>
        <v>7.29</v>
      </c>
      <c r="Q354">
        <f t="shared" si="23"/>
        <v>36.450000000000003</v>
      </c>
      <c r="R354" t="str" cm="1">
        <f t="array" ref="R354">_xlfn.IFS(Q354&lt;=50,"low sales",Q354&lt;=100,"medium sales",Q354&gt;100,"High sales")</f>
        <v>low sales</v>
      </c>
    </row>
    <row r="355" spans="1:18" x14ac:dyDescent="0.35">
      <c r="A355" s="2" t="s">
        <v>2482</v>
      </c>
      <c r="B355" s="3">
        <v>43860</v>
      </c>
      <c r="C355" s="3" t="str">
        <f t="shared" si="20"/>
        <v>Thursday</v>
      </c>
      <c r="D355" s="3" t="str">
        <f t="shared" si="21"/>
        <v>January</v>
      </c>
      <c r="E355" s="3" t="str">
        <f t="shared" si="22"/>
        <v>2020</v>
      </c>
      <c r="F355" s="2" t="s">
        <v>2483</v>
      </c>
      <c r="G355" t="s">
        <v>6157</v>
      </c>
      <c r="H355" s="2">
        <v>4</v>
      </c>
      <c r="I355" s="2" t="str">
        <f>_xlfn.XLOOKUP(F355,customers!A:A,customers!B:B)</f>
        <v>Maitilde Boxill</v>
      </c>
      <c r="J355" s="2">
        <f>_xlfn.XLOOKUP(F355,customers!A:A,customers!C:C)</f>
        <v>0</v>
      </c>
      <c r="K355" s="2" t="str">
        <f>_xlfn.XLOOKUP(F355,customers!A:A,customers!F:F)</f>
        <v>Montgomery</v>
      </c>
      <c r="L355" s="2" t="str">
        <f>_xlfn.XLOOKUP(F355,customers!A:A,customers!G:G)</f>
        <v>United States</v>
      </c>
      <c r="M355" t="str">
        <f>_xlfn.XLOOKUP(G355,products!A:A,products!B:B)</f>
        <v>Ara</v>
      </c>
      <c r="N355" t="str">
        <f>_xlfn.XLOOKUP(G355,products!A:A,products!C:C)</f>
        <v>M</v>
      </c>
      <c r="O355">
        <f>_xlfn.XLOOKUP(G355,products!A:A,products!D:D)</f>
        <v>0.5</v>
      </c>
      <c r="P355">
        <f>_xlfn.XLOOKUP(G355,products!A:A,products!E:E)</f>
        <v>6.75</v>
      </c>
      <c r="Q355">
        <f t="shared" si="23"/>
        <v>27</v>
      </c>
      <c r="R355" t="str" cm="1">
        <f t="array" ref="R355">_xlfn.IFS(Q355&lt;=50,"low sales",Q355&lt;=100,"medium sales",Q355&gt;100,"High sales")</f>
        <v>low sales</v>
      </c>
    </row>
    <row r="356" spans="1:18" x14ac:dyDescent="0.35">
      <c r="A356" s="2" t="s">
        <v>2487</v>
      </c>
      <c r="B356" s="3">
        <v>43876</v>
      </c>
      <c r="C356" s="3" t="str">
        <f t="shared" si="20"/>
        <v>Saturday</v>
      </c>
      <c r="D356" s="3" t="str">
        <f t="shared" si="21"/>
        <v>February</v>
      </c>
      <c r="E356" s="3" t="str">
        <f t="shared" si="22"/>
        <v>2020</v>
      </c>
      <c r="F356" s="2" t="s">
        <v>2488</v>
      </c>
      <c r="G356" t="s">
        <v>6175</v>
      </c>
      <c r="H356" s="2">
        <v>6</v>
      </c>
      <c r="I356" s="2" t="str">
        <f>_xlfn.XLOOKUP(F356,customers!A:A,customers!B:B)</f>
        <v>Jodee Caldicott</v>
      </c>
      <c r="J356" s="2" t="str">
        <f>_xlfn.XLOOKUP(F356,customers!A:A,customers!C:C)</f>
        <v>jcaldicott9u@usda.gov</v>
      </c>
      <c r="K356" s="2" t="str">
        <f>_xlfn.XLOOKUP(F356,customers!A:A,customers!F:F)</f>
        <v>Fort Pierce</v>
      </c>
      <c r="L356" s="2" t="str">
        <f>_xlfn.XLOOKUP(F356,customers!A:A,customers!G:G)</f>
        <v>United States</v>
      </c>
      <c r="M356" t="str">
        <f>_xlfn.XLOOKUP(G356,products!A:A,products!B:B)</f>
        <v>Ara</v>
      </c>
      <c r="N356" t="str">
        <f>_xlfn.XLOOKUP(G356,products!A:A,products!C:C)</f>
        <v>M</v>
      </c>
      <c r="O356">
        <f>_xlfn.XLOOKUP(G356,products!A:A,products!D:D)</f>
        <v>2.5</v>
      </c>
      <c r="P356">
        <f>_xlfn.XLOOKUP(G356,products!A:A,products!E:E)</f>
        <v>25.874999999999996</v>
      </c>
      <c r="Q356">
        <f t="shared" si="23"/>
        <v>155.24999999999997</v>
      </c>
      <c r="R356" t="str" cm="1">
        <f t="array" ref="R356">_xlfn.IFS(Q356&lt;=50,"low sales",Q356&lt;=100,"medium sales",Q356&gt;100,"High sales")</f>
        <v>High sales</v>
      </c>
    </row>
    <row r="357" spans="1:18" x14ac:dyDescent="0.35">
      <c r="A357" s="2" t="s">
        <v>2492</v>
      </c>
      <c r="B357" s="3">
        <v>44358</v>
      </c>
      <c r="C357" s="3" t="str">
        <f t="shared" si="20"/>
        <v>Friday</v>
      </c>
      <c r="D357" s="3" t="str">
        <f t="shared" si="21"/>
        <v>June</v>
      </c>
      <c r="E357" s="3" t="str">
        <f t="shared" si="22"/>
        <v>2021</v>
      </c>
      <c r="F357" s="2" t="s">
        <v>2493</v>
      </c>
      <c r="G357" t="s">
        <v>6168</v>
      </c>
      <c r="H357" s="2">
        <v>5</v>
      </c>
      <c r="I357" s="2" t="str">
        <f>_xlfn.XLOOKUP(F357,customers!A:A,customers!B:B)</f>
        <v>Marianna Vedmore</v>
      </c>
      <c r="J357" s="2" t="str">
        <f>_xlfn.XLOOKUP(F357,customers!A:A,customers!C:C)</f>
        <v>mvedmore9v@a8.net</v>
      </c>
      <c r="K357" s="2" t="str">
        <f>_xlfn.XLOOKUP(F357,customers!A:A,customers!F:F)</f>
        <v>Greensboro</v>
      </c>
      <c r="L357" s="2" t="str">
        <f>_xlfn.XLOOKUP(F357,customers!A:A,customers!G:G)</f>
        <v>United States</v>
      </c>
      <c r="M357" t="str">
        <f>_xlfn.XLOOKUP(G357,products!A:A,products!B:B)</f>
        <v>Ara</v>
      </c>
      <c r="N357" t="str">
        <f>_xlfn.XLOOKUP(G357,products!A:A,products!C:C)</f>
        <v>D</v>
      </c>
      <c r="O357">
        <f>_xlfn.XLOOKUP(G357,products!A:A,products!D:D)</f>
        <v>2.5</v>
      </c>
      <c r="P357">
        <f>_xlfn.XLOOKUP(G357,products!A:A,products!E:E)</f>
        <v>22.884999999999998</v>
      </c>
      <c r="Q357">
        <f t="shared" si="23"/>
        <v>114.42499999999998</v>
      </c>
      <c r="R357" t="str" cm="1">
        <f t="array" ref="R357">_xlfn.IFS(Q357&lt;=50,"low sales",Q357&lt;=100,"medium sales",Q357&gt;100,"High sales")</f>
        <v>High sales</v>
      </c>
    </row>
    <row r="358" spans="1:18" x14ac:dyDescent="0.35">
      <c r="A358" s="2" t="s">
        <v>2498</v>
      </c>
      <c r="B358" s="3">
        <v>44631</v>
      </c>
      <c r="C358" s="3" t="str">
        <f t="shared" si="20"/>
        <v>Friday</v>
      </c>
      <c r="D358" s="3" t="str">
        <f t="shared" si="21"/>
        <v>March</v>
      </c>
      <c r="E358" s="3" t="str">
        <f t="shared" si="22"/>
        <v>2022</v>
      </c>
      <c r="F358" s="2" t="s">
        <v>2499</v>
      </c>
      <c r="G358" t="s">
        <v>6143</v>
      </c>
      <c r="H358" s="2">
        <v>4</v>
      </c>
      <c r="I358" s="2" t="str">
        <f>_xlfn.XLOOKUP(F358,customers!A:A,customers!B:B)</f>
        <v>Willey Romao</v>
      </c>
      <c r="J358" s="2" t="str">
        <f>_xlfn.XLOOKUP(F358,customers!A:A,customers!C:C)</f>
        <v>wromao9w@chronoengine.com</v>
      </c>
      <c r="K358" s="2" t="str">
        <f>_xlfn.XLOOKUP(F358,customers!A:A,customers!F:F)</f>
        <v>Sacramento</v>
      </c>
      <c r="L358" s="2" t="str">
        <f>_xlfn.XLOOKUP(F358,customers!A:A,customers!G:G)</f>
        <v>United States</v>
      </c>
      <c r="M358" t="str">
        <f>_xlfn.XLOOKUP(G358,products!A:A,products!B:B)</f>
        <v>Lib</v>
      </c>
      <c r="N358" t="str">
        <f>_xlfn.XLOOKUP(G358,products!A:A,products!C:C)</f>
        <v>D</v>
      </c>
      <c r="O358">
        <f>_xlfn.XLOOKUP(G358,products!A:A,products!D:D)</f>
        <v>1</v>
      </c>
      <c r="P358">
        <f>_xlfn.XLOOKUP(G358,products!A:A,products!E:E)</f>
        <v>12.95</v>
      </c>
      <c r="Q358">
        <f t="shared" si="23"/>
        <v>51.8</v>
      </c>
      <c r="R358" t="str" cm="1">
        <f t="array" ref="R358">_xlfn.IFS(Q358&lt;=50,"low sales",Q358&lt;=100,"medium sales",Q358&gt;100,"High sales")</f>
        <v>medium sales</v>
      </c>
    </row>
    <row r="359" spans="1:18" x14ac:dyDescent="0.35">
      <c r="A359" s="2" t="s">
        <v>2504</v>
      </c>
      <c r="B359" s="3">
        <v>44448</v>
      </c>
      <c r="C359" s="3" t="str">
        <f t="shared" si="20"/>
        <v>Thursday</v>
      </c>
      <c r="D359" s="3" t="str">
        <f t="shared" si="21"/>
        <v>September</v>
      </c>
      <c r="E359" s="3" t="str">
        <f t="shared" si="22"/>
        <v>2021</v>
      </c>
      <c r="F359" s="2" t="s">
        <v>2505</v>
      </c>
      <c r="G359" t="s">
        <v>6175</v>
      </c>
      <c r="H359" s="2">
        <v>6</v>
      </c>
      <c r="I359" s="2" t="str">
        <f>_xlfn.XLOOKUP(F359,customers!A:A,customers!B:B)</f>
        <v>Enriqueta Ixor</v>
      </c>
      <c r="J359" s="2">
        <f>_xlfn.XLOOKUP(F359,customers!A:A,customers!C:C)</f>
        <v>0</v>
      </c>
      <c r="K359" s="2" t="str">
        <f>_xlfn.XLOOKUP(F359,customers!A:A,customers!F:F)</f>
        <v>Round Rock</v>
      </c>
      <c r="L359" s="2" t="str">
        <f>_xlfn.XLOOKUP(F359,customers!A:A,customers!G:G)</f>
        <v>United States</v>
      </c>
      <c r="M359" t="str">
        <f>_xlfn.XLOOKUP(G359,products!A:A,products!B:B)</f>
        <v>Ara</v>
      </c>
      <c r="N359" t="str">
        <f>_xlfn.XLOOKUP(G359,products!A:A,products!C:C)</f>
        <v>M</v>
      </c>
      <c r="O359">
        <f>_xlfn.XLOOKUP(G359,products!A:A,products!D:D)</f>
        <v>2.5</v>
      </c>
      <c r="P359">
        <f>_xlfn.XLOOKUP(G359,products!A:A,products!E:E)</f>
        <v>25.874999999999996</v>
      </c>
      <c r="Q359">
        <f t="shared" si="23"/>
        <v>155.24999999999997</v>
      </c>
      <c r="R359" t="str" cm="1">
        <f t="array" ref="R359">_xlfn.IFS(Q359&lt;=50,"low sales",Q359&lt;=100,"medium sales",Q359&gt;100,"High sales")</f>
        <v>High sales</v>
      </c>
    </row>
    <row r="360" spans="1:18" x14ac:dyDescent="0.35">
      <c r="A360" s="2" t="s">
        <v>2509</v>
      </c>
      <c r="B360" s="3">
        <v>43599</v>
      </c>
      <c r="C360" s="3" t="str">
        <f t="shared" si="20"/>
        <v>Tuesday</v>
      </c>
      <c r="D360" s="3" t="str">
        <f t="shared" si="21"/>
        <v>May</v>
      </c>
      <c r="E360" s="3" t="str">
        <f t="shared" si="22"/>
        <v>2019</v>
      </c>
      <c r="F360" s="2" t="s">
        <v>2510</v>
      </c>
      <c r="G360" t="s">
        <v>6182</v>
      </c>
      <c r="H360" s="2">
        <v>1</v>
      </c>
      <c r="I360" s="2" t="str">
        <f>_xlfn.XLOOKUP(F360,customers!A:A,customers!B:B)</f>
        <v>Tomasina Cotmore</v>
      </c>
      <c r="J360" s="2" t="str">
        <f>_xlfn.XLOOKUP(F360,customers!A:A,customers!C:C)</f>
        <v>tcotmore9y@amazonaws.com</v>
      </c>
      <c r="K360" s="2" t="str">
        <f>_xlfn.XLOOKUP(F360,customers!A:A,customers!F:F)</f>
        <v>Reston</v>
      </c>
      <c r="L360" s="2" t="str">
        <f>_xlfn.XLOOKUP(F360,customers!A:A,customers!G:G)</f>
        <v>United States</v>
      </c>
      <c r="M360" t="str">
        <f>_xlfn.XLOOKUP(G360,products!A:A,products!B:B)</f>
        <v>Ara</v>
      </c>
      <c r="N360" t="str">
        <f>_xlfn.XLOOKUP(G360,products!A:A,products!C:C)</f>
        <v>L</v>
      </c>
      <c r="O360">
        <f>_xlfn.XLOOKUP(G360,products!A:A,products!D:D)</f>
        <v>2.5</v>
      </c>
      <c r="P360">
        <f>_xlfn.XLOOKUP(G360,products!A:A,products!E:E)</f>
        <v>29.784999999999997</v>
      </c>
      <c r="Q360">
        <f t="shared" si="23"/>
        <v>29.784999999999997</v>
      </c>
      <c r="R360" t="str" cm="1">
        <f t="array" ref="R360">_xlfn.IFS(Q360&lt;=50,"low sales",Q360&lt;=100,"medium sales",Q360&gt;100,"High sales")</f>
        <v>low sales</v>
      </c>
    </row>
    <row r="361" spans="1:18" x14ac:dyDescent="0.35">
      <c r="A361" s="2" t="s">
        <v>2515</v>
      </c>
      <c r="B361" s="3">
        <v>43563</v>
      </c>
      <c r="C361" s="3" t="str">
        <f t="shared" si="20"/>
        <v>Monday</v>
      </c>
      <c r="D361" s="3" t="str">
        <f t="shared" si="21"/>
        <v>April</v>
      </c>
      <c r="E361" s="3" t="str">
        <f t="shared" si="22"/>
        <v>2019</v>
      </c>
      <c r="F361" s="2" t="s">
        <v>2516</v>
      </c>
      <c r="G361" t="s">
        <v>6178</v>
      </c>
      <c r="H361" s="2">
        <v>6</v>
      </c>
      <c r="I361" s="2" t="str">
        <f>_xlfn.XLOOKUP(F361,customers!A:A,customers!B:B)</f>
        <v>Yuma Skipsey</v>
      </c>
      <c r="J361" s="2" t="str">
        <f>_xlfn.XLOOKUP(F361,customers!A:A,customers!C:C)</f>
        <v>yskipsey9z@spotify.com</v>
      </c>
      <c r="K361" s="2" t="str">
        <f>_xlfn.XLOOKUP(F361,customers!A:A,customers!F:F)</f>
        <v>Charlton</v>
      </c>
      <c r="L361" s="2" t="str">
        <f>_xlfn.XLOOKUP(F361,customers!A:A,customers!G:G)</f>
        <v>United Kingdom</v>
      </c>
      <c r="M361" t="str">
        <f>_xlfn.XLOOKUP(G361,products!A:A,products!B:B)</f>
        <v>Rob</v>
      </c>
      <c r="N361" t="str">
        <f>_xlfn.XLOOKUP(G361,products!A:A,products!C:C)</f>
        <v>L</v>
      </c>
      <c r="O361">
        <f>_xlfn.XLOOKUP(G361,products!A:A,products!D:D)</f>
        <v>0.2</v>
      </c>
      <c r="P361">
        <f>_xlfn.XLOOKUP(G361,products!A:A,products!E:E)</f>
        <v>3.5849999999999995</v>
      </c>
      <c r="Q361">
        <f t="shared" si="23"/>
        <v>21.509999999999998</v>
      </c>
      <c r="R361" t="str" cm="1">
        <f t="array" ref="R361">_xlfn.IFS(Q361&lt;=50,"low sales",Q361&lt;=100,"medium sales",Q361&gt;100,"High sales")</f>
        <v>low sales</v>
      </c>
    </row>
    <row r="362" spans="1:18" x14ac:dyDescent="0.35">
      <c r="A362" s="2" t="s">
        <v>2521</v>
      </c>
      <c r="B362" s="3">
        <v>44058</v>
      </c>
      <c r="C362" s="3" t="str">
        <f t="shared" si="20"/>
        <v>Saturday</v>
      </c>
      <c r="D362" s="3" t="str">
        <f t="shared" si="21"/>
        <v>August</v>
      </c>
      <c r="E362" s="3" t="str">
        <f t="shared" si="22"/>
        <v>2020</v>
      </c>
      <c r="F362" s="2" t="s">
        <v>2522</v>
      </c>
      <c r="G362" t="s">
        <v>6149</v>
      </c>
      <c r="H362" s="2">
        <v>2</v>
      </c>
      <c r="I362" s="2" t="str">
        <f>_xlfn.XLOOKUP(F362,customers!A:A,customers!B:B)</f>
        <v>Nicko Corps</v>
      </c>
      <c r="J362" s="2" t="str">
        <f>_xlfn.XLOOKUP(F362,customers!A:A,customers!C:C)</f>
        <v>ncorpsa0@gmpg.org</v>
      </c>
      <c r="K362" s="2" t="str">
        <f>_xlfn.XLOOKUP(F362,customers!A:A,customers!F:F)</f>
        <v>Columbia</v>
      </c>
      <c r="L362" s="2" t="str">
        <f>_xlfn.XLOOKUP(F362,customers!A:A,customers!G:G)</f>
        <v>United States</v>
      </c>
      <c r="M362" t="str">
        <f>_xlfn.XLOOKUP(G362,products!A:A,products!B:B)</f>
        <v>Rob</v>
      </c>
      <c r="N362" t="str">
        <f>_xlfn.XLOOKUP(G362,products!A:A,products!C:C)</f>
        <v>D</v>
      </c>
      <c r="O362">
        <f>_xlfn.XLOOKUP(G362,products!A:A,products!D:D)</f>
        <v>2.5</v>
      </c>
      <c r="P362">
        <f>_xlfn.XLOOKUP(G362,products!A:A,products!E:E)</f>
        <v>20.584999999999997</v>
      </c>
      <c r="Q362">
        <f t="shared" si="23"/>
        <v>41.169999999999995</v>
      </c>
      <c r="R362" t="str" cm="1">
        <f t="array" ref="R362">_xlfn.IFS(Q362&lt;=50,"low sales",Q362&lt;=100,"medium sales",Q362&gt;100,"High sales")</f>
        <v>low sales</v>
      </c>
    </row>
    <row r="363" spans="1:18" x14ac:dyDescent="0.35">
      <c r="A363" s="2" t="s">
        <v>2521</v>
      </c>
      <c r="B363" s="3">
        <v>44058</v>
      </c>
      <c r="C363" s="3" t="str">
        <f t="shared" si="20"/>
        <v>Saturday</v>
      </c>
      <c r="D363" s="3" t="str">
        <f t="shared" si="21"/>
        <v>August</v>
      </c>
      <c r="E363" s="3" t="str">
        <f t="shared" si="22"/>
        <v>2020</v>
      </c>
      <c r="F363" s="2" t="s">
        <v>2522</v>
      </c>
      <c r="G363" t="s">
        <v>6146</v>
      </c>
      <c r="H363" s="2">
        <v>1</v>
      </c>
      <c r="I363" s="2" t="str">
        <f>_xlfn.XLOOKUP(F363,customers!A:A,customers!B:B)</f>
        <v>Nicko Corps</v>
      </c>
      <c r="J363" s="2" t="str">
        <f>_xlfn.XLOOKUP(F363,customers!A:A,customers!C:C)</f>
        <v>ncorpsa0@gmpg.org</v>
      </c>
      <c r="K363" s="2" t="str">
        <f>_xlfn.XLOOKUP(F363,customers!A:A,customers!F:F)</f>
        <v>Columbia</v>
      </c>
      <c r="L363" s="2" t="str">
        <f>_xlfn.XLOOKUP(F363,customers!A:A,customers!G:G)</f>
        <v>United States</v>
      </c>
      <c r="M363" t="str">
        <f>_xlfn.XLOOKUP(G363,products!A:A,products!B:B)</f>
        <v>Rob</v>
      </c>
      <c r="N363" t="str">
        <f>_xlfn.XLOOKUP(G363,products!A:A,products!C:C)</f>
        <v>M</v>
      </c>
      <c r="O363">
        <f>_xlfn.XLOOKUP(G363,products!A:A,products!D:D)</f>
        <v>0.5</v>
      </c>
      <c r="P363">
        <f>_xlfn.XLOOKUP(G363,products!A:A,products!E:E)</f>
        <v>5.97</v>
      </c>
      <c r="Q363">
        <f t="shared" si="23"/>
        <v>5.97</v>
      </c>
      <c r="R363" t="str" cm="1">
        <f t="array" ref="R363">_xlfn.IFS(Q363&lt;=50,"low sales",Q363&lt;=100,"medium sales",Q363&gt;100,"High sales")</f>
        <v>low sales</v>
      </c>
    </row>
    <row r="364" spans="1:18" x14ac:dyDescent="0.35">
      <c r="A364" s="2" t="s">
        <v>2532</v>
      </c>
      <c r="B364" s="3">
        <v>44686</v>
      </c>
      <c r="C364" s="3" t="str">
        <f t="shared" si="20"/>
        <v>Thursday</v>
      </c>
      <c r="D364" s="3" t="str">
        <f t="shared" si="21"/>
        <v>May</v>
      </c>
      <c r="E364" s="3" t="str">
        <f t="shared" si="22"/>
        <v>2022</v>
      </c>
      <c r="F364" s="2" t="s">
        <v>2533</v>
      </c>
      <c r="G364" t="s">
        <v>6171</v>
      </c>
      <c r="H364" s="2">
        <v>5</v>
      </c>
      <c r="I364" s="2" t="str">
        <f>_xlfn.XLOOKUP(F364,customers!A:A,customers!B:B)</f>
        <v>Feliks Babber</v>
      </c>
      <c r="J364" s="2" t="str">
        <f>_xlfn.XLOOKUP(F364,customers!A:A,customers!C:C)</f>
        <v>fbabbera2@stanford.edu</v>
      </c>
      <c r="K364" s="2" t="str">
        <f>_xlfn.XLOOKUP(F364,customers!A:A,customers!F:F)</f>
        <v>Phoenix</v>
      </c>
      <c r="L364" s="2" t="str">
        <f>_xlfn.XLOOKUP(F364,customers!A:A,customers!G:G)</f>
        <v>United States</v>
      </c>
      <c r="M364" t="str">
        <f>_xlfn.XLOOKUP(G364,products!A:A,products!B:B)</f>
        <v>Exc</v>
      </c>
      <c r="N364" t="str">
        <f>_xlfn.XLOOKUP(G364,products!A:A,products!C:C)</f>
        <v>L</v>
      </c>
      <c r="O364">
        <f>_xlfn.XLOOKUP(G364,products!A:A,products!D:D)</f>
        <v>1</v>
      </c>
      <c r="P364">
        <f>_xlfn.XLOOKUP(G364,products!A:A,products!E:E)</f>
        <v>14.85</v>
      </c>
      <c r="Q364">
        <f t="shared" si="23"/>
        <v>74.25</v>
      </c>
      <c r="R364" t="str" cm="1">
        <f t="array" ref="R364">_xlfn.IFS(Q364&lt;=50,"low sales",Q364&lt;=100,"medium sales",Q364&gt;100,"High sales")</f>
        <v>medium sales</v>
      </c>
    </row>
    <row r="365" spans="1:18" x14ac:dyDescent="0.35">
      <c r="A365" s="2" t="s">
        <v>2538</v>
      </c>
      <c r="B365" s="3">
        <v>44282</v>
      </c>
      <c r="C365" s="3" t="str">
        <f t="shared" si="20"/>
        <v>Saturday</v>
      </c>
      <c r="D365" s="3" t="str">
        <f t="shared" si="21"/>
        <v>March</v>
      </c>
      <c r="E365" s="3" t="str">
        <f t="shared" si="22"/>
        <v>2021</v>
      </c>
      <c r="F365" s="2" t="s">
        <v>2539</v>
      </c>
      <c r="G365" t="s">
        <v>6162</v>
      </c>
      <c r="H365" s="2">
        <v>6</v>
      </c>
      <c r="I365" s="2" t="str">
        <f>_xlfn.XLOOKUP(F365,customers!A:A,customers!B:B)</f>
        <v>Kaja Loxton</v>
      </c>
      <c r="J365" s="2" t="str">
        <f>_xlfn.XLOOKUP(F365,customers!A:A,customers!C:C)</f>
        <v>kloxtona3@opensource.org</v>
      </c>
      <c r="K365" s="2" t="str">
        <f>_xlfn.XLOOKUP(F365,customers!A:A,customers!F:F)</f>
        <v>Miami</v>
      </c>
      <c r="L365" s="2" t="str">
        <f>_xlfn.XLOOKUP(F365,customers!A:A,customers!G:G)</f>
        <v>United States</v>
      </c>
      <c r="M365" t="str">
        <f>_xlfn.XLOOKUP(G365,products!A:A,products!B:B)</f>
        <v>Lib</v>
      </c>
      <c r="N365" t="str">
        <f>_xlfn.XLOOKUP(G365,products!A:A,products!C:C)</f>
        <v>M</v>
      </c>
      <c r="O365">
        <f>_xlfn.XLOOKUP(G365,products!A:A,products!D:D)</f>
        <v>1</v>
      </c>
      <c r="P365">
        <f>_xlfn.XLOOKUP(G365,products!A:A,products!E:E)</f>
        <v>14.55</v>
      </c>
      <c r="Q365">
        <f t="shared" si="23"/>
        <v>87.300000000000011</v>
      </c>
      <c r="R365" t="str" cm="1">
        <f t="array" ref="R365">_xlfn.IFS(Q365&lt;=50,"low sales",Q365&lt;=100,"medium sales",Q365&gt;100,"High sales")</f>
        <v>medium sales</v>
      </c>
    </row>
    <row r="366" spans="1:18" x14ac:dyDescent="0.35">
      <c r="A366" s="2" t="s">
        <v>2543</v>
      </c>
      <c r="B366" s="3">
        <v>43582</v>
      </c>
      <c r="C366" s="3" t="str">
        <f t="shared" si="20"/>
        <v>Saturday</v>
      </c>
      <c r="D366" s="3" t="str">
        <f t="shared" si="21"/>
        <v>April</v>
      </c>
      <c r="E366" s="3" t="str">
        <f t="shared" si="22"/>
        <v>2019</v>
      </c>
      <c r="F366" s="2" t="s">
        <v>2544</v>
      </c>
      <c r="G366" t="s">
        <v>6183</v>
      </c>
      <c r="H366" s="2">
        <v>6</v>
      </c>
      <c r="I366" s="2" t="str">
        <f>_xlfn.XLOOKUP(F366,customers!A:A,customers!B:B)</f>
        <v>Parker Tofful</v>
      </c>
      <c r="J366" s="2" t="str">
        <f>_xlfn.XLOOKUP(F366,customers!A:A,customers!C:C)</f>
        <v>ptoffula4@posterous.com</v>
      </c>
      <c r="K366" s="2" t="str">
        <f>_xlfn.XLOOKUP(F366,customers!A:A,customers!F:F)</f>
        <v>Fresno</v>
      </c>
      <c r="L366" s="2" t="str">
        <f>_xlfn.XLOOKUP(F366,customers!A:A,customers!G:G)</f>
        <v>United States</v>
      </c>
      <c r="M366" t="str">
        <f>_xlfn.XLOOKUP(G366,products!A:A,products!B:B)</f>
        <v>Exc</v>
      </c>
      <c r="N366" t="str">
        <f>_xlfn.XLOOKUP(G366,products!A:A,products!C:C)</f>
        <v>D</v>
      </c>
      <c r="O366">
        <f>_xlfn.XLOOKUP(G366,products!A:A,products!D:D)</f>
        <v>1</v>
      </c>
      <c r="P366">
        <f>_xlfn.XLOOKUP(G366,products!A:A,products!E:E)</f>
        <v>12.15</v>
      </c>
      <c r="Q366">
        <f t="shared" si="23"/>
        <v>72.900000000000006</v>
      </c>
      <c r="R366" t="str" cm="1">
        <f t="array" ref="R366">_xlfn.IFS(Q366&lt;=50,"low sales",Q366&lt;=100,"medium sales",Q366&gt;100,"High sales")</f>
        <v>medium sales</v>
      </c>
    </row>
    <row r="367" spans="1:18" x14ac:dyDescent="0.35">
      <c r="A367" s="2" t="s">
        <v>2549</v>
      </c>
      <c r="B367" s="3">
        <v>44464</v>
      </c>
      <c r="C367" s="3" t="str">
        <f t="shared" si="20"/>
        <v>Saturday</v>
      </c>
      <c r="D367" s="3" t="str">
        <f t="shared" si="21"/>
        <v>September</v>
      </c>
      <c r="E367" s="3" t="str">
        <f t="shared" si="22"/>
        <v>2021</v>
      </c>
      <c r="F367" s="2" t="s">
        <v>2550</v>
      </c>
      <c r="G367" t="s">
        <v>6169</v>
      </c>
      <c r="H367" s="2">
        <v>1</v>
      </c>
      <c r="I367" s="2" t="str">
        <f>_xlfn.XLOOKUP(F367,customers!A:A,customers!B:B)</f>
        <v>Casi Gwinnett</v>
      </c>
      <c r="J367" s="2" t="str">
        <f>_xlfn.XLOOKUP(F367,customers!A:A,customers!C:C)</f>
        <v>cgwinnetta5@behance.net</v>
      </c>
      <c r="K367" s="2" t="str">
        <f>_xlfn.XLOOKUP(F367,customers!A:A,customers!F:F)</f>
        <v>Anaheim</v>
      </c>
      <c r="L367" s="2" t="str">
        <f>_xlfn.XLOOKUP(F367,customers!A:A,customers!G:G)</f>
        <v>United States</v>
      </c>
      <c r="M367" t="str">
        <f>_xlfn.XLOOKUP(G367,products!A:A,products!B:B)</f>
        <v>Lib</v>
      </c>
      <c r="N367" t="str">
        <f>_xlfn.XLOOKUP(G367,products!A:A,products!C:C)</f>
        <v>D</v>
      </c>
      <c r="O367">
        <f>_xlfn.XLOOKUP(G367,products!A:A,products!D:D)</f>
        <v>0.5</v>
      </c>
      <c r="P367">
        <f>_xlfn.XLOOKUP(G367,products!A:A,products!E:E)</f>
        <v>7.77</v>
      </c>
      <c r="Q367">
        <f t="shared" si="23"/>
        <v>7.77</v>
      </c>
      <c r="R367" t="str" cm="1">
        <f t="array" ref="R367">_xlfn.IFS(Q367&lt;=50,"low sales",Q367&lt;=100,"medium sales",Q367&gt;100,"High sales")</f>
        <v>low sales</v>
      </c>
    </row>
    <row r="368" spans="1:18" x14ac:dyDescent="0.35">
      <c r="A368" s="2" t="s">
        <v>2554</v>
      </c>
      <c r="B368" s="3">
        <v>43874</v>
      </c>
      <c r="C368" s="3" t="str">
        <f t="shared" si="20"/>
        <v>Thursday</v>
      </c>
      <c r="D368" s="3" t="str">
        <f t="shared" si="21"/>
        <v>February</v>
      </c>
      <c r="E368" s="3" t="str">
        <f t="shared" si="22"/>
        <v>2020</v>
      </c>
      <c r="F368" s="2" t="s">
        <v>2555</v>
      </c>
      <c r="G368" t="s">
        <v>6144</v>
      </c>
      <c r="H368" s="2">
        <v>6</v>
      </c>
      <c r="I368" s="2" t="str">
        <f>_xlfn.XLOOKUP(F368,customers!A:A,customers!B:B)</f>
        <v>Saree Ellesworth</v>
      </c>
      <c r="J368" s="2">
        <f>_xlfn.XLOOKUP(F368,customers!A:A,customers!C:C)</f>
        <v>0</v>
      </c>
      <c r="K368" s="2" t="str">
        <f>_xlfn.XLOOKUP(F368,customers!A:A,customers!F:F)</f>
        <v>Newport News</v>
      </c>
      <c r="L368" s="2" t="str">
        <f>_xlfn.XLOOKUP(F368,customers!A:A,customers!G:G)</f>
        <v>United States</v>
      </c>
      <c r="M368" t="str">
        <f>_xlfn.XLOOKUP(G368,products!A:A,products!B:B)</f>
        <v>Exc</v>
      </c>
      <c r="N368" t="str">
        <f>_xlfn.XLOOKUP(G368,products!A:A,products!C:C)</f>
        <v>D</v>
      </c>
      <c r="O368">
        <f>_xlfn.XLOOKUP(G368,products!A:A,products!D:D)</f>
        <v>0.5</v>
      </c>
      <c r="P368">
        <f>_xlfn.XLOOKUP(G368,products!A:A,products!E:E)</f>
        <v>7.29</v>
      </c>
      <c r="Q368">
        <f t="shared" si="23"/>
        <v>43.74</v>
      </c>
      <c r="R368" t="str" cm="1">
        <f t="array" ref="R368">_xlfn.IFS(Q368&lt;=50,"low sales",Q368&lt;=100,"medium sales",Q368&gt;100,"High sales")</f>
        <v>low sales</v>
      </c>
    </row>
    <row r="369" spans="1:18" x14ac:dyDescent="0.35">
      <c r="A369" s="2" t="s">
        <v>2559</v>
      </c>
      <c r="B369" s="3">
        <v>44393</v>
      </c>
      <c r="C369" s="3" t="str">
        <f t="shared" si="20"/>
        <v>Friday</v>
      </c>
      <c r="D369" s="3" t="str">
        <f t="shared" si="21"/>
        <v>July</v>
      </c>
      <c r="E369" s="3" t="str">
        <f t="shared" si="22"/>
        <v>2021</v>
      </c>
      <c r="F369" s="2" t="s">
        <v>2560</v>
      </c>
      <c r="G369" t="s">
        <v>6159</v>
      </c>
      <c r="H369" s="2">
        <v>2</v>
      </c>
      <c r="I369" s="2" t="str">
        <f>_xlfn.XLOOKUP(F369,customers!A:A,customers!B:B)</f>
        <v>Silvio Iorizzi</v>
      </c>
      <c r="J369" s="2">
        <f>_xlfn.XLOOKUP(F369,customers!A:A,customers!C:C)</f>
        <v>0</v>
      </c>
      <c r="K369" s="2" t="str">
        <f>_xlfn.XLOOKUP(F369,customers!A:A,customers!F:F)</f>
        <v>Spartanburg</v>
      </c>
      <c r="L369" s="2" t="str">
        <f>_xlfn.XLOOKUP(F369,customers!A:A,customers!G:G)</f>
        <v>United States</v>
      </c>
      <c r="M369" t="str">
        <f>_xlfn.XLOOKUP(G369,products!A:A,products!B:B)</f>
        <v>Lib</v>
      </c>
      <c r="N369" t="str">
        <f>_xlfn.XLOOKUP(G369,products!A:A,products!C:C)</f>
        <v>M</v>
      </c>
      <c r="O369">
        <f>_xlfn.XLOOKUP(G369,products!A:A,products!D:D)</f>
        <v>0.2</v>
      </c>
      <c r="P369">
        <f>_xlfn.XLOOKUP(G369,products!A:A,products!E:E)</f>
        <v>4.3650000000000002</v>
      </c>
      <c r="Q369">
        <f t="shared" si="23"/>
        <v>8.73</v>
      </c>
      <c r="R369" t="str" cm="1">
        <f t="array" ref="R369">_xlfn.IFS(Q369&lt;=50,"low sales",Q369&lt;=100,"medium sales",Q369&gt;100,"High sales")</f>
        <v>low sales</v>
      </c>
    </row>
    <row r="370" spans="1:18" x14ac:dyDescent="0.35">
      <c r="A370" s="2" t="s">
        <v>2563</v>
      </c>
      <c r="B370" s="3">
        <v>44692</v>
      </c>
      <c r="C370" s="3" t="str">
        <f t="shared" si="20"/>
        <v>Wednesday</v>
      </c>
      <c r="D370" s="3" t="str">
        <f t="shared" si="21"/>
        <v>May</v>
      </c>
      <c r="E370" s="3" t="str">
        <f t="shared" si="22"/>
        <v>2022</v>
      </c>
      <c r="F370" s="2" t="s">
        <v>2564</v>
      </c>
      <c r="G370" t="s">
        <v>6166</v>
      </c>
      <c r="H370" s="2">
        <v>2</v>
      </c>
      <c r="I370" s="2" t="str">
        <f>_xlfn.XLOOKUP(F370,customers!A:A,customers!B:B)</f>
        <v>Leesa Flaonier</v>
      </c>
      <c r="J370" s="2" t="str">
        <f>_xlfn.XLOOKUP(F370,customers!A:A,customers!C:C)</f>
        <v>lflaoniera8@wordpress.org</v>
      </c>
      <c r="K370" s="2" t="str">
        <f>_xlfn.XLOOKUP(F370,customers!A:A,customers!F:F)</f>
        <v>Staten Island</v>
      </c>
      <c r="L370" s="2" t="str">
        <f>_xlfn.XLOOKUP(F370,customers!A:A,customers!G:G)</f>
        <v>United States</v>
      </c>
      <c r="M370" t="str">
        <f>_xlfn.XLOOKUP(G370,products!A:A,products!B:B)</f>
        <v>Exc</v>
      </c>
      <c r="N370" t="str">
        <f>_xlfn.XLOOKUP(G370,products!A:A,products!C:C)</f>
        <v>M</v>
      </c>
      <c r="O370">
        <f>_xlfn.XLOOKUP(G370,products!A:A,products!D:D)</f>
        <v>2.5</v>
      </c>
      <c r="P370">
        <f>_xlfn.XLOOKUP(G370,products!A:A,products!E:E)</f>
        <v>31.624999999999996</v>
      </c>
      <c r="Q370">
        <f t="shared" si="23"/>
        <v>63.249999999999993</v>
      </c>
      <c r="R370" t="str" cm="1">
        <f t="array" ref="R370">_xlfn.IFS(Q370&lt;=50,"low sales",Q370&lt;=100,"medium sales",Q370&gt;100,"High sales")</f>
        <v>medium sales</v>
      </c>
    </row>
    <row r="371" spans="1:18" x14ac:dyDescent="0.35">
      <c r="A371" s="2" t="s">
        <v>2569</v>
      </c>
      <c r="B371" s="3">
        <v>43500</v>
      </c>
      <c r="C371" s="3" t="str">
        <f t="shared" si="20"/>
        <v>Monday</v>
      </c>
      <c r="D371" s="3" t="str">
        <f t="shared" si="21"/>
        <v>February</v>
      </c>
      <c r="E371" s="3" t="str">
        <f t="shared" si="22"/>
        <v>2019</v>
      </c>
      <c r="F371" s="2" t="s">
        <v>2570</v>
      </c>
      <c r="G371" t="s">
        <v>6176</v>
      </c>
      <c r="H371" s="2">
        <v>1</v>
      </c>
      <c r="I371" s="2" t="str">
        <f>_xlfn.XLOOKUP(F371,customers!A:A,customers!B:B)</f>
        <v>Abba Pummell</v>
      </c>
      <c r="J371" s="2">
        <f>_xlfn.XLOOKUP(F371,customers!A:A,customers!C:C)</f>
        <v>0</v>
      </c>
      <c r="K371" s="2" t="str">
        <f>_xlfn.XLOOKUP(F371,customers!A:A,customers!F:F)</f>
        <v>Las Vegas</v>
      </c>
      <c r="L371" s="2" t="str">
        <f>_xlfn.XLOOKUP(F371,customers!A:A,customers!G:G)</f>
        <v>United States</v>
      </c>
      <c r="M371" t="str">
        <f>_xlfn.XLOOKUP(G371,products!A:A,products!B:B)</f>
        <v>Exc</v>
      </c>
      <c r="N371" t="str">
        <f>_xlfn.XLOOKUP(G371,products!A:A,products!C:C)</f>
        <v>L</v>
      </c>
      <c r="O371">
        <f>_xlfn.XLOOKUP(G371,products!A:A,products!D:D)</f>
        <v>0.5</v>
      </c>
      <c r="P371">
        <f>_xlfn.XLOOKUP(G371,products!A:A,products!E:E)</f>
        <v>8.91</v>
      </c>
      <c r="Q371">
        <f t="shared" si="23"/>
        <v>8.91</v>
      </c>
      <c r="R371" t="str" cm="1">
        <f t="array" ref="R371">_xlfn.IFS(Q371&lt;=50,"low sales",Q371&lt;=100,"medium sales",Q371&gt;100,"High sales")</f>
        <v>low sales</v>
      </c>
    </row>
    <row r="372" spans="1:18" x14ac:dyDescent="0.35">
      <c r="A372" s="2" t="s">
        <v>2573</v>
      </c>
      <c r="B372" s="3">
        <v>43501</v>
      </c>
      <c r="C372" s="3" t="str">
        <f t="shared" si="20"/>
        <v>Tuesday</v>
      </c>
      <c r="D372" s="3" t="str">
        <f t="shared" si="21"/>
        <v>February</v>
      </c>
      <c r="E372" s="3" t="str">
        <f t="shared" si="22"/>
        <v>2019</v>
      </c>
      <c r="F372" s="2" t="s">
        <v>2574</v>
      </c>
      <c r="G372" t="s">
        <v>6183</v>
      </c>
      <c r="H372" s="2">
        <v>2</v>
      </c>
      <c r="I372" s="2" t="str">
        <f>_xlfn.XLOOKUP(F372,customers!A:A,customers!B:B)</f>
        <v>Corinna Catcheside</v>
      </c>
      <c r="J372" s="2" t="str">
        <f>_xlfn.XLOOKUP(F372,customers!A:A,customers!C:C)</f>
        <v>ccatchesideaa@macromedia.com</v>
      </c>
      <c r="K372" s="2" t="str">
        <f>_xlfn.XLOOKUP(F372,customers!A:A,customers!F:F)</f>
        <v>Salt Lake City</v>
      </c>
      <c r="L372" s="2" t="str">
        <f>_xlfn.XLOOKUP(F372,customers!A:A,customers!G:G)</f>
        <v>United States</v>
      </c>
      <c r="M372" t="str">
        <f>_xlfn.XLOOKUP(G372,products!A:A,products!B:B)</f>
        <v>Exc</v>
      </c>
      <c r="N372" t="str">
        <f>_xlfn.XLOOKUP(G372,products!A:A,products!C:C)</f>
        <v>D</v>
      </c>
      <c r="O372">
        <f>_xlfn.XLOOKUP(G372,products!A:A,products!D:D)</f>
        <v>1</v>
      </c>
      <c r="P372">
        <f>_xlfn.XLOOKUP(G372,products!A:A,products!E:E)</f>
        <v>12.15</v>
      </c>
      <c r="Q372">
        <f t="shared" si="23"/>
        <v>24.3</v>
      </c>
      <c r="R372" t="str" cm="1">
        <f t="array" ref="R372">_xlfn.IFS(Q372&lt;=50,"low sales",Q372&lt;=100,"medium sales",Q372&gt;100,"High sales")</f>
        <v>low sales</v>
      </c>
    </row>
    <row r="373" spans="1:18" x14ac:dyDescent="0.35">
      <c r="A373" s="2" t="s">
        <v>2579</v>
      </c>
      <c r="B373" s="3">
        <v>44705</v>
      </c>
      <c r="C373" s="3" t="str">
        <f t="shared" si="20"/>
        <v>Tuesday</v>
      </c>
      <c r="D373" s="3" t="str">
        <f t="shared" si="21"/>
        <v>May</v>
      </c>
      <c r="E373" s="3" t="str">
        <f t="shared" si="22"/>
        <v>2022</v>
      </c>
      <c r="F373" s="2" t="s">
        <v>2580</v>
      </c>
      <c r="G373" t="s">
        <v>6180</v>
      </c>
      <c r="H373" s="2">
        <v>6</v>
      </c>
      <c r="I373" s="2" t="str">
        <f>_xlfn.XLOOKUP(F373,customers!A:A,customers!B:B)</f>
        <v>Cortney Gibbonson</v>
      </c>
      <c r="J373" s="2" t="str">
        <f>_xlfn.XLOOKUP(F373,customers!A:A,customers!C:C)</f>
        <v>cgibbonsonab@accuweather.com</v>
      </c>
      <c r="K373" s="2" t="str">
        <f>_xlfn.XLOOKUP(F373,customers!A:A,customers!F:F)</f>
        <v>Seattle</v>
      </c>
      <c r="L373" s="2" t="str">
        <f>_xlfn.XLOOKUP(F373,customers!A:A,customers!G:G)</f>
        <v>United States</v>
      </c>
      <c r="M373" t="str">
        <f>_xlfn.XLOOKUP(G373,products!A:A,products!B:B)</f>
        <v>Ara</v>
      </c>
      <c r="N373" t="str">
        <f>_xlfn.XLOOKUP(G373,products!A:A,products!C:C)</f>
        <v>L</v>
      </c>
      <c r="O373">
        <f>_xlfn.XLOOKUP(G373,products!A:A,products!D:D)</f>
        <v>0.5</v>
      </c>
      <c r="P373">
        <f>_xlfn.XLOOKUP(G373,products!A:A,products!E:E)</f>
        <v>7.77</v>
      </c>
      <c r="Q373">
        <f t="shared" si="23"/>
        <v>46.62</v>
      </c>
      <c r="R373" t="str" cm="1">
        <f t="array" ref="R373">_xlfn.IFS(Q373&lt;=50,"low sales",Q373&lt;=100,"medium sales",Q373&gt;100,"High sales")</f>
        <v>low sales</v>
      </c>
    </row>
    <row r="374" spans="1:18" x14ac:dyDescent="0.35">
      <c r="A374" s="2" t="s">
        <v>2585</v>
      </c>
      <c r="B374" s="3">
        <v>44108</v>
      </c>
      <c r="C374" s="3" t="str">
        <f t="shared" si="20"/>
        <v>Sunday</v>
      </c>
      <c r="D374" s="3" t="str">
        <f t="shared" si="21"/>
        <v>October</v>
      </c>
      <c r="E374" s="3" t="str">
        <f t="shared" si="22"/>
        <v>2020</v>
      </c>
      <c r="F374" s="2" t="s">
        <v>2586</v>
      </c>
      <c r="G374" t="s">
        <v>6173</v>
      </c>
      <c r="H374" s="2">
        <v>6</v>
      </c>
      <c r="I374" s="2" t="str">
        <f>_xlfn.XLOOKUP(F374,customers!A:A,customers!B:B)</f>
        <v>Terri Farra</v>
      </c>
      <c r="J374" s="2" t="str">
        <f>_xlfn.XLOOKUP(F374,customers!A:A,customers!C:C)</f>
        <v>tfarraac@behance.net</v>
      </c>
      <c r="K374" s="2" t="str">
        <f>_xlfn.XLOOKUP(F374,customers!A:A,customers!F:F)</f>
        <v>Odessa</v>
      </c>
      <c r="L374" s="2" t="str">
        <f>_xlfn.XLOOKUP(F374,customers!A:A,customers!G:G)</f>
        <v>United States</v>
      </c>
      <c r="M374" t="str">
        <f>_xlfn.XLOOKUP(G374,products!A:A,products!B:B)</f>
        <v>Rob</v>
      </c>
      <c r="N374" t="str">
        <f>_xlfn.XLOOKUP(G374,products!A:A,products!C:C)</f>
        <v>L</v>
      </c>
      <c r="O374">
        <f>_xlfn.XLOOKUP(G374,products!A:A,products!D:D)</f>
        <v>0.5</v>
      </c>
      <c r="P374">
        <f>_xlfn.XLOOKUP(G374,products!A:A,products!E:E)</f>
        <v>7.169999999999999</v>
      </c>
      <c r="Q374">
        <f t="shared" si="23"/>
        <v>43.019999999999996</v>
      </c>
      <c r="R374" t="str" cm="1">
        <f t="array" ref="R374">_xlfn.IFS(Q374&lt;=50,"low sales",Q374&lt;=100,"medium sales",Q374&gt;100,"High sales")</f>
        <v>low sales</v>
      </c>
    </row>
    <row r="375" spans="1:18" x14ac:dyDescent="0.35">
      <c r="A375" s="2" t="s">
        <v>2591</v>
      </c>
      <c r="B375" s="3">
        <v>44742</v>
      </c>
      <c r="C375" s="3" t="str">
        <f t="shared" si="20"/>
        <v>Thursday</v>
      </c>
      <c r="D375" s="3" t="str">
        <f t="shared" si="21"/>
        <v>June</v>
      </c>
      <c r="E375" s="3" t="str">
        <f t="shared" si="22"/>
        <v>2022</v>
      </c>
      <c r="F375" s="2" t="s">
        <v>2592</v>
      </c>
      <c r="G375" t="s">
        <v>6158</v>
      </c>
      <c r="H375" s="2">
        <v>3</v>
      </c>
      <c r="I375" s="2" t="str">
        <f>_xlfn.XLOOKUP(F375,customers!A:A,customers!B:B)</f>
        <v>Corney Curme</v>
      </c>
      <c r="J375" s="2">
        <f>_xlfn.XLOOKUP(F375,customers!A:A,customers!C:C)</f>
        <v>0</v>
      </c>
      <c r="K375" s="2" t="str">
        <f>_xlfn.XLOOKUP(F375,customers!A:A,customers!F:F)</f>
        <v>Castleknock</v>
      </c>
      <c r="L375" s="2" t="str">
        <f>_xlfn.XLOOKUP(F375,customers!A:A,customers!G:G)</f>
        <v>Ireland</v>
      </c>
      <c r="M375" t="str">
        <f>_xlfn.XLOOKUP(G375,products!A:A,products!B:B)</f>
        <v>Ara</v>
      </c>
      <c r="N375" t="str">
        <f>_xlfn.XLOOKUP(G375,products!A:A,products!C:C)</f>
        <v>D</v>
      </c>
      <c r="O375">
        <f>_xlfn.XLOOKUP(G375,products!A:A,products!D:D)</f>
        <v>0.5</v>
      </c>
      <c r="P375">
        <f>_xlfn.XLOOKUP(G375,products!A:A,products!E:E)</f>
        <v>5.97</v>
      </c>
      <c r="Q375">
        <f t="shared" si="23"/>
        <v>17.91</v>
      </c>
      <c r="R375" t="str" cm="1">
        <f t="array" ref="R375">_xlfn.IFS(Q375&lt;=50,"low sales",Q375&lt;=100,"medium sales",Q375&gt;100,"High sales")</f>
        <v>low sales</v>
      </c>
    </row>
    <row r="376" spans="1:18" x14ac:dyDescent="0.35">
      <c r="A376" s="2" t="s">
        <v>2597</v>
      </c>
      <c r="B376" s="3">
        <v>44125</v>
      </c>
      <c r="C376" s="3" t="str">
        <f t="shared" si="20"/>
        <v>Wednesday</v>
      </c>
      <c r="D376" s="3" t="str">
        <f t="shared" si="21"/>
        <v>October</v>
      </c>
      <c r="E376" s="3" t="str">
        <f t="shared" si="22"/>
        <v>2020</v>
      </c>
      <c r="F376" s="2" t="s">
        <v>2598</v>
      </c>
      <c r="G376" t="s">
        <v>6161</v>
      </c>
      <c r="H376" s="2">
        <v>4</v>
      </c>
      <c r="I376" s="2" t="str">
        <f>_xlfn.XLOOKUP(F376,customers!A:A,customers!B:B)</f>
        <v>Gothart Bamfield</v>
      </c>
      <c r="J376" s="2" t="str">
        <f>_xlfn.XLOOKUP(F376,customers!A:A,customers!C:C)</f>
        <v>gbamfieldae@yellowpages.com</v>
      </c>
      <c r="K376" s="2" t="str">
        <f>_xlfn.XLOOKUP(F376,customers!A:A,customers!F:F)</f>
        <v>Irving</v>
      </c>
      <c r="L376" s="2" t="str">
        <f>_xlfn.XLOOKUP(F376,customers!A:A,customers!G:G)</f>
        <v>United States</v>
      </c>
      <c r="M376" t="str">
        <f>_xlfn.XLOOKUP(G376,products!A:A,products!B:B)</f>
        <v>Lib</v>
      </c>
      <c r="N376" t="str">
        <f>_xlfn.XLOOKUP(G376,products!A:A,products!C:C)</f>
        <v>L</v>
      </c>
      <c r="O376">
        <f>_xlfn.XLOOKUP(G376,products!A:A,products!D:D)</f>
        <v>0.5</v>
      </c>
      <c r="P376">
        <f>_xlfn.XLOOKUP(G376,products!A:A,products!E:E)</f>
        <v>9.51</v>
      </c>
      <c r="Q376">
        <f t="shared" si="23"/>
        <v>38.04</v>
      </c>
      <c r="R376" t="str" cm="1">
        <f t="array" ref="R376">_xlfn.IFS(Q376&lt;=50,"low sales",Q376&lt;=100,"medium sales",Q376&gt;100,"High sales")</f>
        <v>low sales</v>
      </c>
    </row>
    <row r="377" spans="1:18" x14ac:dyDescent="0.35">
      <c r="A377" s="2" t="s">
        <v>2603</v>
      </c>
      <c r="B377" s="3">
        <v>44120</v>
      </c>
      <c r="C377" s="3" t="str">
        <f t="shared" si="20"/>
        <v>Friday</v>
      </c>
      <c r="D377" s="3" t="str">
        <f t="shared" si="21"/>
        <v>October</v>
      </c>
      <c r="E377" s="3" t="str">
        <f t="shared" si="22"/>
        <v>2020</v>
      </c>
      <c r="F377" s="2" t="s">
        <v>2604</v>
      </c>
      <c r="G377" t="s">
        <v>6152</v>
      </c>
      <c r="H377" s="2">
        <v>2</v>
      </c>
      <c r="I377" s="2" t="str">
        <f>_xlfn.XLOOKUP(F377,customers!A:A,customers!B:B)</f>
        <v>Waylin Hollingdale</v>
      </c>
      <c r="J377" s="2" t="str">
        <f>_xlfn.XLOOKUP(F377,customers!A:A,customers!C:C)</f>
        <v>whollingdaleaf@about.me</v>
      </c>
      <c r="K377" s="2" t="str">
        <f>_xlfn.XLOOKUP(F377,customers!A:A,customers!F:F)</f>
        <v>Dayton</v>
      </c>
      <c r="L377" s="2" t="str">
        <f>_xlfn.XLOOKUP(F377,customers!A:A,customers!G:G)</f>
        <v>United States</v>
      </c>
      <c r="M377" t="str">
        <f>_xlfn.XLOOKUP(G377,products!A:A,products!B:B)</f>
        <v>Ara</v>
      </c>
      <c r="N377" t="str">
        <f>_xlfn.XLOOKUP(G377,products!A:A,products!C:C)</f>
        <v>M</v>
      </c>
      <c r="O377">
        <f>_xlfn.XLOOKUP(G377,products!A:A,products!D:D)</f>
        <v>0.2</v>
      </c>
      <c r="P377">
        <f>_xlfn.XLOOKUP(G377,products!A:A,products!E:E)</f>
        <v>3.375</v>
      </c>
      <c r="Q377">
        <f t="shared" si="23"/>
        <v>6.75</v>
      </c>
      <c r="R377" t="str" cm="1">
        <f t="array" ref="R377">_xlfn.IFS(Q377&lt;=50,"low sales",Q377&lt;=100,"medium sales",Q377&gt;100,"High sales")</f>
        <v>low sales</v>
      </c>
    </row>
    <row r="378" spans="1:18" x14ac:dyDescent="0.35">
      <c r="A378" s="2" t="s">
        <v>2609</v>
      </c>
      <c r="B378" s="3">
        <v>44097</v>
      </c>
      <c r="C378" s="3" t="str">
        <f t="shared" si="20"/>
        <v>Wednesday</v>
      </c>
      <c r="D378" s="3" t="str">
        <f t="shared" si="21"/>
        <v>September</v>
      </c>
      <c r="E378" s="3" t="str">
        <f t="shared" si="22"/>
        <v>2020</v>
      </c>
      <c r="F378" s="2" t="s">
        <v>2610</v>
      </c>
      <c r="G378" t="s">
        <v>6146</v>
      </c>
      <c r="H378" s="2">
        <v>1</v>
      </c>
      <c r="I378" s="2" t="str">
        <f>_xlfn.XLOOKUP(F378,customers!A:A,customers!B:B)</f>
        <v>Judd De Leek</v>
      </c>
      <c r="J378" s="2" t="str">
        <f>_xlfn.XLOOKUP(F378,customers!A:A,customers!C:C)</f>
        <v>jdeag@xrea.com</v>
      </c>
      <c r="K378" s="2" t="str">
        <f>_xlfn.XLOOKUP(F378,customers!A:A,customers!F:F)</f>
        <v>Grand Rapids</v>
      </c>
      <c r="L378" s="2" t="str">
        <f>_xlfn.XLOOKUP(F378,customers!A:A,customers!G:G)</f>
        <v>United States</v>
      </c>
      <c r="M378" t="str">
        <f>_xlfn.XLOOKUP(G378,products!A:A,products!B:B)</f>
        <v>Rob</v>
      </c>
      <c r="N378" t="str">
        <f>_xlfn.XLOOKUP(G378,products!A:A,products!C:C)</f>
        <v>M</v>
      </c>
      <c r="O378">
        <f>_xlfn.XLOOKUP(G378,products!A:A,products!D:D)</f>
        <v>0.5</v>
      </c>
      <c r="P378">
        <f>_xlfn.XLOOKUP(G378,products!A:A,products!E:E)</f>
        <v>5.97</v>
      </c>
      <c r="Q378">
        <f t="shared" si="23"/>
        <v>5.97</v>
      </c>
      <c r="R378" t="str" cm="1">
        <f t="array" ref="R378">_xlfn.IFS(Q378&lt;=50,"low sales",Q378&lt;=100,"medium sales",Q378&gt;100,"High sales")</f>
        <v>low sales</v>
      </c>
    </row>
    <row r="379" spans="1:18" x14ac:dyDescent="0.35">
      <c r="A379" s="2" t="s">
        <v>2615</v>
      </c>
      <c r="B379" s="3">
        <v>43532</v>
      </c>
      <c r="C379" s="3" t="str">
        <f t="shared" si="20"/>
        <v>Friday</v>
      </c>
      <c r="D379" s="3" t="str">
        <f t="shared" si="21"/>
        <v>March</v>
      </c>
      <c r="E379" s="3" t="str">
        <f t="shared" si="22"/>
        <v>2019</v>
      </c>
      <c r="F379" s="2" t="s">
        <v>2616</v>
      </c>
      <c r="G379" t="s">
        <v>6163</v>
      </c>
      <c r="H379" s="2">
        <v>3</v>
      </c>
      <c r="I379" s="2" t="str">
        <f>_xlfn.XLOOKUP(F379,customers!A:A,customers!B:B)</f>
        <v>Vanya Skullet</v>
      </c>
      <c r="J379" s="2" t="str">
        <f>_xlfn.XLOOKUP(F379,customers!A:A,customers!C:C)</f>
        <v>vskulletah@tinyurl.com</v>
      </c>
      <c r="K379" s="2" t="str">
        <f>_xlfn.XLOOKUP(F379,customers!A:A,customers!F:F)</f>
        <v>Balally</v>
      </c>
      <c r="L379" s="2" t="str">
        <f>_xlfn.XLOOKUP(F379,customers!A:A,customers!G:G)</f>
        <v>Ireland</v>
      </c>
      <c r="M379" t="str">
        <f>_xlfn.XLOOKUP(G379,products!A:A,products!B:B)</f>
        <v>Rob</v>
      </c>
      <c r="N379" t="str">
        <f>_xlfn.XLOOKUP(G379,products!A:A,products!C:C)</f>
        <v>D</v>
      </c>
      <c r="O379">
        <f>_xlfn.XLOOKUP(G379,products!A:A,products!D:D)</f>
        <v>0.2</v>
      </c>
      <c r="P379">
        <f>_xlfn.XLOOKUP(G379,products!A:A,products!E:E)</f>
        <v>2.6849999999999996</v>
      </c>
      <c r="Q379">
        <f t="shared" si="23"/>
        <v>8.0549999999999997</v>
      </c>
      <c r="R379" t="str" cm="1">
        <f t="array" ref="R379">_xlfn.IFS(Q379&lt;=50,"low sales",Q379&lt;=100,"medium sales",Q379&gt;100,"High sales")</f>
        <v>low sales</v>
      </c>
    </row>
    <row r="380" spans="1:18" x14ac:dyDescent="0.35">
      <c r="A380" s="2" t="s">
        <v>2621</v>
      </c>
      <c r="B380" s="3">
        <v>44377</v>
      </c>
      <c r="C380" s="3" t="str">
        <f t="shared" si="20"/>
        <v>Wednesday</v>
      </c>
      <c r="D380" s="3" t="str">
        <f t="shared" si="21"/>
        <v>June</v>
      </c>
      <c r="E380" s="3" t="str">
        <f t="shared" si="22"/>
        <v>2021</v>
      </c>
      <c r="F380" s="2" t="s">
        <v>2622</v>
      </c>
      <c r="G380" t="s">
        <v>6180</v>
      </c>
      <c r="H380" s="2">
        <v>3</v>
      </c>
      <c r="I380" s="2" t="str">
        <f>_xlfn.XLOOKUP(F380,customers!A:A,customers!B:B)</f>
        <v>Jany Rudeforth</v>
      </c>
      <c r="J380" s="2" t="str">
        <f>_xlfn.XLOOKUP(F380,customers!A:A,customers!C:C)</f>
        <v>jrudeforthai@wunderground.com</v>
      </c>
      <c r="K380" s="2" t="str">
        <f>_xlfn.XLOOKUP(F380,customers!A:A,customers!F:F)</f>
        <v>Tullyallen</v>
      </c>
      <c r="L380" s="2" t="str">
        <f>_xlfn.XLOOKUP(F380,customers!A:A,customers!G:G)</f>
        <v>Ireland</v>
      </c>
      <c r="M380" t="str">
        <f>_xlfn.XLOOKUP(G380,products!A:A,products!B:B)</f>
        <v>Ara</v>
      </c>
      <c r="N380" t="str">
        <f>_xlfn.XLOOKUP(G380,products!A:A,products!C:C)</f>
        <v>L</v>
      </c>
      <c r="O380">
        <f>_xlfn.XLOOKUP(G380,products!A:A,products!D:D)</f>
        <v>0.5</v>
      </c>
      <c r="P380">
        <f>_xlfn.XLOOKUP(G380,products!A:A,products!E:E)</f>
        <v>7.77</v>
      </c>
      <c r="Q380">
        <f t="shared" si="23"/>
        <v>23.31</v>
      </c>
      <c r="R380" t="str" cm="1">
        <f t="array" ref="R380">_xlfn.IFS(Q380&lt;=50,"low sales",Q380&lt;=100,"medium sales",Q380&gt;100,"High sales")</f>
        <v>low sales</v>
      </c>
    </row>
    <row r="381" spans="1:18" x14ac:dyDescent="0.35">
      <c r="A381" s="2" t="s">
        <v>2627</v>
      </c>
      <c r="B381" s="3">
        <v>43690</v>
      </c>
      <c r="C381" s="3" t="str">
        <f t="shared" si="20"/>
        <v>Tuesday</v>
      </c>
      <c r="D381" s="3" t="str">
        <f t="shared" si="21"/>
        <v>August</v>
      </c>
      <c r="E381" s="3" t="str">
        <f t="shared" si="22"/>
        <v>2019</v>
      </c>
      <c r="F381" s="2" t="s">
        <v>2628</v>
      </c>
      <c r="G381" t="s">
        <v>6173</v>
      </c>
      <c r="H381" s="2">
        <v>6</v>
      </c>
      <c r="I381" s="2" t="str">
        <f>_xlfn.XLOOKUP(F381,customers!A:A,customers!B:B)</f>
        <v>Ashbey Tomaszewski</v>
      </c>
      <c r="J381" s="2" t="str">
        <f>_xlfn.XLOOKUP(F381,customers!A:A,customers!C:C)</f>
        <v>atomaszewskiaj@answers.com</v>
      </c>
      <c r="K381" s="2" t="str">
        <f>_xlfn.XLOOKUP(F381,customers!A:A,customers!F:F)</f>
        <v>Sutton</v>
      </c>
      <c r="L381" s="2" t="str">
        <f>_xlfn.XLOOKUP(F381,customers!A:A,customers!G:G)</f>
        <v>United Kingdom</v>
      </c>
      <c r="M381" t="str">
        <f>_xlfn.XLOOKUP(G381,products!A:A,products!B:B)</f>
        <v>Rob</v>
      </c>
      <c r="N381" t="str">
        <f>_xlfn.XLOOKUP(G381,products!A:A,products!C:C)</f>
        <v>L</v>
      </c>
      <c r="O381">
        <f>_xlfn.XLOOKUP(G381,products!A:A,products!D:D)</f>
        <v>0.5</v>
      </c>
      <c r="P381">
        <f>_xlfn.XLOOKUP(G381,products!A:A,products!E:E)</f>
        <v>7.169999999999999</v>
      </c>
      <c r="Q381">
        <f t="shared" si="23"/>
        <v>43.019999999999996</v>
      </c>
      <c r="R381" t="str" cm="1">
        <f t="array" ref="R381">_xlfn.IFS(Q381&lt;=50,"low sales",Q381&lt;=100,"medium sales",Q381&gt;100,"High sales")</f>
        <v>low sales</v>
      </c>
    </row>
    <row r="382" spans="1:18" x14ac:dyDescent="0.35">
      <c r="A382" s="2" t="s">
        <v>2632</v>
      </c>
      <c r="B382" s="3">
        <v>44249</v>
      </c>
      <c r="C382" s="3" t="str">
        <f t="shared" si="20"/>
        <v>Monday</v>
      </c>
      <c r="D382" s="3" t="str">
        <f t="shared" si="21"/>
        <v>February</v>
      </c>
      <c r="E382" s="3" t="str">
        <f t="shared" si="22"/>
        <v>2021</v>
      </c>
      <c r="F382" s="2" t="s">
        <v>2331</v>
      </c>
      <c r="G382" t="s">
        <v>6169</v>
      </c>
      <c r="H382" s="2">
        <v>3</v>
      </c>
      <c r="I382" s="2" t="str">
        <f>_xlfn.XLOOKUP(F382,customers!A:A,customers!B:B)</f>
        <v>Flynn Antony</v>
      </c>
      <c r="J382" s="2">
        <f>_xlfn.XLOOKUP(F382,customers!A:A,customers!C:C)</f>
        <v>0</v>
      </c>
      <c r="K382" s="2" t="str">
        <f>_xlfn.XLOOKUP(F382,customers!A:A,customers!F:F)</f>
        <v>Birmingham</v>
      </c>
      <c r="L382" s="2" t="str">
        <f>_xlfn.XLOOKUP(F382,customers!A:A,customers!G:G)</f>
        <v>United States</v>
      </c>
      <c r="M382" t="str">
        <f>_xlfn.XLOOKUP(G382,products!A:A,products!B:B)</f>
        <v>Lib</v>
      </c>
      <c r="N382" t="str">
        <f>_xlfn.XLOOKUP(G382,products!A:A,products!C:C)</f>
        <v>D</v>
      </c>
      <c r="O382">
        <f>_xlfn.XLOOKUP(G382,products!A:A,products!D:D)</f>
        <v>0.5</v>
      </c>
      <c r="P382">
        <f>_xlfn.XLOOKUP(G382,products!A:A,products!E:E)</f>
        <v>7.77</v>
      </c>
      <c r="Q382">
        <f t="shared" si="23"/>
        <v>23.31</v>
      </c>
      <c r="R382" t="str" cm="1">
        <f t="array" ref="R382">_xlfn.IFS(Q382&lt;=50,"low sales",Q382&lt;=100,"medium sales",Q382&gt;100,"High sales")</f>
        <v>low sales</v>
      </c>
    </row>
    <row r="383" spans="1:18" x14ac:dyDescent="0.35">
      <c r="A383" s="2" t="s">
        <v>2638</v>
      </c>
      <c r="B383" s="3">
        <v>44646</v>
      </c>
      <c r="C383" s="3" t="str">
        <f t="shared" si="20"/>
        <v>Saturday</v>
      </c>
      <c r="D383" s="3" t="str">
        <f t="shared" si="21"/>
        <v>March</v>
      </c>
      <c r="E383" s="3" t="str">
        <f t="shared" si="22"/>
        <v>2022</v>
      </c>
      <c r="F383" s="2" t="s">
        <v>2639</v>
      </c>
      <c r="G383" t="s">
        <v>6154</v>
      </c>
      <c r="H383" s="2">
        <v>5</v>
      </c>
      <c r="I383" s="2" t="str">
        <f>_xlfn.XLOOKUP(F383,customers!A:A,customers!B:B)</f>
        <v>Pren Bess</v>
      </c>
      <c r="J383" s="2" t="str">
        <f>_xlfn.XLOOKUP(F383,customers!A:A,customers!C:C)</f>
        <v>pbessal@qq.com</v>
      </c>
      <c r="K383" s="2" t="str">
        <f>_xlfn.XLOOKUP(F383,customers!A:A,customers!F:F)</f>
        <v>Los Angeles</v>
      </c>
      <c r="L383" s="2" t="str">
        <f>_xlfn.XLOOKUP(F383,customers!A:A,customers!G:G)</f>
        <v>United States</v>
      </c>
      <c r="M383" t="str">
        <f>_xlfn.XLOOKUP(G383,products!A:A,products!B:B)</f>
        <v>Ara</v>
      </c>
      <c r="N383" t="str">
        <f>_xlfn.XLOOKUP(G383,products!A:A,products!C:C)</f>
        <v>D</v>
      </c>
      <c r="O383">
        <f>_xlfn.XLOOKUP(G383,products!A:A,products!D:D)</f>
        <v>0.2</v>
      </c>
      <c r="P383">
        <f>_xlfn.XLOOKUP(G383,products!A:A,products!E:E)</f>
        <v>2.9849999999999999</v>
      </c>
      <c r="Q383">
        <f t="shared" si="23"/>
        <v>14.924999999999999</v>
      </c>
      <c r="R383" t="str" cm="1">
        <f t="array" ref="R383">_xlfn.IFS(Q383&lt;=50,"low sales",Q383&lt;=100,"medium sales",Q383&gt;100,"High sales")</f>
        <v>low sales</v>
      </c>
    </row>
    <row r="384" spans="1:18" x14ac:dyDescent="0.35">
      <c r="A384" s="2" t="s">
        <v>2644</v>
      </c>
      <c r="B384" s="3">
        <v>43840</v>
      </c>
      <c r="C384" s="3" t="str">
        <f t="shared" si="20"/>
        <v>Friday</v>
      </c>
      <c r="D384" s="3" t="str">
        <f t="shared" si="21"/>
        <v>January</v>
      </c>
      <c r="E384" s="3" t="str">
        <f t="shared" si="22"/>
        <v>2020</v>
      </c>
      <c r="F384" s="2" t="s">
        <v>2645</v>
      </c>
      <c r="G384" t="s">
        <v>6144</v>
      </c>
      <c r="H384" s="2">
        <v>3</v>
      </c>
      <c r="I384" s="2" t="str">
        <f>_xlfn.XLOOKUP(F384,customers!A:A,customers!B:B)</f>
        <v>Elka Windress</v>
      </c>
      <c r="J384" s="2" t="str">
        <f>_xlfn.XLOOKUP(F384,customers!A:A,customers!C:C)</f>
        <v>ewindressam@marketwatch.com</v>
      </c>
      <c r="K384" s="2" t="str">
        <f>_xlfn.XLOOKUP(F384,customers!A:A,customers!F:F)</f>
        <v>Baltimore</v>
      </c>
      <c r="L384" s="2" t="str">
        <f>_xlfn.XLOOKUP(F384,customers!A:A,customers!G:G)</f>
        <v>United States</v>
      </c>
      <c r="M384" t="str">
        <f>_xlfn.XLOOKUP(G384,products!A:A,products!B:B)</f>
        <v>Exc</v>
      </c>
      <c r="N384" t="str">
        <f>_xlfn.XLOOKUP(G384,products!A:A,products!C:C)</f>
        <v>D</v>
      </c>
      <c r="O384">
        <f>_xlfn.XLOOKUP(G384,products!A:A,products!D:D)</f>
        <v>0.5</v>
      </c>
      <c r="P384">
        <f>_xlfn.XLOOKUP(G384,products!A:A,products!E:E)</f>
        <v>7.29</v>
      </c>
      <c r="Q384">
        <f t="shared" si="23"/>
        <v>21.87</v>
      </c>
      <c r="R384" t="str" cm="1">
        <f t="array" ref="R384">_xlfn.IFS(Q384&lt;=50,"low sales",Q384&lt;=100,"medium sales",Q384&gt;100,"High sales")</f>
        <v>low sales</v>
      </c>
    </row>
    <row r="385" spans="1:18" x14ac:dyDescent="0.35">
      <c r="A385" s="2" t="s">
        <v>2650</v>
      </c>
      <c r="B385" s="3">
        <v>43586</v>
      </c>
      <c r="C385" s="3" t="str">
        <f t="shared" si="20"/>
        <v>Wednesday</v>
      </c>
      <c r="D385" s="3" t="str">
        <f t="shared" si="21"/>
        <v>May</v>
      </c>
      <c r="E385" s="3" t="str">
        <f t="shared" si="22"/>
        <v>2019</v>
      </c>
      <c r="F385" s="2" t="s">
        <v>2651</v>
      </c>
      <c r="G385" t="s">
        <v>6176</v>
      </c>
      <c r="H385" s="2">
        <v>6</v>
      </c>
      <c r="I385" s="2" t="str">
        <f>_xlfn.XLOOKUP(F385,customers!A:A,customers!B:B)</f>
        <v>Marty Kidstoun</v>
      </c>
      <c r="J385" s="2">
        <f>_xlfn.XLOOKUP(F385,customers!A:A,customers!C:C)</f>
        <v>0</v>
      </c>
      <c r="K385" s="2" t="str">
        <f>_xlfn.XLOOKUP(F385,customers!A:A,customers!F:F)</f>
        <v>Harrisburg</v>
      </c>
      <c r="L385" s="2" t="str">
        <f>_xlfn.XLOOKUP(F385,customers!A:A,customers!G:G)</f>
        <v>United States</v>
      </c>
      <c r="M385" t="str">
        <f>_xlfn.XLOOKUP(G385,products!A:A,products!B:B)</f>
        <v>Exc</v>
      </c>
      <c r="N385" t="str">
        <f>_xlfn.XLOOKUP(G385,products!A:A,products!C:C)</f>
        <v>L</v>
      </c>
      <c r="O385">
        <f>_xlfn.XLOOKUP(G385,products!A:A,products!D:D)</f>
        <v>0.5</v>
      </c>
      <c r="P385">
        <f>_xlfn.XLOOKUP(G385,products!A:A,products!E:E)</f>
        <v>8.91</v>
      </c>
      <c r="Q385">
        <f t="shared" si="23"/>
        <v>53.46</v>
      </c>
      <c r="R385" t="str" cm="1">
        <f t="array" ref="R385">_xlfn.IFS(Q385&lt;=50,"low sales",Q385&lt;=100,"medium sales",Q385&gt;100,"High sales")</f>
        <v>medium sales</v>
      </c>
    </row>
    <row r="386" spans="1:18" x14ac:dyDescent="0.35">
      <c r="A386" s="2" t="s">
        <v>2655</v>
      </c>
      <c r="B386" s="3">
        <v>43870</v>
      </c>
      <c r="C386" s="3" t="str">
        <f t="shared" si="20"/>
        <v>Sunday</v>
      </c>
      <c r="D386" s="3" t="str">
        <f t="shared" si="21"/>
        <v>February</v>
      </c>
      <c r="E386" s="3" t="str">
        <f t="shared" si="22"/>
        <v>2020</v>
      </c>
      <c r="F386" s="2" t="s">
        <v>2656</v>
      </c>
      <c r="G386" t="s">
        <v>6182</v>
      </c>
      <c r="H386" s="2">
        <v>4</v>
      </c>
      <c r="I386" s="2" t="str">
        <f>_xlfn.XLOOKUP(F386,customers!A:A,customers!B:B)</f>
        <v>Nickey Dimbleby</v>
      </c>
      <c r="J386" s="2">
        <f>_xlfn.XLOOKUP(F386,customers!A:A,customers!C:C)</f>
        <v>0</v>
      </c>
      <c r="K386" s="2" t="str">
        <f>_xlfn.XLOOKUP(F386,customers!A:A,customers!F:F)</f>
        <v>Dallas</v>
      </c>
      <c r="L386" s="2" t="str">
        <f>_xlfn.XLOOKUP(F386,customers!A:A,customers!G:G)</f>
        <v>United States</v>
      </c>
      <c r="M386" t="str">
        <f>_xlfn.XLOOKUP(G386,products!A:A,products!B:B)</f>
        <v>Ara</v>
      </c>
      <c r="N386" t="str">
        <f>_xlfn.XLOOKUP(G386,products!A:A,products!C:C)</f>
        <v>L</v>
      </c>
      <c r="O386">
        <f>_xlfn.XLOOKUP(G386,products!A:A,products!D:D)</f>
        <v>2.5</v>
      </c>
      <c r="P386">
        <f>_xlfn.XLOOKUP(G386,products!A:A,products!E:E)</f>
        <v>29.784999999999997</v>
      </c>
      <c r="Q386">
        <f t="shared" si="23"/>
        <v>119.13999999999999</v>
      </c>
      <c r="R386" t="str" cm="1">
        <f t="array" ref="R386">_xlfn.IFS(Q386&lt;=50,"low sales",Q386&lt;=100,"medium sales",Q386&gt;100,"High sales")</f>
        <v>High sales</v>
      </c>
    </row>
    <row r="387" spans="1:18" x14ac:dyDescent="0.35">
      <c r="A387" s="2" t="s">
        <v>2660</v>
      </c>
      <c r="B387" s="3">
        <v>44559</v>
      </c>
      <c r="C387" s="3" t="str">
        <f t="shared" ref="C387:C450" si="24">TEXT(B387,"DDDD")</f>
        <v>Wednesday</v>
      </c>
      <c r="D387" s="3" t="str">
        <f t="shared" ref="D387:D450" si="25">TEXT(B387,"MMMM")</f>
        <v>December</v>
      </c>
      <c r="E387" s="3" t="str">
        <f t="shared" ref="E387:E450" si="26">TEXT(B387,"YYYY")</f>
        <v>2021</v>
      </c>
      <c r="F387" s="2" t="s">
        <v>2661</v>
      </c>
      <c r="G387" t="s">
        <v>6160</v>
      </c>
      <c r="H387" s="2">
        <v>5</v>
      </c>
      <c r="I387" s="2" t="str">
        <f>_xlfn.XLOOKUP(F387,customers!A:A,customers!B:B)</f>
        <v>Virgil Baumadier</v>
      </c>
      <c r="J387" s="2" t="str">
        <f>_xlfn.XLOOKUP(F387,customers!A:A,customers!C:C)</f>
        <v>vbaumadierap@google.cn</v>
      </c>
      <c r="K387" s="2" t="str">
        <f>_xlfn.XLOOKUP(F387,customers!A:A,customers!F:F)</f>
        <v>Kansas City</v>
      </c>
      <c r="L387" s="2" t="str">
        <f>_xlfn.XLOOKUP(F387,customers!A:A,customers!G:G)</f>
        <v>United States</v>
      </c>
      <c r="M387" t="str">
        <f>_xlfn.XLOOKUP(G387,products!A:A,products!B:B)</f>
        <v>Lib</v>
      </c>
      <c r="N387" t="str">
        <f>_xlfn.XLOOKUP(G387,products!A:A,products!C:C)</f>
        <v>M</v>
      </c>
      <c r="O387">
        <f>_xlfn.XLOOKUP(G387,products!A:A,products!D:D)</f>
        <v>0.5</v>
      </c>
      <c r="P387">
        <f>_xlfn.XLOOKUP(G387,products!A:A,products!E:E)</f>
        <v>8.73</v>
      </c>
      <c r="Q387">
        <f t="shared" ref="Q387:Q450" si="27">P387*H387</f>
        <v>43.650000000000006</v>
      </c>
      <c r="R387" t="str" cm="1">
        <f t="array" ref="R387">_xlfn.IFS(Q387&lt;=50,"low sales",Q387&lt;=100,"medium sales",Q387&gt;100,"High sales")</f>
        <v>low sales</v>
      </c>
    </row>
    <row r="388" spans="1:18" x14ac:dyDescent="0.35">
      <c r="A388" s="2" t="s">
        <v>2666</v>
      </c>
      <c r="B388" s="3">
        <v>44083</v>
      </c>
      <c r="C388" s="3" t="str">
        <f t="shared" si="24"/>
        <v>Wednesday</v>
      </c>
      <c r="D388" s="3" t="str">
        <f t="shared" si="25"/>
        <v>September</v>
      </c>
      <c r="E388" s="3" t="str">
        <f t="shared" si="26"/>
        <v>2020</v>
      </c>
      <c r="F388" s="2" t="s">
        <v>2667</v>
      </c>
      <c r="G388" t="s">
        <v>6154</v>
      </c>
      <c r="H388" s="2">
        <v>6</v>
      </c>
      <c r="I388" s="2" t="str">
        <f>_xlfn.XLOOKUP(F388,customers!A:A,customers!B:B)</f>
        <v>Lenore Messenbird</v>
      </c>
      <c r="J388" s="2">
        <f>_xlfn.XLOOKUP(F388,customers!A:A,customers!C:C)</f>
        <v>0</v>
      </c>
      <c r="K388" s="2" t="str">
        <f>_xlfn.XLOOKUP(F388,customers!A:A,customers!F:F)</f>
        <v>Springfield</v>
      </c>
      <c r="L388" s="2" t="str">
        <f>_xlfn.XLOOKUP(F388,customers!A:A,customers!G:G)</f>
        <v>United States</v>
      </c>
      <c r="M388" t="str">
        <f>_xlfn.XLOOKUP(G388,products!A:A,products!B:B)</f>
        <v>Ara</v>
      </c>
      <c r="N388" t="str">
        <f>_xlfn.XLOOKUP(G388,products!A:A,products!C:C)</f>
        <v>D</v>
      </c>
      <c r="O388">
        <f>_xlfn.XLOOKUP(G388,products!A:A,products!D:D)</f>
        <v>0.2</v>
      </c>
      <c r="P388">
        <f>_xlfn.XLOOKUP(G388,products!A:A,products!E:E)</f>
        <v>2.9849999999999999</v>
      </c>
      <c r="Q388">
        <f t="shared" si="27"/>
        <v>17.91</v>
      </c>
      <c r="R388" t="str" cm="1">
        <f t="array" ref="R388">_xlfn.IFS(Q388&lt;=50,"low sales",Q388&lt;=100,"medium sales",Q388&gt;100,"High sales")</f>
        <v>low sales</v>
      </c>
    </row>
    <row r="389" spans="1:18" x14ac:dyDescent="0.35">
      <c r="A389" s="2" t="s">
        <v>2671</v>
      </c>
      <c r="B389" s="3">
        <v>44455</v>
      </c>
      <c r="C389" s="3" t="str">
        <f t="shared" si="24"/>
        <v>Thursday</v>
      </c>
      <c r="D389" s="3" t="str">
        <f t="shared" si="25"/>
        <v>September</v>
      </c>
      <c r="E389" s="3" t="str">
        <f t="shared" si="26"/>
        <v>2021</v>
      </c>
      <c r="F389" s="2" t="s">
        <v>2672</v>
      </c>
      <c r="G389" t="s">
        <v>6171</v>
      </c>
      <c r="H389" s="2">
        <v>5</v>
      </c>
      <c r="I389" s="2" t="str">
        <f>_xlfn.XLOOKUP(F389,customers!A:A,customers!B:B)</f>
        <v>Shirleen Welds</v>
      </c>
      <c r="J389" s="2" t="str">
        <f>_xlfn.XLOOKUP(F389,customers!A:A,customers!C:C)</f>
        <v>sweldsar@wired.com</v>
      </c>
      <c r="K389" s="2" t="str">
        <f>_xlfn.XLOOKUP(F389,customers!A:A,customers!F:F)</f>
        <v>New Haven</v>
      </c>
      <c r="L389" s="2" t="str">
        <f>_xlfn.XLOOKUP(F389,customers!A:A,customers!G:G)</f>
        <v>United States</v>
      </c>
      <c r="M389" t="str">
        <f>_xlfn.XLOOKUP(G389,products!A:A,products!B:B)</f>
        <v>Exc</v>
      </c>
      <c r="N389" t="str">
        <f>_xlfn.XLOOKUP(G389,products!A:A,products!C:C)</f>
        <v>L</v>
      </c>
      <c r="O389">
        <f>_xlfn.XLOOKUP(G389,products!A:A,products!D:D)</f>
        <v>1</v>
      </c>
      <c r="P389">
        <f>_xlfn.XLOOKUP(G389,products!A:A,products!E:E)</f>
        <v>14.85</v>
      </c>
      <c r="Q389">
        <f t="shared" si="27"/>
        <v>74.25</v>
      </c>
      <c r="R389" t="str" cm="1">
        <f t="array" ref="R389">_xlfn.IFS(Q389&lt;=50,"low sales",Q389&lt;=100,"medium sales",Q389&gt;100,"High sales")</f>
        <v>medium sales</v>
      </c>
    </row>
    <row r="390" spans="1:18" x14ac:dyDescent="0.35">
      <c r="A390" s="2" t="s">
        <v>2677</v>
      </c>
      <c r="B390" s="3">
        <v>44130</v>
      </c>
      <c r="C390" s="3" t="str">
        <f t="shared" si="24"/>
        <v>Monday</v>
      </c>
      <c r="D390" s="3" t="str">
        <f t="shared" si="25"/>
        <v>October</v>
      </c>
      <c r="E390" s="3" t="str">
        <f t="shared" si="26"/>
        <v>2020</v>
      </c>
      <c r="F390" s="2" t="s">
        <v>2678</v>
      </c>
      <c r="G390" t="s">
        <v>6150</v>
      </c>
      <c r="H390" s="2">
        <v>3</v>
      </c>
      <c r="I390" s="2" t="str">
        <f>_xlfn.XLOOKUP(F390,customers!A:A,customers!B:B)</f>
        <v>Maisie Sarvar</v>
      </c>
      <c r="J390" s="2" t="str">
        <f>_xlfn.XLOOKUP(F390,customers!A:A,customers!C:C)</f>
        <v>msarvaras@artisteer.com</v>
      </c>
      <c r="K390" s="2" t="str">
        <f>_xlfn.XLOOKUP(F390,customers!A:A,customers!F:F)</f>
        <v>Lawrenceville</v>
      </c>
      <c r="L390" s="2" t="str">
        <f>_xlfn.XLOOKUP(F390,customers!A:A,customers!G:G)</f>
        <v>United States</v>
      </c>
      <c r="M390" t="str">
        <f>_xlfn.XLOOKUP(G390,products!A:A,products!B:B)</f>
        <v>Lib</v>
      </c>
      <c r="N390" t="str">
        <f>_xlfn.XLOOKUP(G390,products!A:A,products!C:C)</f>
        <v>D</v>
      </c>
      <c r="O390">
        <f>_xlfn.XLOOKUP(G390,products!A:A,products!D:D)</f>
        <v>0.2</v>
      </c>
      <c r="P390">
        <f>_xlfn.XLOOKUP(G390,products!A:A,products!E:E)</f>
        <v>3.8849999999999998</v>
      </c>
      <c r="Q390">
        <f t="shared" si="27"/>
        <v>11.654999999999999</v>
      </c>
      <c r="R390" t="str" cm="1">
        <f t="array" ref="R390">_xlfn.IFS(Q390&lt;=50,"low sales",Q390&lt;=100,"medium sales",Q390&gt;100,"High sales")</f>
        <v>low sales</v>
      </c>
    </row>
    <row r="391" spans="1:18" x14ac:dyDescent="0.35">
      <c r="A391" s="2" t="s">
        <v>2683</v>
      </c>
      <c r="B391" s="3">
        <v>43536</v>
      </c>
      <c r="C391" s="3" t="str">
        <f t="shared" si="24"/>
        <v>Tuesday</v>
      </c>
      <c r="D391" s="3" t="str">
        <f t="shared" si="25"/>
        <v>March</v>
      </c>
      <c r="E391" s="3" t="str">
        <f t="shared" si="26"/>
        <v>2019</v>
      </c>
      <c r="F391" s="2" t="s">
        <v>2684</v>
      </c>
      <c r="G391" t="s">
        <v>6169</v>
      </c>
      <c r="H391" s="2">
        <v>3</v>
      </c>
      <c r="I391" s="2" t="str">
        <f>_xlfn.XLOOKUP(F391,customers!A:A,customers!B:B)</f>
        <v>Andrej Havick</v>
      </c>
      <c r="J391" s="2" t="str">
        <f>_xlfn.XLOOKUP(F391,customers!A:A,customers!C:C)</f>
        <v>ahavickat@nsw.gov.au</v>
      </c>
      <c r="K391" s="2" t="str">
        <f>_xlfn.XLOOKUP(F391,customers!A:A,customers!F:F)</f>
        <v>Asheville</v>
      </c>
      <c r="L391" s="2" t="str">
        <f>_xlfn.XLOOKUP(F391,customers!A:A,customers!G:G)</f>
        <v>United States</v>
      </c>
      <c r="M391" t="str">
        <f>_xlfn.XLOOKUP(G391,products!A:A,products!B:B)</f>
        <v>Lib</v>
      </c>
      <c r="N391" t="str">
        <f>_xlfn.XLOOKUP(G391,products!A:A,products!C:C)</f>
        <v>D</v>
      </c>
      <c r="O391">
        <f>_xlfn.XLOOKUP(G391,products!A:A,products!D:D)</f>
        <v>0.5</v>
      </c>
      <c r="P391">
        <f>_xlfn.XLOOKUP(G391,products!A:A,products!E:E)</f>
        <v>7.77</v>
      </c>
      <c r="Q391">
        <f t="shared" si="27"/>
        <v>23.31</v>
      </c>
      <c r="R391" t="str" cm="1">
        <f t="array" ref="R391">_xlfn.IFS(Q391&lt;=50,"low sales",Q391&lt;=100,"medium sales",Q391&gt;100,"High sales")</f>
        <v>low sales</v>
      </c>
    </row>
    <row r="392" spans="1:18" x14ac:dyDescent="0.35">
      <c r="A392" s="2" t="s">
        <v>2689</v>
      </c>
      <c r="B392" s="3">
        <v>44245</v>
      </c>
      <c r="C392" s="3" t="str">
        <f t="shared" si="24"/>
        <v>Thursday</v>
      </c>
      <c r="D392" s="3" t="str">
        <f t="shared" si="25"/>
        <v>February</v>
      </c>
      <c r="E392" s="3" t="str">
        <f t="shared" si="26"/>
        <v>2021</v>
      </c>
      <c r="F392" s="2" t="s">
        <v>2690</v>
      </c>
      <c r="G392" t="s">
        <v>6144</v>
      </c>
      <c r="H392" s="2">
        <v>2</v>
      </c>
      <c r="I392" s="2" t="str">
        <f>_xlfn.XLOOKUP(F392,customers!A:A,customers!B:B)</f>
        <v>Sloan Diviny</v>
      </c>
      <c r="J392" s="2" t="str">
        <f>_xlfn.XLOOKUP(F392,customers!A:A,customers!C:C)</f>
        <v>sdivinyau@ask.com</v>
      </c>
      <c r="K392" s="2" t="str">
        <f>_xlfn.XLOOKUP(F392,customers!A:A,customers!F:F)</f>
        <v>Saint Paul</v>
      </c>
      <c r="L392" s="2" t="str">
        <f>_xlfn.XLOOKUP(F392,customers!A:A,customers!G:G)</f>
        <v>United States</v>
      </c>
      <c r="M392" t="str">
        <f>_xlfn.XLOOKUP(G392,products!A:A,products!B:B)</f>
        <v>Exc</v>
      </c>
      <c r="N392" t="str">
        <f>_xlfn.XLOOKUP(G392,products!A:A,products!C:C)</f>
        <v>D</v>
      </c>
      <c r="O392">
        <f>_xlfn.XLOOKUP(G392,products!A:A,products!D:D)</f>
        <v>0.5</v>
      </c>
      <c r="P392">
        <f>_xlfn.XLOOKUP(G392,products!A:A,products!E:E)</f>
        <v>7.29</v>
      </c>
      <c r="Q392">
        <f t="shared" si="27"/>
        <v>14.58</v>
      </c>
      <c r="R392" t="str" cm="1">
        <f t="array" ref="R392">_xlfn.IFS(Q392&lt;=50,"low sales",Q392&lt;=100,"medium sales",Q392&gt;100,"High sales")</f>
        <v>low sales</v>
      </c>
    </row>
    <row r="393" spans="1:18" x14ac:dyDescent="0.35">
      <c r="A393" s="2" t="s">
        <v>2694</v>
      </c>
      <c r="B393" s="3">
        <v>44133</v>
      </c>
      <c r="C393" s="3" t="str">
        <f t="shared" si="24"/>
        <v>Thursday</v>
      </c>
      <c r="D393" s="3" t="str">
        <f t="shared" si="25"/>
        <v>October</v>
      </c>
      <c r="E393" s="3" t="str">
        <f t="shared" si="26"/>
        <v>2020</v>
      </c>
      <c r="F393" s="2" t="s">
        <v>2695</v>
      </c>
      <c r="G393" t="s">
        <v>6157</v>
      </c>
      <c r="H393" s="2">
        <v>2</v>
      </c>
      <c r="I393" s="2" t="str">
        <f>_xlfn.XLOOKUP(F393,customers!A:A,customers!B:B)</f>
        <v>Itch Norquoy</v>
      </c>
      <c r="J393" s="2" t="str">
        <f>_xlfn.XLOOKUP(F393,customers!A:A,customers!C:C)</f>
        <v>inorquoyav@businessweek.com</v>
      </c>
      <c r="K393" s="2" t="str">
        <f>_xlfn.XLOOKUP(F393,customers!A:A,customers!F:F)</f>
        <v>Minneapolis</v>
      </c>
      <c r="L393" s="2" t="str">
        <f>_xlfn.XLOOKUP(F393,customers!A:A,customers!G:G)</f>
        <v>United States</v>
      </c>
      <c r="M393" t="str">
        <f>_xlfn.XLOOKUP(G393,products!A:A,products!B:B)</f>
        <v>Ara</v>
      </c>
      <c r="N393" t="str">
        <f>_xlfn.XLOOKUP(G393,products!A:A,products!C:C)</f>
        <v>M</v>
      </c>
      <c r="O393">
        <f>_xlfn.XLOOKUP(G393,products!A:A,products!D:D)</f>
        <v>0.5</v>
      </c>
      <c r="P393">
        <f>_xlfn.XLOOKUP(G393,products!A:A,products!E:E)</f>
        <v>6.75</v>
      </c>
      <c r="Q393">
        <f t="shared" si="27"/>
        <v>13.5</v>
      </c>
      <c r="R393" t="str" cm="1">
        <f t="array" ref="R393">_xlfn.IFS(Q393&lt;=50,"low sales",Q393&lt;=100,"medium sales",Q393&gt;100,"High sales")</f>
        <v>low sales</v>
      </c>
    </row>
    <row r="394" spans="1:18" x14ac:dyDescent="0.35">
      <c r="A394" s="2" t="s">
        <v>2699</v>
      </c>
      <c r="B394" s="3">
        <v>44445</v>
      </c>
      <c r="C394" s="3" t="str">
        <f t="shared" si="24"/>
        <v>Monday</v>
      </c>
      <c r="D394" s="3" t="str">
        <f t="shared" si="25"/>
        <v>September</v>
      </c>
      <c r="E394" s="3" t="str">
        <f t="shared" si="26"/>
        <v>2021</v>
      </c>
      <c r="F394" s="2" t="s">
        <v>2700</v>
      </c>
      <c r="G394" t="s">
        <v>6171</v>
      </c>
      <c r="H394" s="2">
        <v>6</v>
      </c>
      <c r="I394" s="2" t="str">
        <f>_xlfn.XLOOKUP(F394,customers!A:A,customers!B:B)</f>
        <v>Anson Iddison</v>
      </c>
      <c r="J394" s="2" t="str">
        <f>_xlfn.XLOOKUP(F394,customers!A:A,customers!C:C)</f>
        <v>aiddisonaw@usa.gov</v>
      </c>
      <c r="K394" s="2" t="str">
        <f>_xlfn.XLOOKUP(F394,customers!A:A,customers!F:F)</f>
        <v>Santa Ana</v>
      </c>
      <c r="L394" s="2" t="str">
        <f>_xlfn.XLOOKUP(F394,customers!A:A,customers!G:G)</f>
        <v>United States</v>
      </c>
      <c r="M394" t="str">
        <f>_xlfn.XLOOKUP(G394,products!A:A,products!B:B)</f>
        <v>Exc</v>
      </c>
      <c r="N394" t="str">
        <f>_xlfn.XLOOKUP(G394,products!A:A,products!C:C)</f>
        <v>L</v>
      </c>
      <c r="O394">
        <f>_xlfn.XLOOKUP(G394,products!A:A,products!D:D)</f>
        <v>1</v>
      </c>
      <c r="P394">
        <f>_xlfn.XLOOKUP(G394,products!A:A,products!E:E)</f>
        <v>14.85</v>
      </c>
      <c r="Q394">
        <f t="shared" si="27"/>
        <v>89.1</v>
      </c>
      <c r="R394" t="str" cm="1">
        <f t="array" ref="R394">_xlfn.IFS(Q394&lt;=50,"low sales",Q394&lt;=100,"medium sales",Q394&gt;100,"High sales")</f>
        <v>medium sales</v>
      </c>
    </row>
    <row r="395" spans="1:18" x14ac:dyDescent="0.35">
      <c r="A395" s="2" t="s">
        <v>2699</v>
      </c>
      <c r="B395" s="3">
        <v>44445</v>
      </c>
      <c r="C395" s="3" t="str">
        <f t="shared" si="24"/>
        <v>Monday</v>
      </c>
      <c r="D395" s="3" t="str">
        <f t="shared" si="25"/>
        <v>September</v>
      </c>
      <c r="E395" s="3" t="str">
        <f t="shared" si="26"/>
        <v>2021</v>
      </c>
      <c r="F395" s="2" t="s">
        <v>2700</v>
      </c>
      <c r="G395" t="s">
        <v>6167</v>
      </c>
      <c r="H395" s="2">
        <v>1</v>
      </c>
      <c r="I395" s="2" t="str">
        <f>_xlfn.XLOOKUP(F395,customers!A:A,customers!B:B)</f>
        <v>Anson Iddison</v>
      </c>
      <c r="J395" s="2" t="str">
        <f>_xlfn.XLOOKUP(F395,customers!A:A,customers!C:C)</f>
        <v>aiddisonaw@usa.gov</v>
      </c>
      <c r="K395" s="2" t="str">
        <f>_xlfn.XLOOKUP(F395,customers!A:A,customers!F:F)</f>
        <v>Santa Ana</v>
      </c>
      <c r="L395" s="2" t="str">
        <f>_xlfn.XLOOKUP(F395,customers!A:A,customers!G:G)</f>
        <v>United States</v>
      </c>
      <c r="M395" t="str">
        <f>_xlfn.XLOOKUP(G395,products!A:A,products!B:B)</f>
        <v>Ara</v>
      </c>
      <c r="N395" t="str">
        <f>_xlfn.XLOOKUP(G395,products!A:A,products!C:C)</f>
        <v>L</v>
      </c>
      <c r="O395">
        <f>_xlfn.XLOOKUP(G395,products!A:A,products!D:D)</f>
        <v>0.2</v>
      </c>
      <c r="P395">
        <f>_xlfn.XLOOKUP(G395,products!A:A,products!E:E)</f>
        <v>3.8849999999999998</v>
      </c>
      <c r="Q395">
        <f t="shared" si="27"/>
        <v>3.8849999999999998</v>
      </c>
      <c r="R395" t="str" cm="1">
        <f t="array" ref="R395">_xlfn.IFS(Q395&lt;=50,"low sales",Q395&lt;=100,"medium sales",Q395&gt;100,"High sales")</f>
        <v>low sales</v>
      </c>
    </row>
    <row r="396" spans="1:18" x14ac:dyDescent="0.35">
      <c r="A396" s="2" t="s">
        <v>2710</v>
      </c>
      <c r="B396" s="3">
        <v>44083</v>
      </c>
      <c r="C396" s="3" t="str">
        <f t="shared" si="24"/>
        <v>Wednesday</v>
      </c>
      <c r="D396" s="3" t="str">
        <f t="shared" si="25"/>
        <v>September</v>
      </c>
      <c r="E396" s="3" t="str">
        <f t="shared" si="26"/>
        <v>2020</v>
      </c>
      <c r="F396" s="2" t="s">
        <v>2711</v>
      </c>
      <c r="G396" t="s">
        <v>6142</v>
      </c>
      <c r="H396" s="2">
        <v>4</v>
      </c>
      <c r="I396" s="2" t="str">
        <f>_xlfn.XLOOKUP(F396,customers!A:A,customers!B:B)</f>
        <v>Randal Longfield</v>
      </c>
      <c r="J396" s="2" t="str">
        <f>_xlfn.XLOOKUP(F396,customers!A:A,customers!C:C)</f>
        <v>rlongfielday@bluehost.com</v>
      </c>
      <c r="K396" s="2" t="str">
        <f>_xlfn.XLOOKUP(F396,customers!A:A,customers!F:F)</f>
        <v>Minneapolis</v>
      </c>
      <c r="L396" s="2" t="str">
        <f>_xlfn.XLOOKUP(F396,customers!A:A,customers!G:G)</f>
        <v>United States</v>
      </c>
      <c r="M396" t="str">
        <f>_xlfn.XLOOKUP(G396,products!A:A,products!B:B)</f>
        <v>Rob</v>
      </c>
      <c r="N396" t="str">
        <f>_xlfn.XLOOKUP(G396,products!A:A,products!C:C)</f>
        <v>L</v>
      </c>
      <c r="O396">
        <f>_xlfn.XLOOKUP(G396,products!A:A,products!D:D)</f>
        <v>2.5</v>
      </c>
      <c r="P396">
        <f>_xlfn.XLOOKUP(G396,products!A:A,products!E:E)</f>
        <v>27.484999999999996</v>
      </c>
      <c r="Q396">
        <f t="shared" si="27"/>
        <v>109.93999999999998</v>
      </c>
      <c r="R396" t="str" cm="1">
        <f t="array" ref="R396">_xlfn.IFS(Q396&lt;=50,"low sales",Q396&lt;=100,"medium sales",Q396&gt;100,"High sales")</f>
        <v>High sales</v>
      </c>
    </row>
    <row r="397" spans="1:18" x14ac:dyDescent="0.35">
      <c r="A397" s="2" t="s">
        <v>2716</v>
      </c>
      <c r="B397" s="3">
        <v>44465</v>
      </c>
      <c r="C397" s="3" t="str">
        <f t="shared" si="24"/>
        <v>Sunday</v>
      </c>
      <c r="D397" s="3" t="str">
        <f t="shared" si="25"/>
        <v>September</v>
      </c>
      <c r="E397" s="3" t="str">
        <f t="shared" si="26"/>
        <v>2021</v>
      </c>
      <c r="F397" s="2" t="s">
        <v>2717</v>
      </c>
      <c r="G397" t="s">
        <v>6169</v>
      </c>
      <c r="H397" s="2">
        <v>6</v>
      </c>
      <c r="I397" s="2" t="str">
        <f>_xlfn.XLOOKUP(F397,customers!A:A,customers!B:B)</f>
        <v>Gregorius Kislingbury</v>
      </c>
      <c r="J397" s="2" t="str">
        <f>_xlfn.XLOOKUP(F397,customers!A:A,customers!C:C)</f>
        <v>gkislingburyaz@samsung.com</v>
      </c>
      <c r="K397" s="2" t="str">
        <f>_xlfn.XLOOKUP(F397,customers!A:A,customers!F:F)</f>
        <v>Washington</v>
      </c>
      <c r="L397" s="2" t="str">
        <f>_xlfn.XLOOKUP(F397,customers!A:A,customers!G:G)</f>
        <v>United States</v>
      </c>
      <c r="M397" t="str">
        <f>_xlfn.XLOOKUP(G397,products!A:A,products!B:B)</f>
        <v>Lib</v>
      </c>
      <c r="N397" t="str">
        <f>_xlfn.XLOOKUP(G397,products!A:A,products!C:C)</f>
        <v>D</v>
      </c>
      <c r="O397">
        <f>_xlfn.XLOOKUP(G397,products!A:A,products!D:D)</f>
        <v>0.5</v>
      </c>
      <c r="P397">
        <f>_xlfn.XLOOKUP(G397,products!A:A,products!E:E)</f>
        <v>7.77</v>
      </c>
      <c r="Q397">
        <f t="shared" si="27"/>
        <v>46.62</v>
      </c>
      <c r="R397" t="str" cm="1">
        <f t="array" ref="R397">_xlfn.IFS(Q397&lt;=50,"low sales",Q397&lt;=100,"medium sales",Q397&gt;100,"High sales")</f>
        <v>low sales</v>
      </c>
    </row>
    <row r="398" spans="1:18" x14ac:dyDescent="0.35">
      <c r="A398" s="2" t="s">
        <v>2721</v>
      </c>
      <c r="B398" s="3">
        <v>44140</v>
      </c>
      <c r="C398" s="3" t="str">
        <f t="shared" si="24"/>
        <v>Thursday</v>
      </c>
      <c r="D398" s="3" t="str">
        <f t="shared" si="25"/>
        <v>November</v>
      </c>
      <c r="E398" s="3" t="str">
        <f t="shared" si="26"/>
        <v>2020</v>
      </c>
      <c r="F398" s="2" t="s">
        <v>2722</v>
      </c>
      <c r="G398" t="s">
        <v>6180</v>
      </c>
      <c r="H398" s="2">
        <v>5</v>
      </c>
      <c r="I398" s="2" t="str">
        <f>_xlfn.XLOOKUP(F398,customers!A:A,customers!B:B)</f>
        <v>Xenos Gibbons</v>
      </c>
      <c r="J398" s="2" t="str">
        <f>_xlfn.XLOOKUP(F398,customers!A:A,customers!C:C)</f>
        <v>xgibbonsb0@artisteer.com</v>
      </c>
      <c r="K398" s="2" t="str">
        <f>_xlfn.XLOOKUP(F398,customers!A:A,customers!F:F)</f>
        <v>San Bernardino</v>
      </c>
      <c r="L398" s="2" t="str">
        <f>_xlfn.XLOOKUP(F398,customers!A:A,customers!G:G)</f>
        <v>United States</v>
      </c>
      <c r="M398" t="str">
        <f>_xlfn.XLOOKUP(G398,products!A:A,products!B:B)</f>
        <v>Ara</v>
      </c>
      <c r="N398" t="str">
        <f>_xlfn.XLOOKUP(G398,products!A:A,products!C:C)</f>
        <v>L</v>
      </c>
      <c r="O398">
        <f>_xlfn.XLOOKUP(G398,products!A:A,products!D:D)</f>
        <v>0.5</v>
      </c>
      <c r="P398">
        <f>_xlfn.XLOOKUP(G398,products!A:A,products!E:E)</f>
        <v>7.77</v>
      </c>
      <c r="Q398">
        <f t="shared" si="27"/>
        <v>38.849999999999994</v>
      </c>
      <c r="R398" t="str" cm="1">
        <f t="array" ref="R398">_xlfn.IFS(Q398&lt;=50,"low sales",Q398&lt;=100,"medium sales",Q398&gt;100,"High sales")</f>
        <v>low sales</v>
      </c>
    </row>
    <row r="399" spans="1:18" x14ac:dyDescent="0.35">
      <c r="A399" s="2" t="s">
        <v>2727</v>
      </c>
      <c r="B399" s="3">
        <v>43720</v>
      </c>
      <c r="C399" s="3" t="str">
        <f t="shared" si="24"/>
        <v>Thursday</v>
      </c>
      <c r="D399" s="3" t="str">
        <f t="shared" si="25"/>
        <v>September</v>
      </c>
      <c r="E399" s="3" t="str">
        <f t="shared" si="26"/>
        <v>2019</v>
      </c>
      <c r="F399" s="2" t="s">
        <v>2728</v>
      </c>
      <c r="G399" t="s">
        <v>6169</v>
      </c>
      <c r="H399" s="2">
        <v>4</v>
      </c>
      <c r="I399" s="2" t="str">
        <f>_xlfn.XLOOKUP(F399,customers!A:A,customers!B:B)</f>
        <v>Fleur Parres</v>
      </c>
      <c r="J399" s="2" t="str">
        <f>_xlfn.XLOOKUP(F399,customers!A:A,customers!C:C)</f>
        <v>fparresb1@imageshack.us</v>
      </c>
      <c r="K399" s="2" t="str">
        <f>_xlfn.XLOOKUP(F399,customers!A:A,customers!F:F)</f>
        <v>Rochester</v>
      </c>
      <c r="L399" s="2" t="str">
        <f>_xlfn.XLOOKUP(F399,customers!A:A,customers!G:G)</f>
        <v>United States</v>
      </c>
      <c r="M399" t="str">
        <f>_xlfn.XLOOKUP(G399,products!A:A,products!B:B)</f>
        <v>Lib</v>
      </c>
      <c r="N399" t="str">
        <f>_xlfn.XLOOKUP(G399,products!A:A,products!C:C)</f>
        <v>D</v>
      </c>
      <c r="O399">
        <f>_xlfn.XLOOKUP(G399,products!A:A,products!D:D)</f>
        <v>0.5</v>
      </c>
      <c r="P399">
        <f>_xlfn.XLOOKUP(G399,products!A:A,products!E:E)</f>
        <v>7.77</v>
      </c>
      <c r="Q399">
        <f t="shared" si="27"/>
        <v>31.08</v>
      </c>
      <c r="R399" t="str" cm="1">
        <f t="array" ref="R399">_xlfn.IFS(Q399&lt;=50,"low sales",Q399&lt;=100,"medium sales",Q399&gt;100,"High sales")</f>
        <v>low sales</v>
      </c>
    </row>
    <row r="400" spans="1:18" x14ac:dyDescent="0.35">
      <c r="A400" s="2" t="s">
        <v>2733</v>
      </c>
      <c r="B400" s="3">
        <v>43677</v>
      </c>
      <c r="C400" s="3" t="str">
        <f t="shared" si="24"/>
        <v>Wednesday</v>
      </c>
      <c r="D400" s="3" t="str">
        <f t="shared" si="25"/>
        <v>July</v>
      </c>
      <c r="E400" s="3" t="str">
        <f t="shared" si="26"/>
        <v>2019</v>
      </c>
      <c r="F400" s="2" t="s">
        <v>2734</v>
      </c>
      <c r="G400" t="s">
        <v>6154</v>
      </c>
      <c r="H400" s="2">
        <v>6</v>
      </c>
      <c r="I400" s="2" t="str">
        <f>_xlfn.XLOOKUP(F400,customers!A:A,customers!B:B)</f>
        <v>Gran Sibray</v>
      </c>
      <c r="J400" s="2" t="str">
        <f>_xlfn.XLOOKUP(F400,customers!A:A,customers!C:C)</f>
        <v>gsibrayb2@wsj.com</v>
      </c>
      <c r="K400" s="2" t="str">
        <f>_xlfn.XLOOKUP(F400,customers!A:A,customers!F:F)</f>
        <v>Vancouver</v>
      </c>
      <c r="L400" s="2" t="str">
        <f>_xlfn.XLOOKUP(F400,customers!A:A,customers!G:G)</f>
        <v>United States</v>
      </c>
      <c r="M400" t="str">
        <f>_xlfn.XLOOKUP(G400,products!A:A,products!B:B)</f>
        <v>Ara</v>
      </c>
      <c r="N400" t="str">
        <f>_xlfn.XLOOKUP(G400,products!A:A,products!C:C)</f>
        <v>D</v>
      </c>
      <c r="O400">
        <f>_xlfn.XLOOKUP(G400,products!A:A,products!D:D)</f>
        <v>0.2</v>
      </c>
      <c r="P400">
        <f>_xlfn.XLOOKUP(G400,products!A:A,products!E:E)</f>
        <v>2.9849999999999999</v>
      </c>
      <c r="Q400">
        <f t="shared" si="27"/>
        <v>17.91</v>
      </c>
      <c r="R400" t="str" cm="1">
        <f t="array" ref="R400">_xlfn.IFS(Q400&lt;=50,"low sales",Q400&lt;=100,"medium sales",Q400&gt;100,"High sales")</f>
        <v>low sales</v>
      </c>
    </row>
    <row r="401" spans="1:18" x14ac:dyDescent="0.35">
      <c r="A401" s="2" t="s">
        <v>2739</v>
      </c>
      <c r="B401" s="3">
        <v>43539</v>
      </c>
      <c r="C401" s="3" t="str">
        <f t="shared" si="24"/>
        <v>Friday</v>
      </c>
      <c r="D401" s="3" t="str">
        <f t="shared" si="25"/>
        <v>March</v>
      </c>
      <c r="E401" s="3" t="str">
        <f t="shared" si="26"/>
        <v>2019</v>
      </c>
      <c r="F401" s="2" t="s">
        <v>2740</v>
      </c>
      <c r="G401" t="s">
        <v>6185</v>
      </c>
      <c r="H401" s="2">
        <v>6</v>
      </c>
      <c r="I401" s="2" t="str">
        <f>_xlfn.XLOOKUP(F401,customers!A:A,customers!B:B)</f>
        <v>Ingelbert Hotchkin</v>
      </c>
      <c r="J401" s="2" t="str">
        <f>_xlfn.XLOOKUP(F401,customers!A:A,customers!C:C)</f>
        <v>ihotchkinb3@mit.edu</v>
      </c>
      <c r="K401" s="2" t="str">
        <f>_xlfn.XLOOKUP(F401,customers!A:A,customers!F:F)</f>
        <v>Preston</v>
      </c>
      <c r="L401" s="2" t="str">
        <f>_xlfn.XLOOKUP(F401,customers!A:A,customers!G:G)</f>
        <v>United Kingdom</v>
      </c>
      <c r="M401" t="str">
        <f>_xlfn.XLOOKUP(G401,products!A:A,products!B:B)</f>
        <v>Exc</v>
      </c>
      <c r="N401" t="str">
        <f>_xlfn.XLOOKUP(G401,products!A:A,products!C:C)</f>
        <v>D</v>
      </c>
      <c r="O401">
        <f>_xlfn.XLOOKUP(G401,products!A:A,products!D:D)</f>
        <v>2.5</v>
      </c>
      <c r="P401">
        <f>_xlfn.XLOOKUP(G401,products!A:A,products!E:E)</f>
        <v>27.945</v>
      </c>
      <c r="Q401">
        <f t="shared" si="27"/>
        <v>167.67000000000002</v>
      </c>
      <c r="R401" t="str" cm="1">
        <f t="array" ref="R401">_xlfn.IFS(Q401&lt;=50,"low sales",Q401&lt;=100,"medium sales",Q401&gt;100,"High sales")</f>
        <v>High sales</v>
      </c>
    </row>
    <row r="402" spans="1:18" x14ac:dyDescent="0.35">
      <c r="A402" s="2" t="s">
        <v>2745</v>
      </c>
      <c r="B402" s="3">
        <v>44332</v>
      </c>
      <c r="C402" s="3" t="str">
        <f t="shared" si="24"/>
        <v>Sunday</v>
      </c>
      <c r="D402" s="3" t="str">
        <f t="shared" si="25"/>
        <v>May</v>
      </c>
      <c r="E402" s="3" t="str">
        <f t="shared" si="26"/>
        <v>2021</v>
      </c>
      <c r="F402" s="2" t="s">
        <v>2746</v>
      </c>
      <c r="G402" t="s">
        <v>6170</v>
      </c>
      <c r="H402" s="2">
        <v>4</v>
      </c>
      <c r="I402" s="2" t="str">
        <f>_xlfn.XLOOKUP(F402,customers!A:A,customers!B:B)</f>
        <v>Neely Broadberrie</v>
      </c>
      <c r="J402" s="2" t="str">
        <f>_xlfn.XLOOKUP(F402,customers!A:A,customers!C:C)</f>
        <v>nbroadberrieb4@gnu.org</v>
      </c>
      <c r="K402" s="2" t="str">
        <f>_xlfn.XLOOKUP(F402,customers!A:A,customers!F:F)</f>
        <v>Washington</v>
      </c>
      <c r="L402" s="2" t="str">
        <f>_xlfn.XLOOKUP(F402,customers!A:A,customers!G:G)</f>
        <v>United States</v>
      </c>
      <c r="M402" t="str">
        <f>_xlfn.XLOOKUP(G402,products!A:A,products!B:B)</f>
        <v>Lib</v>
      </c>
      <c r="N402" t="str">
        <f>_xlfn.XLOOKUP(G402,products!A:A,products!C:C)</f>
        <v>L</v>
      </c>
      <c r="O402">
        <f>_xlfn.XLOOKUP(G402,products!A:A,products!D:D)</f>
        <v>1</v>
      </c>
      <c r="P402">
        <f>_xlfn.XLOOKUP(G402,products!A:A,products!E:E)</f>
        <v>15.85</v>
      </c>
      <c r="Q402">
        <f t="shared" si="27"/>
        <v>63.4</v>
      </c>
      <c r="R402" t="str" cm="1">
        <f t="array" ref="R402">_xlfn.IFS(Q402&lt;=50,"low sales",Q402&lt;=100,"medium sales",Q402&gt;100,"High sales")</f>
        <v>medium sales</v>
      </c>
    </row>
    <row r="403" spans="1:18" x14ac:dyDescent="0.35">
      <c r="A403" s="2" t="s">
        <v>2751</v>
      </c>
      <c r="B403" s="3">
        <v>43591</v>
      </c>
      <c r="C403" s="3" t="str">
        <f t="shared" si="24"/>
        <v>Monday</v>
      </c>
      <c r="D403" s="3" t="str">
        <f t="shared" si="25"/>
        <v>May</v>
      </c>
      <c r="E403" s="3" t="str">
        <f t="shared" si="26"/>
        <v>2019</v>
      </c>
      <c r="F403" s="2" t="s">
        <v>2752</v>
      </c>
      <c r="G403" t="s">
        <v>6159</v>
      </c>
      <c r="H403" s="2">
        <v>2</v>
      </c>
      <c r="I403" s="2" t="str">
        <f>_xlfn.XLOOKUP(F403,customers!A:A,customers!B:B)</f>
        <v>Rutger Pithcock</v>
      </c>
      <c r="J403" s="2" t="str">
        <f>_xlfn.XLOOKUP(F403,customers!A:A,customers!C:C)</f>
        <v>rpithcockb5@yellowbook.com</v>
      </c>
      <c r="K403" s="2" t="str">
        <f>_xlfn.XLOOKUP(F403,customers!A:A,customers!F:F)</f>
        <v>Knoxville</v>
      </c>
      <c r="L403" s="2" t="str">
        <f>_xlfn.XLOOKUP(F403,customers!A:A,customers!G:G)</f>
        <v>United States</v>
      </c>
      <c r="M403" t="str">
        <f>_xlfn.XLOOKUP(G403,products!A:A,products!B:B)</f>
        <v>Lib</v>
      </c>
      <c r="N403" t="str">
        <f>_xlfn.XLOOKUP(G403,products!A:A,products!C:C)</f>
        <v>M</v>
      </c>
      <c r="O403">
        <f>_xlfn.XLOOKUP(G403,products!A:A,products!D:D)</f>
        <v>0.2</v>
      </c>
      <c r="P403">
        <f>_xlfn.XLOOKUP(G403,products!A:A,products!E:E)</f>
        <v>4.3650000000000002</v>
      </c>
      <c r="Q403">
        <f t="shared" si="27"/>
        <v>8.73</v>
      </c>
      <c r="R403" t="str" cm="1">
        <f t="array" ref="R403">_xlfn.IFS(Q403&lt;=50,"low sales",Q403&lt;=100,"medium sales",Q403&gt;100,"High sales")</f>
        <v>low sales</v>
      </c>
    </row>
    <row r="404" spans="1:18" x14ac:dyDescent="0.35">
      <c r="A404" s="2" t="s">
        <v>2757</v>
      </c>
      <c r="B404" s="3">
        <v>43502</v>
      </c>
      <c r="C404" s="3" t="str">
        <f t="shared" si="24"/>
        <v>Wednesday</v>
      </c>
      <c r="D404" s="3" t="str">
        <f t="shared" si="25"/>
        <v>February</v>
      </c>
      <c r="E404" s="3" t="str">
        <f t="shared" si="26"/>
        <v>2019</v>
      </c>
      <c r="F404" s="2" t="s">
        <v>2758</v>
      </c>
      <c r="G404" t="s">
        <v>6177</v>
      </c>
      <c r="H404" s="2">
        <v>3</v>
      </c>
      <c r="I404" s="2" t="str">
        <f>_xlfn.XLOOKUP(F404,customers!A:A,customers!B:B)</f>
        <v>Gale Croysdale</v>
      </c>
      <c r="J404" s="2" t="str">
        <f>_xlfn.XLOOKUP(F404,customers!A:A,customers!C:C)</f>
        <v>gcroysdaleb6@nih.gov</v>
      </c>
      <c r="K404" s="2" t="str">
        <f>_xlfn.XLOOKUP(F404,customers!A:A,customers!F:F)</f>
        <v>Charleston</v>
      </c>
      <c r="L404" s="2" t="str">
        <f>_xlfn.XLOOKUP(F404,customers!A:A,customers!G:G)</f>
        <v>United States</v>
      </c>
      <c r="M404" t="str">
        <f>_xlfn.XLOOKUP(G404,products!A:A,products!B:B)</f>
        <v>Rob</v>
      </c>
      <c r="N404" t="str">
        <f>_xlfn.XLOOKUP(G404,products!A:A,products!C:C)</f>
        <v>D</v>
      </c>
      <c r="O404">
        <f>_xlfn.XLOOKUP(G404,products!A:A,products!D:D)</f>
        <v>1</v>
      </c>
      <c r="P404">
        <f>_xlfn.XLOOKUP(G404,products!A:A,products!E:E)</f>
        <v>8.9499999999999993</v>
      </c>
      <c r="Q404">
        <f t="shared" si="27"/>
        <v>26.849999999999998</v>
      </c>
      <c r="R404" t="str" cm="1">
        <f t="array" ref="R404">_xlfn.IFS(Q404&lt;=50,"low sales",Q404&lt;=100,"medium sales",Q404&gt;100,"High sales")</f>
        <v>low sales</v>
      </c>
    </row>
    <row r="405" spans="1:18" x14ac:dyDescent="0.35">
      <c r="A405" s="2" t="s">
        <v>2763</v>
      </c>
      <c r="B405" s="3">
        <v>44295</v>
      </c>
      <c r="C405" s="3" t="str">
        <f t="shared" si="24"/>
        <v>Friday</v>
      </c>
      <c r="D405" s="3" t="str">
        <f t="shared" si="25"/>
        <v>April</v>
      </c>
      <c r="E405" s="3" t="str">
        <f t="shared" si="26"/>
        <v>2021</v>
      </c>
      <c r="F405" s="2" t="s">
        <v>2764</v>
      </c>
      <c r="G405" t="s">
        <v>6145</v>
      </c>
      <c r="H405" s="2">
        <v>2</v>
      </c>
      <c r="I405" s="2" t="str">
        <f>_xlfn.XLOOKUP(F405,customers!A:A,customers!B:B)</f>
        <v>Benedetto Gozzett</v>
      </c>
      <c r="J405" s="2" t="str">
        <f>_xlfn.XLOOKUP(F405,customers!A:A,customers!C:C)</f>
        <v>bgozzettb7@github.com</v>
      </c>
      <c r="K405" s="2" t="str">
        <f>_xlfn.XLOOKUP(F405,customers!A:A,customers!F:F)</f>
        <v>Dallas</v>
      </c>
      <c r="L405" s="2" t="str">
        <f>_xlfn.XLOOKUP(F405,customers!A:A,customers!G:G)</f>
        <v>United States</v>
      </c>
      <c r="M405" t="str">
        <f>_xlfn.XLOOKUP(G405,products!A:A,products!B:B)</f>
        <v>Lib</v>
      </c>
      <c r="N405" t="str">
        <f>_xlfn.XLOOKUP(G405,products!A:A,products!C:C)</f>
        <v>L</v>
      </c>
      <c r="O405">
        <f>_xlfn.XLOOKUP(G405,products!A:A,products!D:D)</f>
        <v>0.2</v>
      </c>
      <c r="P405">
        <f>_xlfn.XLOOKUP(G405,products!A:A,products!E:E)</f>
        <v>4.7549999999999999</v>
      </c>
      <c r="Q405">
        <f t="shared" si="27"/>
        <v>9.51</v>
      </c>
      <c r="R405" t="str" cm="1">
        <f t="array" ref="R405">_xlfn.IFS(Q405&lt;=50,"low sales",Q405&lt;=100,"medium sales",Q405&gt;100,"High sales")</f>
        <v>low sales</v>
      </c>
    </row>
    <row r="406" spans="1:18" x14ac:dyDescent="0.35">
      <c r="A406" s="2" t="s">
        <v>2769</v>
      </c>
      <c r="B406" s="3">
        <v>43971</v>
      </c>
      <c r="C406" s="3" t="str">
        <f t="shared" si="24"/>
        <v>Wednesday</v>
      </c>
      <c r="D406" s="3" t="str">
        <f t="shared" si="25"/>
        <v>May</v>
      </c>
      <c r="E406" s="3" t="str">
        <f t="shared" si="26"/>
        <v>2020</v>
      </c>
      <c r="F406" s="2" t="s">
        <v>2770</v>
      </c>
      <c r="G406" t="s">
        <v>6147</v>
      </c>
      <c r="H406" s="2">
        <v>4</v>
      </c>
      <c r="I406" s="2" t="str">
        <f>_xlfn.XLOOKUP(F406,customers!A:A,customers!B:B)</f>
        <v>Tania Craggs</v>
      </c>
      <c r="J406" s="2" t="str">
        <f>_xlfn.XLOOKUP(F406,customers!A:A,customers!C:C)</f>
        <v>tcraggsb8@house.gov</v>
      </c>
      <c r="K406" s="2" t="str">
        <f>_xlfn.XLOOKUP(F406,customers!A:A,customers!F:F)</f>
        <v>Whitegate</v>
      </c>
      <c r="L406" s="2" t="str">
        <f>_xlfn.XLOOKUP(F406,customers!A:A,customers!G:G)</f>
        <v>Ireland</v>
      </c>
      <c r="M406" t="str">
        <f>_xlfn.XLOOKUP(G406,products!A:A,products!B:B)</f>
        <v>Ara</v>
      </c>
      <c r="N406" t="str">
        <f>_xlfn.XLOOKUP(G406,products!A:A,products!C:C)</f>
        <v>D</v>
      </c>
      <c r="O406">
        <f>_xlfn.XLOOKUP(G406,products!A:A,products!D:D)</f>
        <v>1</v>
      </c>
      <c r="P406">
        <f>_xlfn.XLOOKUP(G406,products!A:A,products!E:E)</f>
        <v>9.9499999999999993</v>
      </c>
      <c r="Q406">
        <f t="shared" si="27"/>
        <v>39.799999999999997</v>
      </c>
      <c r="R406" t="str" cm="1">
        <f t="array" ref="R406">_xlfn.IFS(Q406&lt;=50,"low sales",Q406&lt;=100,"medium sales",Q406&gt;100,"High sales")</f>
        <v>low sales</v>
      </c>
    </row>
    <row r="407" spans="1:18" x14ac:dyDescent="0.35">
      <c r="A407" s="2" t="s">
        <v>2775</v>
      </c>
      <c r="B407" s="3">
        <v>44167</v>
      </c>
      <c r="C407" s="3" t="str">
        <f t="shared" si="24"/>
        <v>Wednesday</v>
      </c>
      <c r="D407" s="3" t="str">
        <f t="shared" si="25"/>
        <v>December</v>
      </c>
      <c r="E407" s="3" t="str">
        <f t="shared" si="26"/>
        <v>2020</v>
      </c>
      <c r="F407" s="2" t="s">
        <v>2776</v>
      </c>
      <c r="G407" t="s">
        <v>6139</v>
      </c>
      <c r="H407" s="2">
        <v>3</v>
      </c>
      <c r="I407" s="2" t="str">
        <f>_xlfn.XLOOKUP(F407,customers!A:A,customers!B:B)</f>
        <v>Leonie Cullrford</v>
      </c>
      <c r="J407" s="2" t="str">
        <f>_xlfn.XLOOKUP(F407,customers!A:A,customers!C:C)</f>
        <v>lcullrfordb9@xing.com</v>
      </c>
      <c r="K407" s="2" t="str">
        <f>_xlfn.XLOOKUP(F407,customers!A:A,customers!F:F)</f>
        <v>Chico</v>
      </c>
      <c r="L407" s="2" t="str">
        <f>_xlfn.XLOOKUP(F407,customers!A:A,customers!G:G)</f>
        <v>United States</v>
      </c>
      <c r="M407" t="str">
        <f>_xlfn.XLOOKUP(G407,products!A:A,products!B:B)</f>
        <v>Exc</v>
      </c>
      <c r="N407" t="str">
        <f>_xlfn.XLOOKUP(G407,products!A:A,products!C:C)</f>
        <v>M</v>
      </c>
      <c r="O407">
        <f>_xlfn.XLOOKUP(G407,products!A:A,products!D:D)</f>
        <v>0.5</v>
      </c>
      <c r="P407">
        <f>_xlfn.XLOOKUP(G407,products!A:A,products!E:E)</f>
        <v>8.25</v>
      </c>
      <c r="Q407">
        <f t="shared" si="27"/>
        <v>24.75</v>
      </c>
      <c r="R407" t="str" cm="1">
        <f t="array" ref="R407">_xlfn.IFS(Q407&lt;=50,"low sales",Q407&lt;=100,"medium sales",Q407&gt;100,"High sales")</f>
        <v>low sales</v>
      </c>
    </row>
    <row r="408" spans="1:18" x14ac:dyDescent="0.35">
      <c r="A408" s="2" t="s">
        <v>2781</v>
      </c>
      <c r="B408" s="3">
        <v>44416</v>
      </c>
      <c r="C408" s="3" t="str">
        <f t="shared" si="24"/>
        <v>Sunday</v>
      </c>
      <c r="D408" s="3" t="str">
        <f t="shared" si="25"/>
        <v>August</v>
      </c>
      <c r="E408" s="3" t="str">
        <f t="shared" si="26"/>
        <v>2021</v>
      </c>
      <c r="F408" s="2" t="s">
        <v>2782</v>
      </c>
      <c r="G408" t="s">
        <v>6141</v>
      </c>
      <c r="H408" s="2">
        <v>5</v>
      </c>
      <c r="I408" s="2" t="str">
        <f>_xlfn.XLOOKUP(F408,customers!A:A,customers!B:B)</f>
        <v>Auguste Rizon</v>
      </c>
      <c r="J408" s="2" t="str">
        <f>_xlfn.XLOOKUP(F408,customers!A:A,customers!C:C)</f>
        <v>arizonba@xing.com</v>
      </c>
      <c r="K408" s="2" t="str">
        <f>_xlfn.XLOOKUP(F408,customers!A:A,customers!F:F)</f>
        <v>Little Rock</v>
      </c>
      <c r="L408" s="2" t="str">
        <f>_xlfn.XLOOKUP(F408,customers!A:A,customers!G:G)</f>
        <v>United States</v>
      </c>
      <c r="M408" t="str">
        <f>_xlfn.XLOOKUP(G408,products!A:A,products!B:B)</f>
        <v>Exc</v>
      </c>
      <c r="N408" t="str">
        <f>_xlfn.XLOOKUP(G408,products!A:A,products!C:C)</f>
        <v>M</v>
      </c>
      <c r="O408">
        <f>_xlfn.XLOOKUP(G408,products!A:A,products!D:D)</f>
        <v>1</v>
      </c>
      <c r="P408">
        <f>_xlfn.XLOOKUP(G408,products!A:A,products!E:E)</f>
        <v>13.75</v>
      </c>
      <c r="Q408">
        <f t="shared" si="27"/>
        <v>68.75</v>
      </c>
      <c r="R408" t="str" cm="1">
        <f t="array" ref="R408">_xlfn.IFS(Q408&lt;=50,"low sales",Q408&lt;=100,"medium sales",Q408&gt;100,"High sales")</f>
        <v>medium sales</v>
      </c>
    </row>
    <row r="409" spans="1:18" x14ac:dyDescent="0.35">
      <c r="A409" s="2" t="s">
        <v>2787</v>
      </c>
      <c r="B409" s="3">
        <v>44595</v>
      </c>
      <c r="C409" s="3" t="str">
        <f t="shared" si="24"/>
        <v>Thursday</v>
      </c>
      <c r="D409" s="3" t="str">
        <f t="shared" si="25"/>
        <v>February</v>
      </c>
      <c r="E409" s="3" t="str">
        <f t="shared" si="26"/>
        <v>2022</v>
      </c>
      <c r="F409" s="2" t="s">
        <v>2788</v>
      </c>
      <c r="G409" t="s">
        <v>6139</v>
      </c>
      <c r="H409" s="2">
        <v>6</v>
      </c>
      <c r="I409" s="2" t="str">
        <f>_xlfn.XLOOKUP(F409,customers!A:A,customers!B:B)</f>
        <v>Lorin Guerrazzi</v>
      </c>
      <c r="J409" s="2">
        <f>_xlfn.XLOOKUP(F409,customers!A:A,customers!C:C)</f>
        <v>0</v>
      </c>
      <c r="K409" s="2" t="str">
        <f>_xlfn.XLOOKUP(F409,customers!A:A,customers!F:F)</f>
        <v>Balrothery</v>
      </c>
      <c r="L409" s="2" t="str">
        <f>_xlfn.XLOOKUP(F409,customers!A:A,customers!G:G)</f>
        <v>Ireland</v>
      </c>
      <c r="M409" t="str">
        <f>_xlfn.XLOOKUP(G409,products!A:A,products!B:B)</f>
        <v>Exc</v>
      </c>
      <c r="N409" t="str">
        <f>_xlfn.XLOOKUP(G409,products!A:A,products!C:C)</f>
        <v>M</v>
      </c>
      <c r="O409">
        <f>_xlfn.XLOOKUP(G409,products!A:A,products!D:D)</f>
        <v>0.5</v>
      </c>
      <c r="P409">
        <f>_xlfn.XLOOKUP(G409,products!A:A,products!E:E)</f>
        <v>8.25</v>
      </c>
      <c r="Q409">
        <f t="shared" si="27"/>
        <v>49.5</v>
      </c>
      <c r="R409" t="str" cm="1">
        <f t="array" ref="R409">_xlfn.IFS(Q409&lt;=50,"low sales",Q409&lt;=100,"medium sales",Q409&gt;100,"High sales")</f>
        <v>low sales</v>
      </c>
    </row>
    <row r="410" spans="1:18" x14ac:dyDescent="0.35">
      <c r="A410" s="2" t="s">
        <v>2792</v>
      </c>
      <c r="B410" s="3">
        <v>44659</v>
      </c>
      <c r="C410" s="3" t="str">
        <f t="shared" si="24"/>
        <v>Friday</v>
      </c>
      <c r="D410" s="3" t="str">
        <f t="shared" si="25"/>
        <v>April</v>
      </c>
      <c r="E410" s="3" t="str">
        <f t="shared" si="26"/>
        <v>2022</v>
      </c>
      <c r="F410" s="2" t="s">
        <v>2793</v>
      </c>
      <c r="G410" t="s">
        <v>6175</v>
      </c>
      <c r="H410" s="2">
        <v>2</v>
      </c>
      <c r="I410" s="2" t="str">
        <f>_xlfn.XLOOKUP(F410,customers!A:A,customers!B:B)</f>
        <v>Felice Miell</v>
      </c>
      <c r="J410" s="2" t="str">
        <f>_xlfn.XLOOKUP(F410,customers!A:A,customers!C:C)</f>
        <v>fmiellbc@spiegel.de</v>
      </c>
      <c r="K410" s="2" t="str">
        <f>_xlfn.XLOOKUP(F410,customers!A:A,customers!F:F)</f>
        <v>New Brunswick</v>
      </c>
      <c r="L410" s="2" t="str">
        <f>_xlfn.XLOOKUP(F410,customers!A:A,customers!G:G)</f>
        <v>United States</v>
      </c>
      <c r="M410" t="str">
        <f>_xlfn.XLOOKUP(G410,products!A:A,products!B:B)</f>
        <v>Ara</v>
      </c>
      <c r="N410" t="str">
        <f>_xlfn.XLOOKUP(G410,products!A:A,products!C:C)</f>
        <v>M</v>
      </c>
      <c r="O410">
        <f>_xlfn.XLOOKUP(G410,products!A:A,products!D:D)</f>
        <v>2.5</v>
      </c>
      <c r="P410">
        <f>_xlfn.XLOOKUP(G410,products!A:A,products!E:E)</f>
        <v>25.874999999999996</v>
      </c>
      <c r="Q410">
        <f t="shared" si="27"/>
        <v>51.749999999999993</v>
      </c>
      <c r="R410" t="str" cm="1">
        <f t="array" ref="R410">_xlfn.IFS(Q410&lt;=50,"low sales",Q410&lt;=100,"medium sales",Q410&gt;100,"High sales")</f>
        <v>medium sales</v>
      </c>
    </row>
    <row r="411" spans="1:18" x14ac:dyDescent="0.35">
      <c r="A411" s="2" t="s">
        <v>2798</v>
      </c>
      <c r="B411" s="3">
        <v>44203</v>
      </c>
      <c r="C411" s="3" t="str">
        <f t="shared" si="24"/>
        <v>Thursday</v>
      </c>
      <c r="D411" s="3" t="str">
        <f t="shared" si="25"/>
        <v>January</v>
      </c>
      <c r="E411" s="3" t="str">
        <f t="shared" si="26"/>
        <v>2021</v>
      </c>
      <c r="F411" s="2" t="s">
        <v>2799</v>
      </c>
      <c r="G411" t="s">
        <v>6170</v>
      </c>
      <c r="H411" s="2">
        <v>3</v>
      </c>
      <c r="I411" s="2" t="str">
        <f>_xlfn.XLOOKUP(F411,customers!A:A,customers!B:B)</f>
        <v>Hamish Skeech</v>
      </c>
      <c r="J411" s="2">
        <f>_xlfn.XLOOKUP(F411,customers!A:A,customers!C:C)</f>
        <v>0</v>
      </c>
      <c r="K411" s="2" t="str">
        <f>_xlfn.XLOOKUP(F411,customers!A:A,customers!F:F)</f>
        <v>Valleymount</v>
      </c>
      <c r="L411" s="2" t="str">
        <f>_xlfn.XLOOKUP(F411,customers!A:A,customers!G:G)</f>
        <v>Ireland</v>
      </c>
      <c r="M411" t="str">
        <f>_xlfn.XLOOKUP(G411,products!A:A,products!B:B)</f>
        <v>Lib</v>
      </c>
      <c r="N411" t="str">
        <f>_xlfn.XLOOKUP(G411,products!A:A,products!C:C)</f>
        <v>L</v>
      </c>
      <c r="O411">
        <f>_xlfn.XLOOKUP(G411,products!A:A,products!D:D)</f>
        <v>1</v>
      </c>
      <c r="P411">
        <f>_xlfn.XLOOKUP(G411,products!A:A,products!E:E)</f>
        <v>15.85</v>
      </c>
      <c r="Q411">
        <f t="shared" si="27"/>
        <v>47.55</v>
      </c>
      <c r="R411" t="str" cm="1">
        <f t="array" ref="R411">_xlfn.IFS(Q411&lt;=50,"low sales",Q411&lt;=100,"medium sales",Q411&gt;100,"High sales")</f>
        <v>low sales</v>
      </c>
    </row>
    <row r="412" spans="1:18" x14ac:dyDescent="0.35">
      <c r="A412" s="2" t="s">
        <v>2803</v>
      </c>
      <c r="B412" s="3">
        <v>44441</v>
      </c>
      <c r="C412" s="3" t="str">
        <f t="shared" si="24"/>
        <v>Thursday</v>
      </c>
      <c r="D412" s="3" t="str">
        <f t="shared" si="25"/>
        <v>September</v>
      </c>
      <c r="E412" s="3" t="str">
        <f t="shared" si="26"/>
        <v>2021</v>
      </c>
      <c r="F412" s="2" t="s">
        <v>2804</v>
      </c>
      <c r="G412" t="s">
        <v>6167</v>
      </c>
      <c r="H412" s="2">
        <v>4</v>
      </c>
      <c r="I412" s="2" t="str">
        <f>_xlfn.XLOOKUP(F412,customers!A:A,customers!B:B)</f>
        <v>Giordano Lorenzin</v>
      </c>
      <c r="J412" s="2">
        <f>_xlfn.XLOOKUP(F412,customers!A:A,customers!C:C)</f>
        <v>0</v>
      </c>
      <c r="K412" s="2" t="str">
        <f>_xlfn.XLOOKUP(F412,customers!A:A,customers!F:F)</f>
        <v>San Francisco</v>
      </c>
      <c r="L412" s="2" t="str">
        <f>_xlfn.XLOOKUP(F412,customers!A:A,customers!G:G)</f>
        <v>United States</v>
      </c>
      <c r="M412" t="str">
        <f>_xlfn.XLOOKUP(G412,products!A:A,products!B:B)</f>
        <v>Ara</v>
      </c>
      <c r="N412" t="str">
        <f>_xlfn.XLOOKUP(G412,products!A:A,products!C:C)</f>
        <v>L</v>
      </c>
      <c r="O412">
        <f>_xlfn.XLOOKUP(G412,products!A:A,products!D:D)</f>
        <v>0.2</v>
      </c>
      <c r="P412">
        <f>_xlfn.XLOOKUP(G412,products!A:A,products!E:E)</f>
        <v>3.8849999999999998</v>
      </c>
      <c r="Q412">
        <f t="shared" si="27"/>
        <v>15.54</v>
      </c>
      <c r="R412" t="str" cm="1">
        <f t="array" ref="R412">_xlfn.IFS(Q412&lt;=50,"low sales",Q412&lt;=100,"medium sales",Q412&gt;100,"High sales")</f>
        <v>low sales</v>
      </c>
    </row>
    <row r="413" spans="1:18" x14ac:dyDescent="0.35">
      <c r="A413" s="2" t="s">
        <v>2808</v>
      </c>
      <c r="B413" s="3">
        <v>44504</v>
      </c>
      <c r="C413" s="3" t="str">
        <f t="shared" si="24"/>
        <v>Thursday</v>
      </c>
      <c r="D413" s="3" t="str">
        <f t="shared" si="25"/>
        <v>November</v>
      </c>
      <c r="E413" s="3" t="str">
        <f t="shared" si="26"/>
        <v>2021</v>
      </c>
      <c r="F413" s="2" t="s">
        <v>2809</v>
      </c>
      <c r="G413" t="s">
        <v>6162</v>
      </c>
      <c r="H413" s="2">
        <v>6</v>
      </c>
      <c r="I413" s="2" t="str">
        <f>_xlfn.XLOOKUP(F413,customers!A:A,customers!B:B)</f>
        <v>Harwilll Bishell</v>
      </c>
      <c r="J413" s="2">
        <f>_xlfn.XLOOKUP(F413,customers!A:A,customers!C:C)</f>
        <v>0</v>
      </c>
      <c r="K413" s="2" t="str">
        <f>_xlfn.XLOOKUP(F413,customers!A:A,customers!F:F)</f>
        <v>Lafayette</v>
      </c>
      <c r="L413" s="2" t="str">
        <f>_xlfn.XLOOKUP(F413,customers!A:A,customers!G:G)</f>
        <v>United States</v>
      </c>
      <c r="M413" t="str">
        <f>_xlfn.XLOOKUP(G413,products!A:A,products!B:B)</f>
        <v>Lib</v>
      </c>
      <c r="N413" t="str">
        <f>_xlfn.XLOOKUP(G413,products!A:A,products!C:C)</f>
        <v>M</v>
      </c>
      <c r="O413">
        <f>_xlfn.XLOOKUP(G413,products!A:A,products!D:D)</f>
        <v>1</v>
      </c>
      <c r="P413">
        <f>_xlfn.XLOOKUP(G413,products!A:A,products!E:E)</f>
        <v>14.55</v>
      </c>
      <c r="Q413">
        <f t="shared" si="27"/>
        <v>87.300000000000011</v>
      </c>
      <c r="R413" t="str" cm="1">
        <f t="array" ref="R413">_xlfn.IFS(Q413&lt;=50,"low sales",Q413&lt;=100,"medium sales",Q413&gt;100,"High sales")</f>
        <v>medium sales</v>
      </c>
    </row>
    <row r="414" spans="1:18" x14ac:dyDescent="0.35">
      <c r="A414" s="2" t="s">
        <v>2813</v>
      </c>
      <c r="B414" s="3">
        <v>44410</v>
      </c>
      <c r="C414" s="3" t="str">
        <f t="shared" si="24"/>
        <v>Monday</v>
      </c>
      <c r="D414" s="3" t="str">
        <f t="shared" si="25"/>
        <v>August</v>
      </c>
      <c r="E414" s="3" t="str">
        <f t="shared" si="26"/>
        <v>2021</v>
      </c>
      <c r="F414" s="2" t="s">
        <v>2814</v>
      </c>
      <c r="G414" t="s">
        <v>6155</v>
      </c>
      <c r="H414" s="2">
        <v>5</v>
      </c>
      <c r="I414" s="2" t="str">
        <f>_xlfn.XLOOKUP(F414,customers!A:A,customers!B:B)</f>
        <v>Freeland Missenden</v>
      </c>
      <c r="J414" s="2">
        <f>_xlfn.XLOOKUP(F414,customers!A:A,customers!C:C)</f>
        <v>0</v>
      </c>
      <c r="K414" s="2" t="str">
        <f>_xlfn.XLOOKUP(F414,customers!A:A,customers!F:F)</f>
        <v>San Diego</v>
      </c>
      <c r="L414" s="2" t="str">
        <f>_xlfn.XLOOKUP(F414,customers!A:A,customers!G:G)</f>
        <v>United States</v>
      </c>
      <c r="M414" t="str">
        <f>_xlfn.XLOOKUP(G414,products!A:A,products!B:B)</f>
        <v>Ara</v>
      </c>
      <c r="N414" t="str">
        <f>_xlfn.XLOOKUP(G414,products!A:A,products!C:C)</f>
        <v>M</v>
      </c>
      <c r="O414">
        <f>_xlfn.XLOOKUP(G414,products!A:A,products!D:D)</f>
        <v>1</v>
      </c>
      <c r="P414">
        <f>_xlfn.XLOOKUP(G414,products!A:A,products!E:E)</f>
        <v>11.25</v>
      </c>
      <c r="Q414">
        <f t="shared" si="27"/>
        <v>56.25</v>
      </c>
      <c r="R414" t="str" cm="1">
        <f t="array" ref="R414">_xlfn.IFS(Q414&lt;=50,"low sales",Q414&lt;=100,"medium sales",Q414&gt;100,"High sales")</f>
        <v>medium sales</v>
      </c>
    </row>
    <row r="415" spans="1:18" x14ac:dyDescent="0.35">
      <c r="A415" s="2" t="s">
        <v>2818</v>
      </c>
      <c r="B415" s="3">
        <v>43857</v>
      </c>
      <c r="C415" s="3" t="str">
        <f t="shared" si="24"/>
        <v>Monday</v>
      </c>
      <c r="D415" s="3" t="str">
        <f t="shared" si="25"/>
        <v>January</v>
      </c>
      <c r="E415" s="3" t="str">
        <f t="shared" si="26"/>
        <v>2020</v>
      </c>
      <c r="F415" s="2" t="s">
        <v>2819</v>
      </c>
      <c r="G415" t="s">
        <v>6164</v>
      </c>
      <c r="H415" s="2">
        <v>1</v>
      </c>
      <c r="I415" s="2" t="str">
        <f>_xlfn.XLOOKUP(F415,customers!A:A,customers!B:B)</f>
        <v>Waylan Springall</v>
      </c>
      <c r="J415" s="2" t="str">
        <f>_xlfn.XLOOKUP(F415,customers!A:A,customers!C:C)</f>
        <v>wspringallbh@jugem.jp</v>
      </c>
      <c r="K415" s="2" t="str">
        <f>_xlfn.XLOOKUP(F415,customers!A:A,customers!F:F)</f>
        <v>Alhambra</v>
      </c>
      <c r="L415" s="2" t="str">
        <f>_xlfn.XLOOKUP(F415,customers!A:A,customers!G:G)</f>
        <v>United States</v>
      </c>
      <c r="M415" t="str">
        <f>_xlfn.XLOOKUP(G415,products!A:A,products!B:B)</f>
        <v>Lib</v>
      </c>
      <c r="N415" t="str">
        <f>_xlfn.XLOOKUP(G415,products!A:A,products!C:C)</f>
        <v>L</v>
      </c>
      <c r="O415">
        <f>_xlfn.XLOOKUP(G415,products!A:A,products!D:D)</f>
        <v>2.5</v>
      </c>
      <c r="P415">
        <f>_xlfn.XLOOKUP(G415,products!A:A,products!E:E)</f>
        <v>36.454999999999998</v>
      </c>
      <c r="Q415">
        <f t="shared" si="27"/>
        <v>36.454999999999998</v>
      </c>
      <c r="R415" t="str" cm="1">
        <f t="array" ref="R415">_xlfn.IFS(Q415&lt;=50,"low sales",Q415&lt;=100,"medium sales",Q415&gt;100,"High sales")</f>
        <v>low sales</v>
      </c>
    </row>
    <row r="416" spans="1:18" x14ac:dyDescent="0.35">
      <c r="A416" s="2" t="s">
        <v>2824</v>
      </c>
      <c r="B416" s="3">
        <v>43802</v>
      </c>
      <c r="C416" s="3" t="str">
        <f t="shared" si="24"/>
        <v>Tuesday</v>
      </c>
      <c r="D416" s="3" t="str">
        <f t="shared" si="25"/>
        <v>December</v>
      </c>
      <c r="E416" s="3" t="str">
        <f t="shared" si="26"/>
        <v>2019</v>
      </c>
      <c r="F416" s="2" t="s">
        <v>2825</v>
      </c>
      <c r="G416" t="s">
        <v>6178</v>
      </c>
      <c r="H416" s="2">
        <v>3</v>
      </c>
      <c r="I416" s="2" t="str">
        <f>_xlfn.XLOOKUP(F416,customers!A:A,customers!B:B)</f>
        <v>Kiri Avramow</v>
      </c>
      <c r="J416" s="2">
        <f>_xlfn.XLOOKUP(F416,customers!A:A,customers!C:C)</f>
        <v>0</v>
      </c>
      <c r="K416" s="2" t="str">
        <f>_xlfn.XLOOKUP(F416,customers!A:A,customers!F:F)</f>
        <v>Tyler</v>
      </c>
      <c r="L416" s="2" t="str">
        <f>_xlfn.XLOOKUP(F416,customers!A:A,customers!G:G)</f>
        <v>United States</v>
      </c>
      <c r="M416" t="str">
        <f>_xlfn.XLOOKUP(G416,products!A:A,products!B:B)</f>
        <v>Rob</v>
      </c>
      <c r="N416" t="str">
        <f>_xlfn.XLOOKUP(G416,products!A:A,products!C:C)</f>
        <v>L</v>
      </c>
      <c r="O416">
        <f>_xlfn.XLOOKUP(G416,products!A:A,products!D:D)</f>
        <v>0.2</v>
      </c>
      <c r="P416">
        <f>_xlfn.XLOOKUP(G416,products!A:A,products!E:E)</f>
        <v>3.5849999999999995</v>
      </c>
      <c r="Q416">
        <f t="shared" si="27"/>
        <v>10.754999999999999</v>
      </c>
      <c r="R416" t="str" cm="1">
        <f t="array" ref="R416">_xlfn.IFS(Q416&lt;=50,"low sales",Q416&lt;=100,"medium sales",Q416&gt;100,"High sales")</f>
        <v>low sales</v>
      </c>
    </row>
    <row r="417" spans="1:18" x14ac:dyDescent="0.35">
      <c r="A417" s="2" t="s">
        <v>2829</v>
      </c>
      <c r="B417" s="3">
        <v>43683</v>
      </c>
      <c r="C417" s="3" t="str">
        <f t="shared" si="24"/>
        <v>Tuesday</v>
      </c>
      <c r="D417" s="3" t="str">
        <f t="shared" si="25"/>
        <v>August</v>
      </c>
      <c r="E417" s="3" t="str">
        <f t="shared" si="26"/>
        <v>2019</v>
      </c>
      <c r="F417" s="2" t="s">
        <v>2830</v>
      </c>
      <c r="G417" t="s">
        <v>6174</v>
      </c>
      <c r="H417" s="2">
        <v>3</v>
      </c>
      <c r="I417" s="2" t="str">
        <f>_xlfn.XLOOKUP(F417,customers!A:A,customers!B:B)</f>
        <v>Gregg Hawkyens</v>
      </c>
      <c r="J417" s="2" t="str">
        <f>_xlfn.XLOOKUP(F417,customers!A:A,customers!C:C)</f>
        <v>ghawkyensbj@census.gov</v>
      </c>
      <c r="K417" s="2" t="str">
        <f>_xlfn.XLOOKUP(F417,customers!A:A,customers!F:F)</f>
        <v>Lafayette</v>
      </c>
      <c r="L417" s="2" t="str">
        <f>_xlfn.XLOOKUP(F417,customers!A:A,customers!G:G)</f>
        <v>United States</v>
      </c>
      <c r="M417" t="str">
        <f>_xlfn.XLOOKUP(G417,products!A:A,products!B:B)</f>
        <v>Rob</v>
      </c>
      <c r="N417" t="str">
        <f>_xlfn.XLOOKUP(G417,products!A:A,products!C:C)</f>
        <v>M</v>
      </c>
      <c r="O417">
        <f>_xlfn.XLOOKUP(G417,products!A:A,products!D:D)</f>
        <v>0.2</v>
      </c>
      <c r="P417">
        <f>_xlfn.XLOOKUP(G417,products!A:A,products!E:E)</f>
        <v>2.9849999999999999</v>
      </c>
      <c r="Q417">
        <f t="shared" si="27"/>
        <v>8.9550000000000001</v>
      </c>
      <c r="R417" t="str" cm="1">
        <f t="array" ref="R417">_xlfn.IFS(Q417&lt;=50,"low sales",Q417&lt;=100,"medium sales",Q417&gt;100,"High sales")</f>
        <v>low sales</v>
      </c>
    </row>
    <row r="418" spans="1:18" x14ac:dyDescent="0.35">
      <c r="A418" s="2" t="s">
        <v>2834</v>
      </c>
      <c r="B418" s="3">
        <v>43901</v>
      </c>
      <c r="C418" s="3" t="str">
        <f t="shared" si="24"/>
        <v>Wednesday</v>
      </c>
      <c r="D418" s="3" t="str">
        <f t="shared" si="25"/>
        <v>March</v>
      </c>
      <c r="E418" s="3" t="str">
        <f t="shared" si="26"/>
        <v>2020</v>
      </c>
      <c r="F418" s="2" t="s">
        <v>2835</v>
      </c>
      <c r="G418" t="s">
        <v>6180</v>
      </c>
      <c r="H418" s="2">
        <v>3</v>
      </c>
      <c r="I418" s="2" t="str">
        <f>_xlfn.XLOOKUP(F418,customers!A:A,customers!B:B)</f>
        <v>Reggis Pracy</v>
      </c>
      <c r="J418" s="2">
        <f>_xlfn.XLOOKUP(F418,customers!A:A,customers!C:C)</f>
        <v>0</v>
      </c>
      <c r="K418" s="2" t="str">
        <f>_xlfn.XLOOKUP(F418,customers!A:A,customers!F:F)</f>
        <v>Dayton</v>
      </c>
      <c r="L418" s="2" t="str">
        <f>_xlfn.XLOOKUP(F418,customers!A:A,customers!G:G)</f>
        <v>United States</v>
      </c>
      <c r="M418" t="str">
        <f>_xlfn.XLOOKUP(G418,products!A:A,products!B:B)</f>
        <v>Ara</v>
      </c>
      <c r="N418" t="str">
        <f>_xlfn.XLOOKUP(G418,products!A:A,products!C:C)</f>
        <v>L</v>
      </c>
      <c r="O418">
        <f>_xlfn.XLOOKUP(G418,products!A:A,products!D:D)</f>
        <v>0.5</v>
      </c>
      <c r="P418">
        <f>_xlfn.XLOOKUP(G418,products!A:A,products!E:E)</f>
        <v>7.77</v>
      </c>
      <c r="Q418">
        <f t="shared" si="27"/>
        <v>23.31</v>
      </c>
      <c r="R418" t="str" cm="1">
        <f t="array" ref="R418">_xlfn.IFS(Q418&lt;=50,"low sales",Q418&lt;=100,"medium sales",Q418&gt;100,"High sales")</f>
        <v>low sales</v>
      </c>
    </row>
    <row r="419" spans="1:18" x14ac:dyDescent="0.35">
      <c r="A419" s="2" t="s">
        <v>2839</v>
      </c>
      <c r="B419" s="3">
        <v>44457</v>
      </c>
      <c r="C419" s="3" t="str">
        <f t="shared" si="24"/>
        <v>Saturday</v>
      </c>
      <c r="D419" s="3" t="str">
        <f t="shared" si="25"/>
        <v>September</v>
      </c>
      <c r="E419" s="3" t="str">
        <f t="shared" si="26"/>
        <v>2021</v>
      </c>
      <c r="F419" s="2" t="s">
        <v>2840</v>
      </c>
      <c r="G419" t="s">
        <v>6182</v>
      </c>
      <c r="H419" s="2">
        <v>1</v>
      </c>
      <c r="I419" s="2" t="str">
        <f>_xlfn.XLOOKUP(F419,customers!A:A,customers!B:B)</f>
        <v>Paula Denis</v>
      </c>
      <c r="J419" s="2">
        <f>_xlfn.XLOOKUP(F419,customers!A:A,customers!C:C)</f>
        <v>0</v>
      </c>
      <c r="K419" s="2" t="str">
        <f>_xlfn.XLOOKUP(F419,customers!A:A,customers!F:F)</f>
        <v>Phoenix</v>
      </c>
      <c r="L419" s="2" t="str">
        <f>_xlfn.XLOOKUP(F419,customers!A:A,customers!G:G)</f>
        <v>United States</v>
      </c>
      <c r="M419" t="str">
        <f>_xlfn.XLOOKUP(G419,products!A:A,products!B:B)</f>
        <v>Ara</v>
      </c>
      <c r="N419" t="str">
        <f>_xlfn.XLOOKUP(G419,products!A:A,products!C:C)</f>
        <v>L</v>
      </c>
      <c r="O419">
        <f>_xlfn.XLOOKUP(G419,products!A:A,products!D:D)</f>
        <v>2.5</v>
      </c>
      <c r="P419">
        <f>_xlfn.XLOOKUP(G419,products!A:A,products!E:E)</f>
        <v>29.784999999999997</v>
      </c>
      <c r="Q419">
        <f t="shared" si="27"/>
        <v>29.784999999999997</v>
      </c>
      <c r="R419" t="str" cm="1">
        <f t="array" ref="R419">_xlfn.IFS(Q419&lt;=50,"low sales",Q419&lt;=100,"medium sales",Q419&gt;100,"High sales")</f>
        <v>low sales</v>
      </c>
    </row>
    <row r="420" spans="1:18" x14ac:dyDescent="0.35">
      <c r="A420" s="2" t="s">
        <v>2844</v>
      </c>
      <c r="B420" s="3">
        <v>44142</v>
      </c>
      <c r="C420" s="3" t="str">
        <f t="shared" si="24"/>
        <v>Saturday</v>
      </c>
      <c r="D420" s="3" t="str">
        <f t="shared" si="25"/>
        <v>November</v>
      </c>
      <c r="E420" s="3" t="str">
        <f t="shared" si="26"/>
        <v>2020</v>
      </c>
      <c r="F420" s="2" t="s">
        <v>2845</v>
      </c>
      <c r="G420" t="s">
        <v>6182</v>
      </c>
      <c r="H420" s="2">
        <v>5</v>
      </c>
      <c r="I420" s="2" t="str">
        <f>_xlfn.XLOOKUP(F420,customers!A:A,customers!B:B)</f>
        <v>Broderick McGilvra</v>
      </c>
      <c r="J420" s="2" t="str">
        <f>_xlfn.XLOOKUP(F420,customers!A:A,customers!C:C)</f>
        <v>bmcgilvrabm@so-net.ne.jp</v>
      </c>
      <c r="K420" s="2" t="str">
        <f>_xlfn.XLOOKUP(F420,customers!A:A,customers!F:F)</f>
        <v>Sacramento</v>
      </c>
      <c r="L420" s="2" t="str">
        <f>_xlfn.XLOOKUP(F420,customers!A:A,customers!G:G)</f>
        <v>United States</v>
      </c>
      <c r="M420" t="str">
        <f>_xlfn.XLOOKUP(G420,products!A:A,products!B:B)</f>
        <v>Ara</v>
      </c>
      <c r="N420" t="str">
        <f>_xlfn.XLOOKUP(G420,products!A:A,products!C:C)</f>
        <v>L</v>
      </c>
      <c r="O420">
        <f>_xlfn.XLOOKUP(G420,products!A:A,products!D:D)</f>
        <v>2.5</v>
      </c>
      <c r="P420">
        <f>_xlfn.XLOOKUP(G420,products!A:A,products!E:E)</f>
        <v>29.784999999999997</v>
      </c>
      <c r="Q420">
        <f t="shared" si="27"/>
        <v>148.92499999999998</v>
      </c>
      <c r="R420" t="str" cm="1">
        <f t="array" ref="R420">_xlfn.IFS(Q420&lt;=50,"low sales",Q420&lt;=100,"medium sales",Q420&gt;100,"High sales")</f>
        <v>High sales</v>
      </c>
    </row>
    <row r="421" spans="1:18" x14ac:dyDescent="0.35">
      <c r="A421" s="2" t="s">
        <v>2849</v>
      </c>
      <c r="B421" s="3">
        <v>44739</v>
      </c>
      <c r="C421" s="3" t="str">
        <f t="shared" si="24"/>
        <v>Monday</v>
      </c>
      <c r="D421" s="3" t="str">
        <f t="shared" si="25"/>
        <v>June</v>
      </c>
      <c r="E421" s="3" t="str">
        <f t="shared" si="26"/>
        <v>2022</v>
      </c>
      <c r="F421" s="2" t="s">
        <v>2850</v>
      </c>
      <c r="G421" t="s">
        <v>6160</v>
      </c>
      <c r="H421" s="2">
        <v>1</v>
      </c>
      <c r="I421" s="2" t="str">
        <f>_xlfn.XLOOKUP(F421,customers!A:A,customers!B:B)</f>
        <v>Annabella Danzey</v>
      </c>
      <c r="J421" s="2" t="str">
        <f>_xlfn.XLOOKUP(F421,customers!A:A,customers!C:C)</f>
        <v>adanzeybn@github.com</v>
      </c>
      <c r="K421" s="2" t="str">
        <f>_xlfn.XLOOKUP(F421,customers!A:A,customers!F:F)</f>
        <v>Lincoln</v>
      </c>
      <c r="L421" s="2" t="str">
        <f>_xlfn.XLOOKUP(F421,customers!A:A,customers!G:G)</f>
        <v>United States</v>
      </c>
      <c r="M421" t="str">
        <f>_xlfn.XLOOKUP(G421,products!A:A,products!B:B)</f>
        <v>Lib</v>
      </c>
      <c r="N421" t="str">
        <f>_xlfn.XLOOKUP(G421,products!A:A,products!C:C)</f>
        <v>M</v>
      </c>
      <c r="O421">
        <f>_xlfn.XLOOKUP(G421,products!A:A,products!D:D)</f>
        <v>0.5</v>
      </c>
      <c r="P421">
        <f>_xlfn.XLOOKUP(G421,products!A:A,products!E:E)</f>
        <v>8.73</v>
      </c>
      <c r="Q421">
        <f t="shared" si="27"/>
        <v>8.73</v>
      </c>
      <c r="R421" t="str" cm="1">
        <f t="array" ref="R421">_xlfn.IFS(Q421&lt;=50,"low sales",Q421&lt;=100,"medium sales",Q421&gt;100,"High sales")</f>
        <v>low sales</v>
      </c>
    </row>
    <row r="422" spans="1:18" x14ac:dyDescent="0.35">
      <c r="A422" s="2" t="s">
        <v>2855</v>
      </c>
      <c r="B422" s="3">
        <v>43866</v>
      </c>
      <c r="C422" s="3" t="str">
        <f t="shared" si="24"/>
        <v>Wednesday</v>
      </c>
      <c r="D422" s="3" t="str">
        <f t="shared" si="25"/>
        <v>February</v>
      </c>
      <c r="E422" s="3" t="str">
        <f t="shared" si="26"/>
        <v>2020</v>
      </c>
      <c r="F422" s="2" t="s">
        <v>2586</v>
      </c>
      <c r="G422" t="s">
        <v>6169</v>
      </c>
      <c r="H422" s="2">
        <v>4</v>
      </c>
      <c r="I422" s="2" t="str">
        <f>_xlfn.XLOOKUP(F422,customers!A:A,customers!B:B)</f>
        <v>Terri Farra</v>
      </c>
      <c r="J422" s="2" t="str">
        <f>_xlfn.XLOOKUP(F422,customers!A:A,customers!C:C)</f>
        <v>tfarraac@behance.net</v>
      </c>
      <c r="K422" s="2" t="str">
        <f>_xlfn.XLOOKUP(F422,customers!A:A,customers!F:F)</f>
        <v>Odessa</v>
      </c>
      <c r="L422" s="2" t="str">
        <f>_xlfn.XLOOKUP(F422,customers!A:A,customers!G:G)</f>
        <v>United States</v>
      </c>
      <c r="M422" t="str">
        <f>_xlfn.XLOOKUP(G422,products!A:A,products!B:B)</f>
        <v>Lib</v>
      </c>
      <c r="N422" t="str">
        <f>_xlfn.XLOOKUP(G422,products!A:A,products!C:C)</f>
        <v>D</v>
      </c>
      <c r="O422">
        <f>_xlfn.XLOOKUP(G422,products!A:A,products!D:D)</f>
        <v>0.5</v>
      </c>
      <c r="P422">
        <f>_xlfn.XLOOKUP(G422,products!A:A,products!E:E)</f>
        <v>7.77</v>
      </c>
      <c r="Q422">
        <f t="shared" si="27"/>
        <v>31.08</v>
      </c>
      <c r="R422" t="str" cm="1">
        <f t="array" ref="R422">_xlfn.IFS(Q422&lt;=50,"low sales",Q422&lt;=100,"medium sales",Q422&gt;100,"High sales")</f>
        <v>low sales</v>
      </c>
    </row>
    <row r="423" spans="1:18" x14ac:dyDescent="0.35">
      <c r="A423" s="2" t="s">
        <v>2855</v>
      </c>
      <c r="B423" s="3">
        <v>43866</v>
      </c>
      <c r="C423" s="3" t="str">
        <f t="shared" si="24"/>
        <v>Wednesday</v>
      </c>
      <c r="D423" s="3" t="str">
        <f t="shared" si="25"/>
        <v>February</v>
      </c>
      <c r="E423" s="3" t="str">
        <f t="shared" si="26"/>
        <v>2020</v>
      </c>
      <c r="F423" s="2" t="s">
        <v>2586</v>
      </c>
      <c r="G423" t="s">
        <v>6168</v>
      </c>
      <c r="H423" s="2">
        <v>6</v>
      </c>
      <c r="I423" s="2" t="str">
        <f>_xlfn.XLOOKUP(F423,customers!A:A,customers!B:B)</f>
        <v>Terri Farra</v>
      </c>
      <c r="J423" s="2" t="str">
        <f>_xlfn.XLOOKUP(F423,customers!A:A,customers!C:C)</f>
        <v>tfarraac@behance.net</v>
      </c>
      <c r="K423" s="2" t="str">
        <f>_xlfn.XLOOKUP(F423,customers!A:A,customers!F:F)</f>
        <v>Odessa</v>
      </c>
      <c r="L423" s="2" t="str">
        <f>_xlfn.XLOOKUP(F423,customers!A:A,customers!G:G)</f>
        <v>United States</v>
      </c>
      <c r="M423" t="str">
        <f>_xlfn.XLOOKUP(G423,products!A:A,products!B:B)</f>
        <v>Ara</v>
      </c>
      <c r="N423" t="str">
        <f>_xlfn.XLOOKUP(G423,products!A:A,products!C:C)</f>
        <v>D</v>
      </c>
      <c r="O423">
        <f>_xlfn.XLOOKUP(G423,products!A:A,products!D:D)</f>
        <v>2.5</v>
      </c>
      <c r="P423">
        <f>_xlfn.XLOOKUP(G423,products!A:A,products!E:E)</f>
        <v>22.884999999999998</v>
      </c>
      <c r="Q423">
        <f t="shared" si="27"/>
        <v>137.31</v>
      </c>
      <c r="R423" t="str" cm="1">
        <f t="array" ref="R423">_xlfn.IFS(Q423&lt;=50,"low sales",Q423&lt;=100,"medium sales",Q423&gt;100,"High sales")</f>
        <v>High sales</v>
      </c>
    </row>
    <row r="424" spans="1:18" x14ac:dyDescent="0.35">
      <c r="A424" s="2" t="s">
        <v>2866</v>
      </c>
      <c r="B424" s="3">
        <v>43868</v>
      </c>
      <c r="C424" s="3" t="str">
        <f t="shared" si="24"/>
        <v>Friday</v>
      </c>
      <c r="D424" s="3" t="str">
        <f t="shared" si="25"/>
        <v>February</v>
      </c>
      <c r="E424" s="3" t="str">
        <f t="shared" si="26"/>
        <v>2020</v>
      </c>
      <c r="F424" s="2" t="s">
        <v>2867</v>
      </c>
      <c r="G424" t="s">
        <v>6158</v>
      </c>
      <c r="H424" s="2">
        <v>5</v>
      </c>
      <c r="I424" s="2" t="str">
        <f>_xlfn.XLOOKUP(F424,customers!A:A,customers!B:B)</f>
        <v>Nevins Glowacz</v>
      </c>
      <c r="J424" s="2">
        <f>_xlfn.XLOOKUP(F424,customers!A:A,customers!C:C)</f>
        <v>0</v>
      </c>
      <c r="K424" s="2" t="str">
        <f>_xlfn.XLOOKUP(F424,customers!A:A,customers!F:F)</f>
        <v>Madison</v>
      </c>
      <c r="L424" s="2" t="str">
        <f>_xlfn.XLOOKUP(F424,customers!A:A,customers!G:G)</f>
        <v>United States</v>
      </c>
      <c r="M424" t="str">
        <f>_xlfn.XLOOKUP(G424,products!A:A,products!B:B)</f>
        <v>Ara</v>
      </c>
      <c r="N424" t="str">
        <f>_xlfn.XLOOKUP(G424,products!A:A,products!C:C)</f>
        <v>D</v>
      </c>
      <c r="O424">
        <f>_xlfn.XLOOKUP(G424,products!A:A,products!D:D)</f>
        <v>0.5</v>
      </c>
      <c r="P424">
        <f>_xlfn.XLOOKUP(G424,products!A:A,products!E:E)</f>
        <v>5.97</v>
      </c>
      <c r="Q424">
        <f t="shared" si="27"/>
        <v>29.849999999999998</v>
      </c>
      <c r="R424" t="str" cm="1">
        <f t="array" ref="R424">_xlfn.IFS(Q424&lt;=50,"low sales",Q424&lt;=100,"medium sales",Q424&gt;100,"High sales")</f>
        <v>low sales</v>
      </c>
    </row>
    <row r="425" spans="1:18" x14ac:dyDescent="0.35">
      <c r="A425" s="2" t="s">
        <v>2871</v>
      </c>
      <c r="B425" s="3">
        <v>44183</v>
      </c>
      <c r="C425" s="3" t="str">
        <f t="shared" si="24"/>
        <v>Friday</v>
      </c>
      <c r="D425" s="3" t="str">
        <f t="shared" si="25"/>
        <v>December</v>
      </c>
      <c r="E425" s="3" t="str">
        <f t="shared" si="26"/>
        <v>2020</v>
      </c>
      <c r="F425" s="2" t="s">
        <v>2872</v>
      </c>
      <c r="G425" t="s">
        <v>6146</v>
      </c>
      <c r="H425" s="2">
        <v>3</v>
      </c>
      <c r="I425" s="2" t="str">
        <f>_xlfn.XLOOKUP(F425,customers!A:A,customers!B:B)</f>
        <v>Adelice Isabell</v>
      </c>
      <c r="J425" s="2">
        <f>_xlfn.XLOOKUP(F425,customers!A:A,customers!C:C)</f>
        <v>0</v>
      </c>
      <c r="K425" s="2" t="str">
        <f>_xlfn.XLOOKUP(F425,customers!A:A,customers!F:F)</f>
        <v>Charleston</v>
      </c>
      <c r="L425" s="2" t="str">
        <f>_xlfn.XLOOKUP(F425,customers!A:A,customers!G:G)</f>
        <v>United States</v>
      </c>
      <c r="M425" t="str">
        <f>_xlfn.XLOOKUP(G425,products!A:A,products!B:B)</f>
        <v>Rob</v>
      </c>
      <c r="N425" t="str">
        <f>_xlfn.XLOOKUP(G425,products!A:A,products!C:C)</f>
        <v>M</v>
      </c>
      <c r="O425">
        <f>_xlfn.XLOOKUP(G425,products!A:A,products!D:D)</f>
        <v>0.5</v>
      </c>
      <c r="P425">
        <f>_xlfn.XLOOKUP(G425,products!A:A,products!E:E)</f>
        <v>5.97</v>
      </c>
      <c r="Q425">
        <f t="shared" si="27"/>
        <v>17.91</v>
      </c>
      <c r="R425" t="str" cm="1">
        <f t="array" ref="R425">_xlfn.IFS(Q425&lt;=50,"low sales",Q425&lt;=100,"medium sales",Q425&gt;100,"High sales")</f>
        <v>low sales</v>
      </c>
    </row>
    <row r="426" spans="1:18" x14ac:dyDescent="0.35">
      <c r="A426" s="2" t="s">
        <v>2876</v>
      </c>
      <c r="B426" s="3">
        <v>44431</v>
      </c>
      <c r="C426" s="3" t="str">
        <f t="shared" si="24"/>
        <v>Monday</v>
      </c>
      <c r="D426" s="3" t="str">
        <f t="shared" si="25"/>
        <v>August</v>
      </c>
      <c r="E426" s="3" t="str">
        <f t="shared" si="26"/>
        <v>2021</v>
      </c>
      <c r="F426" s="2" t="s">
        <v>2877</v>
      </c>
      <c r="G426" t="s">
        <v>6176</v>
      </c>
      <c r="H426" s="2">
        <v>3</v>
      </c>
      <c r="I426" s="2" t="str">
        <f>_xlfn.XLOOKUP(F426,customers!A:A,customers!B:B)</f>
        <v>Yulma Dombrell</v>
      </c>
      <c r="J426" s="2" t="str">
        <f>_xlfn.XLOOKUP(F426,customers!A:A,customers!C:C)</f>
        <v>ydombrellbs@dedecms.com</v>
      </c>
      <c r="K426" s="2" t="str">
        <f>_xlfn.XLOOKUP(F426,customers!A:A,customers!F:F)</f>
        <v>Little Rock</v>
      </c>
      <c r="L426" s="2" t="str">
        <f>_xlfn.XLOOKUP(F426,customers!A:A,customers!G:G)</f>
        <v>United States</v>
      </c>
      <c r="M426" t="str">
        <f>_xlfn.XLOOKUP(G426,products!A:A,products!B:B)</f>
        <v>Exc</v>
      </c>
      <c r="N426" t="str">
        <f>_xlfn.XLOOKUP(G426,products!A:A,products!C:C)</f>
        <v>L</v>
      </c>
      <c r="O426">
        <f>_xlfn.XLOOKUP(G426,products!A:A,products!D:D)</f>
        <v>0.5</v>
      </c>
      <c r="P426">
        <f>_xlfn.XLOOKUP(G426,products!A:A,products!E:E)</f>
        <v>8.91</v>
      </c>
      <c r="Q426">
        <f t="shared" si="27"/>
        <v>26.73</v>
      </c>
      <c r="R426" t="str" cm="1">
        <f t="array" ref="R426">_xlfn.IFS(Q426&lt;=50,"low sales",Q426&lt;=100,"medium sales",Q426&gt;100,"High sales")</f>
        <v>low sales</v>
      </c>
    </row>
    <row r="427" spans="1:18" x14ac:dyDescent="0.35">
      <c r="A427" s="2" t="s">
        <v>2882</v>
      </c>
      <c r="B427" s="3">
        <v>44428</v>
      </c>
      <c r="C427" s="3" t="str">
        <f t="shared" si="24"/>
        <v>Friday</v>
      </c>
      <c r="D427" s="3" t="str">
        <f t="shared" si="25"/>
        <v>August</v>
      </c>
      <c r="E427" s="3" t="str">
        <f t="shared" si="26"/>
        <v>2021</v>
      </c>
      <c r="F427" s="2" t="s">
        <v>2883</v>
      </c>
      <c r="G427" t="s">
        <v>6177</v>
      </c>
      <c r="H427" s="2">
        <v>2</v>
      </c>
      <c r="I427" s="2" t="str">
        <f>_xlfn.XLOOKUP(F427,customers!A:A,customers!B:B)</f>
        <v>Alric Darth</v>
      </c>
      <c r="J427" s="2" t="str">
        <f>_xlfn.XLOOKUP(F427,customers!A:A,customers!C:C)</f>
        <v>adarthbt@t.co</v>
      </c>
      <c r="K427" s="2" t="str">
        <f>_xlfn.XLOOKUP(F427,customers!A:A,customers!F:F)</f>
        <v>Anchorage</v>
      </c>
      <c r="L427" s="2" t="str">
        <f>_xlfn.XLOOKUP(F427,customers!A:A,customers!G:G)</f>
        <v>United States</v>
      </c>
      <c r="M427" t="str">
        <f>_xlfn.XLOOKUP(G427,products!A:A,products!B:B)</f>
        <v>Rob</v>
      </c>
      <c r="N427" t="str">
        <f>_xlfn.XLOOKUP(G427,products!A:A,products!C:C)</f>
        <v>D</v>
      </c>
      <c r="O427">
        <f>_xlfn.XLOOKUP(G427,products!A:A,products!D:D)</f>
        <v>1</v>
      </c>
      <c r="P427">
        <f>_xlfn.XLOOKUP(G427,products!A:A,products!E:E)</f>
        <v>8.9499999999999993</v>
      </c>
      <c r="Q427">
        <f t="shared" si="27"/>
        <v>17.899999999999999</v>
      </c>
      <c r="R427" t="str" cm="1">
        <f t="array" ref="R427">_xlfn.IFS(Q427&lt;=50,"low sales",Q427&lt;=100,"medium sales",Q427&gt;100,"High sales")</f>
        <v>low sales</v>
      </c>
    </row>
    <row r="428" spans="1:18" x14ac:dyDescent="0.35">
      <c r="A428" s="2" t="s">
        <v>2888</v>
      </c>
      <c r="B428" s="3">
        <v>43556</v>
      </c>
      <c r="C428" s="3" t="str">
        <f t="shared" si="24"/>
        <v>Monday</v>
      </c>
      <c r="D428" s="3" t="str">
        <f t="shared" si="25"/>
        <v>April</v>
      </c>
      <c r="E428" s="3" t="str">
        <f t="shared" si="26"/>
        <v>2019</v>
      </c>
      <c r="F428" s="2" t="s">
        <v>2889</v>
      </c>
      <c r="G428" t="s">
        <v>6178</v>
      </c>
      <c r="H428" s="2">
        <v>4</v>
      </c>
      <c r="I428" s="2" t="str">
        <f>_xlfn.XLOOKUP(F428,customers!A:A,customers!B:B)</f>
        <v>Manuel Darrigoe</v>
      </c>
      <c r="J428" s="2" t="str">
        <f>_xlfn.XLOOKUP(F428,customers!A:A,customers!C:C)</f>
        <v>mdarrigoebu@hud.gov</v>
      </c>
      <c r="K428" s="2" t="str">
        <f>_xlfn.XLOOKUP(F428,customers!A:A,customers!F:F)</f>
        <v>Longwood</v>
      </c>
      <c r="L428" s="2" t="str">
        <f>_xlfn.XLOOKUP(F428,customers!A:A,customers!G:G)</f>
        <v>Ireland</v>
      </c>
      <c r="M428" t="str">
        <f>_xlfn.XLOOKUP(G428,products!A:A,products!B:B)</f>
        <v>Rob</v>
      </c>
      <c r="N428" t="str">
        <f>_xlfn.XLOOKUP(G428,products!A:A,products!C:C)</f>
        <v>L</v>
      </c>
      <c r="O428">
        <f>_xlfn.XLOOKUP(G428,products!A:A,products!D:D)</f>
        <v>0.2</v>
      </c>
      <c r="P428">
        <f>_xlfn.XLOOKUP(G428,products!A:A,products!E:E)</f>
        <v>3.5849999999999995</v>
      </c>
      <c r="Q428">
        <f t="shared" si="27"/>
        <v>14.339999999999998</v>
      </c>
      <c r="R428" t="str" cm="1">
        <f t="array" ref="R428">_xlfn.IFS(Q428&lt;=50,"low sales",Q428&lt;=100,"medium sales",Q428&gt;100,"High sales")</f>
        <v>low sales</v>
      </c>
    </row>
    <row r="429" spans="1:18" x14ac:dyDescent="0.35">
      <c r="A429" s="2" t="s">
        <v>2894</v>
      </c>
      <c r="B429" s="3">
        <v>44224</v>
      </c>
      <c r="C429" s="3" t="str">
        <f t="shared" si="24"/>
        <v>Thursday</v>
      </c>
      <c r="D429" s="3" t="str">
        <f t="shared" si="25"/>
        <v>January</v>
      </c>
      <c r="E429" s="3" t="str">
        <f t="shared" si="26"/>
        <v>2021</v>
      </c>
      <c r="F429" s="2" t="s">
        <v>2895</v>
      </c>
      <c r="G429" t="s">
        <v>6175</v>
      </c>
      <c r="H429" s="2">
        <v>3</v>
      </c>
      <c r="I429" s="2" t="str">
        <f>_xlfn.XLOOKUP(F429,customers!A:A,customers!B:B)</f>
        <v>Kynthia Berick</v>
      </c>
      <c r="J429" s="2">
        <f>_xlfn.XLOOKUP(F429,customers!A:A,customers!C:C)</f>
        <v>0</v>
      </c>
      <c r="K429" s="2" t="str">
        <f>_xlfn.XLOOKUP(F429,customers!A:A,customers!F:F)</f>
        <v>San Francisco</v>
      </c>
      <c r="L429" s="2" t="str">
        <f>_xlfn.XLOOKUP(F429,customers!A:A,customers!G:G)</f>
        <v>United States</v>
      </c>
      <c r="M429" t="str">
        <f>_xlfn.XLOOKUP(G429,products!A:A,products!B:B)</f>
        <v>Ara</v>
      </c>
      <c r="N429" t="str">
        <f>_xlfn.XLOOKUP(G429,products!A:A,products!C:C)</f>
        <v>M</v>
      </c>
      <c r="O429">
        <f>_xlfn.XLOOKUP(G429,products!A:A,products!D:D)</f>
        <v>2.5</v>
      </c>
      <c r="P429">
        <f>_xlfn.XLOOKUP(G429,products!A:A,products!E:E)</f>
        <v>25.874999999999996</v>
      </c>
      <c r="Q429">
        <f t="shared" si="27"/>
        <v>77.624999999999986</v>
      </c>
      <c r="R429" t="str" cm="1">
        <f t="array" ref="R429">_xlfn.IFS(Q429&lt;=50,"low sales",Q429&lt;=100,"medium sales",Q429&gt;100,"High sales")</f>
        <v>medium sales</v>
      </c>
    </row>
    <row r="430" spans="1:18" x14ac:dyDescent="0.35">
      <c r="A430" s="2" t="s">
        <v>2899</v>
      </c>
      <c r="B430" s="3">
        <v>43759</v>
      </c>
      <c r="C430" s="3" t="str">
        <f t="shared" si="24"/>
        <v>Monday</v>
      </c>
      <c r="D430" s="3" t="str">
        <f t="shared" si="25"/>
        <v>October</v>
      </c>
      <c r="E430" s="3" t="str">
        <f t="shared" si="26"/>
        <v>2019</v>
      </c>
      <c r="F430" s="2" t="s">
        <v>2900</v>
      </c>
      <c r="G430" t="s">
        <v>6179</v>
      </c>
      <c r="H430" s="2">
        <v>5</v>
      </c>
      <c r="I430" s="2" t="str">
        <f>_xlfn.XLOOKUP(F430,customers!A:A,customers!B:B)</f>
        <v>Minetta Ackrill</v>
      </c>
      <c r="J430" s="2" t="str">
        <f>_xlfn.XLOOKUP(F430,customers!A:A,customers!C:C)</f>
        <v>mackrillbw@bandcamp.com</v>
      </c>
      <c r="K430" s="2" t="str">
        <f>_xlfn.XLOOKUP(F430,customers!A:A,customers!F:F)</f>
        <v>Warren</v>
      </c>
      <c r="L430" s="2" t="str">
        <f>_xlfn.XLOOKUP(F430,customers!A:A,customers!G:G)</f>
        <v>United States</v>
      </c>
      <c r="M430" t="str">
        <f>_xlfn.XLOOKUP(G430,products!A:A,products!B:B)</f>
        <v>Rob</v>
      </c>
      <c r="N430" t="str">
        <f>_xlfn.XLOOKUP(G430,products!A:A,products!C:C)</f>
        <v>L</v>
      </c>
      <c r="O430">
        <f>_xlfn.XLOOKUP(G430,products!A:A,products!D:D)</f>
        <v>1</v>
      </c>
      <c r="P430">
        <f>_xlfn.XLOOKUP(G430,products!A:A,products!E:E)</f>
        <v>11.95</v>
      </c>
      <c r="Q430">
        <f t="shared" si="27"/>
        <v>59.75</v>
      </c>
      <c r="R430" t="str" cm="1">
        <f t="array" ref="R430">_xlfn.IFS(Q430&lt;=50,"low sales",Q430&lt;=100,"medium sales",Q430&gt;100,"High sales")</f>
        <v>medium sales</v>
      </c>
    </row>
    <row r="431" spans="1:18" x14ac:dyDescent="0.35">
      <c r="A431" s="2" t="s">
        <v>2905</v>
      </c>
      <c r="B431" s="3">
        <v>44367</v>
      </c>
      <c r="C431" s="3" t="str">
        <f t="shared" si="24"/>
        <v>Sunday</v>
      </c>
      <c r="D431" s="3" t="str">
        <f t="shared" si="25"/>
        <v>June</v>
      </c>
      <c r="E431" s="3" t="str">
        <f t="shared" si="26"/>
        <v>2021</v>
      </c>
      <c r="F431" s="2" t="s">
        <v>2586</v>
      </c>
      <c r="G431" t="s">
        <v>6140</v>
      </c>
      <c r="H431" s="2">
        <v>6</v>
      </c>
      <c r="I431" s="2" t="str">
        <f>_xlfn.XLOOKUP(F431,customers!A:A,customers!B:B)</f>
        <v>Terri Farra</v>
      </c>
      <c r="J431" s="2" t="str">
        <f>_xlfn.XLOOKUP(F431,customers!A:A,customers!C:C)</f>
        <v>tfarraac@behance.net</v>
      </c>
      <c r="K431" s="2" t="str">
        <f>_xlfn.XLOOKUP(F431,customers!A:A,customers!F:F)</f>
        <v>Odessa</v>
      </c>
      <c r="L431" s="2" t="str">
        <f>_xlfn.XLOOKUP(F431,customers!A:A,customers!G:G)</f>
        <v>United States</v>
      </c>
      <c r="M431" t="str">
        <f>_xlfn.XLOOKUP(G431,products!A:A,products!B:B)</f>
        <v>Ara</v>
      </c>
      <c r="N431" t="str">
        <f>_xlfn.XLOOKUP(G431,products!A:A,products!C:C)</f>
        <v>L</v>
      </c>
      <c r="O431">
        <f>_xlfn.XLOOKUP(G431,products!A:A,products!D:D)</f>
        <v>1</v>
      </c>
      <c r="P431">
        <f>_xlfn.XLOOKUP(G431,products!A:A,products!E:E)</f>
        <v>12.95</v>
      </c>
      <c r="Q431">
        <f t="shared" si="27"/>
        <v>77.699999999999989</v>
      </c>
      <c r="R431" t="str" cm="1">
        <f t="array" ref="R431">_xlfn.IFS(Q431&lt;=50,"low sales",Q431&lt;=100,"medium sales",Q431&gt;100,"High sales")</f>
        <v>medium sales</v>
      </c>
    </row>
    <row r="432" spans="1:18" x14ac:dyDescent="0.35">
      <c r="A432" s="2" t="s">
        <v>2911</v>
      </c>
      <c r="B432" s="3">
        <v>44504</v>
      </c>
      <c r="C432" s="3" t="str">
        <f t="shared" si="24"/>
        <v>Thursday</v>
      </c>
      <c r="D432" s="3" t="str">
        <f t="shared" si="25"/>
        <v>November</v>
      </c>
      <c r="E432" s="3" t="str">
        <f t="shared" si="26"/>
        <v>2021</v>
      </c>
      <c r="F432" s="2" t="s">
        <v>2912</v>
      </c>
      <c r="G432" t="s">
        <v>6163</v>
      </c>
      <c r="H432" s="2">
        <v>2</v>
      </c>
      <c r="I432" s="2" t="str">
        <f>_xlfn.XLOOKUP(F432,customers!A:A,customers!B:B)</f>
        <v>Melosa Kippen</v>
      </c>
      <c r="J432" s="2" t="str">
        <f>_xlfn.XLOOKUP(F432,customers!A:A,customers!C:C)</f>
        <v>mkippenby@dion.ne.jp</v>
      </c>
      <c r="K432" s="2" t="str">
        <f>_xlfn.XLOOKUP(F432,customers!A:A,customers!F:F)</f>
        <v>Jackson</v>
      </c>
      <c r="L432" s="2" t="str">
        <f>_xlfn.XLOOKUP(F432,customers!A:A,customers!G:G)</f>
        <v>United States</v>
      </c>
      <c r="M432" t="str">
        <f>_xlfn.XLOOKUP(G432,products!A:A,products!B:B)</f>
        <v>Rob</v>
      </c>
      <c r="N432" t="str">
        <f>_xlfn.XLOOKUP(G432,products!A:A,products!C:C)</f>
        <v>D</v>
      </c>
      <c r="O432">
        <f>_xlfn.XLOOKUP(G432,products!A:A,products!D:D)</f>
        <v>0.2</v>
      </c>
      <c r="P432">
        <f>_xlfn.XLOOKUP(G432,products!A:A,products!E:E)</f>
        <v>2.6849999999999996</v>
      </c>
      <c r="Q432">
        <f t="shared" si="27"/>
        <v>5.3699999999999992</v>
      </c>
      <c r="R432" t="str" cm="1">
        <f t="array" ref="R432">_xlfn.IFS(Q432&lt;=50,"low sales",Q432&lt;=100,"medium sales",Q432&gt;100,"High sales")</f>
        <v>low sales</v>
      </c>
    </row>
    <row r="433" spans="1:18" x14ac:dyDescent="0.35">
      <c r="A433" s="2" t="s">
        <v>2917</v>
      </c>
      <c r="B433" s="3">
        <v>44291</v>
      </c>
      <c r="C433" s="3" t="str">
        <f t="shared" si="24"/>
        <v>Monday</v>
      </c>
      <c r="D433" s="3" t="str">
        <f t="shared" si="25"/>
        <v>April</v>
      </c>
      <c r="E433" s="3" t="str">
        <f t="shared" si="26"/>
        <v>2021</v>
      </c>
      <c r="F433" s="2" t="s">
        <v>2918</v>
      </c>
      <c r="G433" t="s">
        <v>6185</v>
      </c>
      <c r="H433" s="2">
        <v>3</v>
      </c>
      <c r="I433" s="2" t="str">
        <f>_xlfn.XLOOKUP(F433,customers!A:A,customers!B:B)</f>
        <v>Witty Ranson</v>
      </c>
      <c r="J433" s="2" t="str">
        <f>_xlfn.XLOOKUP(F433,customers!A:A,customers!C:C)</f>
        <v>wransonbz@ted.com</v>
      </c>
      <c r="K433" s="2" t="str">
        <f>_xlfn.XLOOKUP(F433,customers!A:A,customers!F:F)</f>
        <v>Kildare</v>
      </c>
      <c r="L433" s="2" t="str">
        <f>_xlfn.XLOOKUP(F433,customers!A:A,customers!G:G)</f>
        <v>Ireland</v>
      </c>
      <c r="M433" t="str">
        <f>_xlfn.XLOOKUP(G433,products!A:A,products!B:B)</f>
        <v>Exc</v>
      </c>
      <c r="N433" t="str">
        <f>_xlfn.XLOOKUP(G433,products!A:A,products!C:C)</f>
        <v>D</v>
      </c>
      <c r="O433">
        <f>_xlfn.XLOOKUP(G433,products!A:A,products!D:D)</f>
        <v>2.5</v>
      </c>
      <c r="P433">
        <f>_xlfn.XLOOKUP(G433,products!A:A,products!E:E)</f>
        <v>27.945</v>
      </c>
      <c r="Q433">
        <f t="shared" si="27"/>
        <v>83.835000000000008</v>
      </c>
      <c r="R433" t="str" cm="1">
        <f t="array" ref="R433">_xlfn.IFS(Q433&lt;=50,"low sales",Q433&lt;=100,"medium sales",Q433&gt;100,"High sales")</f>
        <v>medium sales</v>
      </c>
    </row>
    <row r="434" spans="1:18" x14ac:dyDescent="0.35">
      <c r="A434" s="2" t="s">
        <v>2923</v>
      </c>
      <c r="B434" s="3">
        <v>43808</v>
      </c>
      <c r="C434" s="3" t="str">
        <f t="shared" si="24"/>
        <v>Monday</v>
      </c>
      <c r="D434" s="3" t="str">
        <f t="shared" si="25"/>
        <v>December</v>
      </c>
      <c r="E434" s="3" t="str">
        <f t="shared" si="26"/>
        <v>2019</v>
      </c>
      <c r="F434" s="2" t="s">
        <v>2924</v>
      </c>
      <c r="G434" t="s">
        <v>6155</v>
      </c>
      <c r="H434" s="2">
        <v>2</v>
      </c>
      <c r="I434" s="2" t="str">
        <f>_xlfn.XLOOKUP(F434,customers!A:A,customers!B:B)</f>
        <v>Rod Gowdie</v>
      </c>
      <c r="J434" s="2">
        <f>_xlfn.XLOOKUP(F434,customers!A:A,customers!C:C)</f>
        <v>0</v>
      </c>
      <c r="K434" s="2" t="str">
        <f>_xlfn.XLOOKUP(F434,customers!A:A,customers!F:F)</f>
        <v>Milwaukee</v>
      </c>
      <c r="L434" s="2" t="str">
        <f>_xlfn.XLOOKUP(F434,customers!A:A,customers!G:G)</f>
        <v>United States</v>
      </c>
      <c r="M434" t="str">
        <f>_xlfn.XLOOKUP(G434,products!A:A,products!B:B)</f>
        <v>Ara</v>
      </c>
      <c r="N434" t="str">
        <f>_xlfn.XLOOKUP(G434,products!A:A,products!C:C)</f>
        <v>M</v>
      </c>
      <c r="O434">
        <f>_xlfn.XLOOKUP(G434,products!A:A,products!D:D)</f>
        <v>1</v>
      </c>
      <c r="P434">
        <f>_xlfn.XLOOKUP(G434,products!A:A,products!E:E)</f>
        <v>11.25</v>
      </c>
      <c r="Q434">
        <f t="shared" si="27"/>
        <v>22.5</v>
      </c>
      <c r="R434" t="str" cm="1">
        <f t="array" ref="R434">_xlfn.IFS(Q434&lt;=50,"low sales",Q434&lt;=100,"medium sales",Q434&gt;100,"High sales")</f>
        <v>low sales</v>
      </c>
    </row>
    <row r="435" spans="1:18" x14ac:dyDescent="0.35">
      <c r="A435" s="2" t="s">
        <v>2928</v>
      </c>
      <c r="B435" s="3">
        <v>44563</v>
      </c>
      <c r="C435" s="3" t="str">
        <f t="shared" si="24"/>
        <v>Sunday</v>
      </c>
      <c r="D435" s="3" t="str">
        <f t="shared" si="25"/>
        <v>January</v>
      </c>
      <c r="E435" s="3" t="str">
        <f t="shared" si="26"/>
        <v>2022</v>
      </c>
      <c r="F435" s="2" t="s">
        <v>2929</v>
      </c>
      <c r="G435" t="s">
        <v>6181</v>
      </c>
      <c r="H435" s="2">
        <v>6</v>
      </c>
      <c r="I435" s="2" t="str">
        <f>_xlfn.XLOOKUP(F435,customers!A:A,customers!B:B)</f>
        <v>Lemuel Rignold</v>
      </c>
      <c r="J435" s="2" t="str">
        <f>_xlfn.XLOOKUP(F435,customers!A:A,customers!C:C)</f>
        <v>lrignoldc1@miibeian.gov.cn</v>
      </c>
      <c r="K435" s="2" t="str">
        <f>_xlfn.XLOOKUP(F435,customers!A:A,customers!F:F)</f>
        <v>Sacramento</v>
      </c>
      <c r="L435" s="2" t="str">
        <f>_xlfn.XLOOKUP(F435,customers!A:A,customers!G:G)</f>
        <v>United States</v>
      </c>
      <c r="M435" t="str">
        <f>_xlfn.XLOOKUP(G435,products!A:A,products!B:B)</f>
        <v>Lib</v>
      </c>
      <c r="N435" t="str">
        <f>_xlfn.XLOOKUP(G435,products!A:A,products!C:C)</f>
        <v>M</v>
      </c>
      <c r="O435">
        <f>_xlfn.XLOOKUP(G435,products!A:A,products!D:D)</f>
        <v>2.5</v>
      </c>
      <c r="P435">
        <f>_xlfn.XLOOKUP(G435,products!A:A,products!E:E)</f>
        <v>33.464999999999996</v>
      </c>
      <c r="Q435">
        <f t="shared" si="27"/>
        <v>200.78999999999996</v>
      </c>
      <c r="R435" t="str" cm="1">
        <f t="array" ref="R435">_xlfn.IFS(Q435&lt;=50,"low sales",Q435&lt;=100,"medium sales",Q435&gt;100,"High sales")</f>
        <v>High sales</v>
      </c>
    </row>
    <row r="436" spans="1:18" x14ac:dyDescent="0.35">
      <c r="A436" s="2" t="s">
        <v>2934</v>
      </c>
      <c r="B436" s="3">
        <v>43807</v>
      </c>
      <c r="C436" s="3" t="str">
        <f t="shared" si="24"/>
        <v>Sunday</v>
      </c>
      <c r="D436" s="3" t="str">
        <f t="shared" si="25"/>
        <v>December</v>
      </c>
      <c r="E436" s="3" t="str">
        <f t="shared" si="26"/>
        <v>2019</v>
      </c>
      <c r="F436" s="2" t="s">
        <v>2935</v>
      </c>
      <c r="G436" t="s">
        <v>6155</v>
      </c>
      <c r="H436" s="2">
        <v>6</v>
      </c>
      <c r="I436" s="2" t="str">
        <f>_xlfn.XLOOKUP(F436,customers!A:A,customers!B:B)</f>
        <v>Nevsa Fields</v>
      </c>
      <c r="J436" s="2">
        <f>_xlfn.XLOOKUP(F436,customers!A:A,customers!C:C)</f>
        <v>0</v>
      </c>
      <c r="K436" s="2" t="str">
        <f>_xlfn.XLOOKUP(F436,customers!A:A,customers!F:F)</f>
        <v>Boston</v>
      </c>
      <c r="L436" s="2" t="str">
        <f>_xlfn.XLOOKUP(F436,customers!A:A,customers!G:G)</f>
        <v>United States</v>
      </c>
      <c r="M436" t="str">
        <f>_xlfn.XLOOKUP(G436,products!A:A,products!B:B)</f>
        <v>Ara</v>
      </c>
      <c r="N436" t="str">
        <f>_xlfn.XLOOKUP(G436,products!A:A,products!C:C)</f>
        <v>M</v>
      </c>
      <c r="O436">
        <f>_xlfn.XLOOKUP(G436,products!A:A,products!D:D)</f>
        <v>1</v>
      </c>
      <c r="P436">
        <f>_xlfn.XLOOKUP(G436,products!A:A,products!E:E)</f>
        <v>11.25</v>
      </c>
      <c r="Q436">
        <f t="shared" si="27"/>
        <v>67.5</v>
      </c>
      <c r="R436" t="str" cm="1">
        <f t="array" ref="R436">_xlfn.IFS(Q436&lt;=50,"low sales",Q436&lt;=100,"medium sales",Q436&gt;100,"High sales")</f>
        <v>medium sales</v>
      </c>
    </row>
    <row r="437" spans="1:18" x14ac:dyDescent="0.35">
      <c r="A437" s="2" t="s">
        <v>2939</v>
      </c>
      <c r="B437" s="3">
        <v>44528</v>
      </c>
      <c r="C437" s="3" t="str">
        <f t="shared" si="24"/>
        <v>Sunday</v>
      </c>
      <c r="D437" s="3" t="str">
        <f t="shared" si="25"/>
        <v>November</v>
      </c>
      <c r="E437" s="3" t="str">
        <f t="shared" si="26"/>
        <v>2021</v>
      </c>
      <c r="F437" s="2" t="s">
        <v>2940</v>
      </c>
      <c r="G437" t="s">
        <v>6139</v>
      </c>
      <c r="H437" s="2">
        <v>1</v>
      </c>
      <c r="I437" s="2" t="str">
        <f>_xlfn.XLOOKUP(F437,customers!A:A,customers!B:B)</f>
        <v>Chance Rowthorn</v>
      </c>
      <c r="J437" s="2" t="str">
        <f>_xlfn.XLOOKUP(F437,customers!A:A,customers!C:C)</f>
        <v>crowthornc3@msn.com</v>
      </c>
      <c r="K437" s="2" t="str">
        <f>_xlfn.XLOOKUP(F437,customers!A:A,customers!F:F)</f>
        <v>Topeka</v>
      </c>
      <c r="L437" s="2" t="str">
        <f>_xlfn.XLOOKUP(F437,customers!A:A,customers!G:G)</f>
        <v>United States</v>
      </c>
      <c r="M437" t="str">
        <f>_xlfn.XLOOKUP(G437,products!A:A,products!B:B)</f>
        <v>Exc</v>
      </c>
      <c r="N437" t="str">
        <f>_xlfn.XLOOKUP(G437,products!A:A,products!C:C)</f>
        <v>M</v>
      </c>
      <c r="O437">
        <f>_xlfn.XLOOKUP(G437,products!A:A,products!D:D)</f>
        <v>0.5</v>
      </c>
      <c r="P437">
        <f>_xlfn.XLOOKUP(G437,products!A:A,products!E:E)</f>
        <v>8.25</v>
      </c>
      <c r="Q437">
        <f t="shared" si="27"/>
        <v>8.25</v>
      </c>
      <c r="R437" t="str" cm="1">
        <f t="array" ref="R437">_xlfn.IFS(Q437&lt;=50,"low sales",Q437&lt;=100,"medium sales",Q437&gt;100,"High sales")</f>
        <v>low sales</v>
      </c>
    </row>
    <row r="438" spans="1:18" x14ac:dyDescent="0.35">
      <c r="A438" s="2" t="s">
        <v>2945</v>
      </c>
      <c r="B438" s="3">
        <v>44631</v>
      </c>
      <c r="C438" s="3" t="str">
        <f t="shared" si="24"/>
        <v>Friday</v>
      </c>
      <c r="D438" s="3" t="str">
        <f t="shared" si="25"/>
        <v>March</v>
      </c>
      <c r="E438" s="3" t="str">
        <f t="shared" si="26"/>
        <v>2022</v>
      </c>
      <c r="F438" s="2" t="s">
        <v>2946</v>
      </c>
      <c r="G438" t="s">
        <v>6145</v>
      </c>
      <c r="H438" s="2">
        <v>2</v>
      </c>
      <c r="I438" s="2" t="str">
        <f>_xlfn.XLOOKUP(F438,customers!A:A,customers!B:B)</f>
        <v>Orly Ryland</v>
      </c>
      <c r="J438" s="2" t="str">
        <f>_xlfn.XLOOKUP(F438,customers!A:A,customers!C:C)</f>
        <v>orylandc4@deviantart.com</v>
      </c>
      <c r="K438" s="2" t="str">
        <f>_xlfn.XLOOKUP(F438,customers!A:A,customers!F:F)</f>
        <v>Fargo</v>
      </c>
      <c r="L438" s="2" t="str">
        <f>_xlfn.XLOOKUP(F438,customers!A:A,customers!G:G)</f>
        <v>United States</v>
      </c>
      <c r="M438" t="str">
        <f>_xlfn.XLOOKUP(G438,products!A:A,products!B:B)</f>
        <v>Lib</v>
      </c>
      <c r="N438" t="str">
        <f>_xlfn.XLOOKUP(G438,products!A:A,products!C:C)</f>
        <v>L</v>
      </c>
      <c r="O438">
        <f>_xlfn.XLOOKUP(G438,products!A:A,products!D:D)</f>
        <v>0.2</v>
      </c>
      <c r="P438">
        <f>_xlfn.XLOOKUP(G438,products!A:A,products!E:E)</f>
        <v>4.7549999999999999</v>
      </c>
      <c r="Q438">
        <f t="shared" si="27"/>
        <v>9.51</v>
      </c>
      <c r="R438" t="str" cm="1">
        <f t="array" ref="R438">_xlfn.IFS(Q438&lt;=50,"low sales",Q438&lt;=100,"medium sales",Q438&gt;100,"High sales")</f>
        <v>low sales</v>
      </c>
    </row>
    <row r="439" spans="1:18" x14ac:dyDescent="0.35">
      <c r="A439" s="2" t="s">
        <v>2951</v>
      </c>
      <c r="B439" s="3">
        <v>44213</v>
      </c>
      <c r="C439" s="3" t="str">
        <f t="shared" si="24"/>
        <v>Sunday</v>
      </c>
      <c r="D439" s="3" t="str">
        <f t="shared" si="25"/>
        <v>January</v>
      </c>
      <c r="E439" s="3" t="str">
        <f t="shared" si="26"/>
        <v>2021</v>
      </c>
      <c r="F439" s="2" t="s">
        <v>2952</v>
      </c>
      <c r="G439" t="s">
        <v>6165</v>
      </c>
      <c r="H439" s="2">
        <v>1</v>
      </c>
      <c r="I439" s="2" t="str">
        <f>_xlfn.XLOOKUP(F439,customers!A:A,customers!B:B)</f>
        <v>Willabella Abramski</v>
      </c>
      <c r="J439" s="2">
        <f>_xlfn.XLOOKUP(F439,customers!A:A,customers!C:C)</f>
        <v>0</v>
      </c>
      <c r="K439" s="2" t="str">
        <f>_xlfn.XLOOKUP(F439,customers!A:A,customers!F:F)</f>
        <v>Houston</v>
      </c>
      <c r="L439" s="2" t="str">
        <f>_xlfn.XLOOKUP(F439,customers!A:A,customers!G:G)</f>
        <v>United States</v>
      </c>
      <c r="M439" t="str">
        <f>_xlfn.XLOOKUP(G439,products!A:A,products!B:B)</f>
        <v>Lib</v>
      </c>
      <c r="N439" t="str">
        <f>_xlfn.XLOOKUP(G439,products!A:A,products!C:C)</f>
        <v>D</v>
      </c>
      <c r="O439">
        <f>_xlfn.XLOOKUP(G439,products!A:A,products!D:D)</f>
        <v>2.5</v>
      </c>
      <c r="P439">
        <f>_xlfn.XLOOKUP(G439,products!A:A,products!E:E)</f>
        <v>29.784999999999997</v>
      </c>
      <c r="Q439">
        <f t="shared" si="27"/>
        <v>29.784999999999997</v>
      </c>
      <c r="R439" t="str" cm="1">
        <f t="array" ref="R439">_xlfn.IFS(Q439&lt;=50,"low sales",Q439&lt;=100,"medium sales",Q439&gt;100,"High sales")</f>
        <v>low sales</v>
      </c>
    </row>
    <row r="440" spans="1:18" x14ac:dyDescent="0.35">
      <c r="A440" s="2" t="s">
        <v>2956</v>
      </c>
      <c r="B440" s="3">
        <v>43483</v>
      </c>
      <c r="C440" s="3" t="str">
        <f t="shared" si="24"/>
        <v>Friday</v>
      </c>
      <c r="D440" s="3" t="str">
        <f t="shared" si="25"/>
        <v>January</v>
      </c>
      <c r="E440" s="3" t="str">
        <f t="shared" si="26"/>
        <v>2019</v>
      </c>
      <c r="F440" s="2" t="s">
        <v>3042</v>
      </c>
      <c r="G440" t="s">
        <v>6169</v>
      </c>
      <c r="H440" s="2">
        <v>2</v>
      </c>
      <c r="I440" s="2" t="str">
        <f>_xlfn.XLOOKUP(F440,customers!A:A,customers!B:B)</f>
        <v>Morgen Seson</v>
      </c>
      <c r="J440" s="2" t="str">
        <f>_xlfn.XLOOKUP(F440,customers!A:A,customers!C:C)</f>
        <v>msesonck@census.gov</v>
      </c>
      <c r="K440" s="2" t="str">
        <f>_xlfn.XLOOKUP(F440,customers!A:A,customers!F:F)</f>
        <v>Seattle</v>
      </c>
      <c r="L440" s="2" t="str">
        <f>_xlfn.XLOOKUP(F440,customers!A:A,customers!G:G)</f>
        <v>United States</v>
      </c>
      <c r="M440" t="str">
        <f>_xlfn.XLOOKUP(G440,products!A:A,products!B:B)</f>
        <v>Lib</v>
      </c>
      <c r="N440" t="str">
        <f>_xlfn.XLOOKUP(G440,products!A:A,products!C:C)</f>
        <v>D</v>
      </c>
      <c r="O440">
        <f>_xlfn.XLOOKUP(G440,products!A:A,products!D:D)</f>
        <v>0.5</v>
      </c>
      <c r="P440">
        <f>_xlfn.XLOOKUP(G440,products!A:A,products!E:E)</f>
        <v>7.77</v>
      </c>
      <c r="Q440">
        <f t="shared" si="27"/>
        <v>15.54</v>
      </c>
      <c r="R440" t="str" cm="1">
        <f t="array" ref="R440">_xlfn.IFS(Q440&lt;=50,"low sales",Q440&lt;=100,"medium sales",Q440&gt;100,"High sales")</f>
        <v>low sales</v>
      </c>
    </row>
    <row r="441" spans="1:18" x14ac:dyDescent="0.35">
      <c r="A441" s="2" t="s">
        <v>2962</v>
      </c>
      <c r="B441" s="3">
        <v>43562</v>
      </c>
      <c r="C441" s="3" t="str">
        <f t="shared" si="24"/>
        <v>Sunday</v>
      </c>
      <c r="D441" s="3" t="str">
        <f t="shared" si="25"/>
        <v>April</v>
      </c>
      <c r="E441" s="3" t="str">
        <f t="shared" si="26"/>
        <v>2019</v>
      </c>
      <c r="F441" s="2" t="s">
        <v>2963</v>
      </c>
      <c r="G441" t="s">
        <v>6176</v>
      </c>
      <c r="H441" s="2">
        <v>4</v>
      </c>
      <c r="I441" s="2" t="str">
        <f>_xlfn.XLOOKUP(F441,customers!A:A,customers!B:B)</f>
        <v>Chickie Ragless</v>
      </c>
      <c r="J441" s="2" t="str">
        <f>_xlfn.XLOOKUP(F441,customers!A:A,customers!C:C)</f>
        <v>craglessc7@webmd.com</v>
      </c>
      <c r="K441" s="2" t="str">
        <f>_xlfn.XLOOKUP(F441,customers!A:A,customers!F:F)</f>
        <v>Caherconlish</v>
      </c>
      <c r="L441" s="2" t="str">
        <f>_xlfn.XLOOKUP(F441,customers!A:A,customers!G:G)</f>
        <v>Ireland</v>
      </c>
      <c r="M441" t="str">
        <f>_xlfn.XLOOKUP(G441,products!A:A,products!B:B)</f>
        <v>Exc</v>
      </c>
      <c r="N441" t="str">
        <f>_xlfn.XLOOKUP(G441,products!A:A,products!C:C)</f>
        <v>L</v>
      </c>
      <c r="O441">
        <f>_xlfn.XLOOKUP(G441,products!A:A,products!D:D)</f>
        <v>0.5</v>
      </c>
      <c r="P441">
        <f>_xlfn.XLOOKUP(G441,products!A:A,products!E:E)</f>
        <v>8.91</v>
      </c>
      <c r="Q441">
        <f t="shared" si="27"/>
        <v>35.64</v>
      </c>
      <c r="R441" t="str" cm="1">
        <f t="array" ref="R441">_xlfn.IFS(Q441&lt;=50,"low sales",Q441&lt;=100,"medium sales",Q441&gt;100,"High sales")</f>
        <v>low sales</v>
      </c>
    </row>
    <row r="442" spans="1:18" x14ac:dyDescent="0.35">
      <c r="A442" s="2" t="s">
        <v>2968</v>
      </c>
      <c r="B442" s="3">
        <v>44230</v>
      </c>
      <c r="C442" s="3" t="str">
        <f t="shared" si="24"/>
        <v>Wednesday</v>
      </c>
      <c r="D442" s="3" t="str">
        <f t="shared" si="25"/>
        <v>February</v>
      </c>
      <c r="E442" s="3" t="str">
        <f t="shared" si="26"/>
        <v>2021</v>
      </c>
      <c r="F442" s="2" t="s">
        <v>2969</v>
      </c>
      <c r="G442" t="s">
        <v>6175</v>
      </c>
      <c r="H442" s="2">
        <v>4</v>
      </c>
      <c r="I442" s="2" t="str">
        <f>_xlfn.XLOOKUP(F442,customers!A:A,customers!B:B)</f>
        <v>Freda Hollows</v>
      </c>
      <c r="J442" s="2" t="str">
        <f>_xlfn.XLOOKUP(F442,customers!A:A,customers!C:C)</f>
        <v>fhollowsc8@blogtalkradio.com</v>
      </c>
      <c r="K442" s="2" t="str">
        <f>_xlfn.XLOOKUP(F442,customers!A:A,customers!F:F)</f>
        <v>Buffalo</v>
      </c>
      <c r="L442" s="2" t="str">
        <f>_xlfn.XLOOKUP(F442,customers!A:A,customers!G:G)</f>
        <v>United States</v>
      </c>
      <c r="M442" t="str">
        <f>_xlfn.XLOOKUP(G442,products!A:A,products!B:B)</f>
        <v>Ara</v>
      </c>
      <c r="N442" t="str">
        <f>_xlfn.XLOOKUP(G442,products!A:A,products!C:C)</f>
        <v>M</v>
      </c>
      <c r="O442">
        <f>_xlfn.XLOOKUP(G442,products!A:A,products!D:D)</f>
        <v>2.5</v>
      </c>
      <c r="P442">
        <f>_xlfn.XLOOKUP(G442,products!A:A,products!E:E)</f>
        <v>25.874999999999996</v>
      </c>
      <c r="Q442">
        <f t="shared" si="27"/>
        <v>103.49999999999999</v>
      </c>
      <c r="R442" t="str" cm="1">
        <f t="array" ref="R442">_xlfn.IFS(Q442&lt;=50,"low sales",Q442&lt;=100,"medium sales",Q442&gt;100,"High sales")</f>
        <v>High sales</v>
      </c>
    </row>
    <row r="443" spans="1:18" x14ac:dyDescent="0.35">
      <c r="A443" s="2" t="s">
        <v>2974</v>
      </c>
      <c r="B443" s="3">
        <v>43573</v>
      </c>
      <c r="C443" s="3" t="str">
        <f t="shared" si="24"/>
        <v>Thursday</v>
      </c>
      <c r="D443" s="3" t="str">
        <f t="shared" si="25"/>
        <v>April</v>
      </c>
      <c r="E443" s="3" t="str">
        <f t="shared" si="26"/>
        <v>2019</v>
      </c>
      <c r="F443" s="2" t="s">
        <v>2975</v>
      </c>
      <c r="G443" t="s">
        <v>6183</v>
      </c>
      <c r="H443" s="2">
        <v>3</v>
      </c>
      <c r="I443" s="2" t="str">
        <f>_xlfn.XLOOKUP(F443,customers!A:A,customers!B:B)</f>
        <v>Livy Lathleiff</v>
      </c>
      <c r="J443" s="2" t="str">
        <f>_xlfn.XLOOKUP(F443,customers!A:A,customers!C:C)</f>
        <v>llathleiffc9@nationalgeographic.com</v>
      </c>
      <c r="K443" s="2" t="str">
        <f>_xlfn.XLOOKUP(F443,customers!A:A,customers!F:F)</f>
        <v>Shankill</v>
      </c>
      <c r="L443" s="2" t="str">
        <f>_xlfn.XLOOKUP(F443,customers!A:A,customers!G:G)</f>
        <v>Ireland</v>
      </c>
      <c r="M443" t="str">
        <f>_xlfn.XLOOKUP(G443,products!A:A,products!B:B)</f>
        <v>Exc</v>
      </c>
      <c r="N443" t="str">
        <f>_xlfn.XLOOKUP(G443,products!A:A,products!C:C)</f>
        <v>D</v>
      </c>
      <c r="O443">
        <f>_xlfn.XLOOKUP(G443,products!A:A,products!D:D)</f>
        <v>1</v>
      </c>
      <c r="P443">
        <f>_xlfn.XLOOKUP(G443,products!A:A,products!E:E)</f>
        <v>12.15</v>
      </c>
      <c r="Q443">
        <f t="shared" si="27"/>
        <v>36.450000000000003</v>
      </c>
      <c r="R443" t="str" cm="1">
        <f t="array" ref="R443">_xlfn.IFS(Q443&lt;=50,"low sales",Q443&lt;=100,"medium sales",Q443&gt;100,"High sales")</f>
        <v>low sales</v>
      </c>
    </row>
    <row r="444" spans="1:18" x14ac:dyDescent="0.35">
      <c r="A444" s="2" t="s">
        <v>2980</v>
      </c>
      <c r="B444" s="3">
        <v>44384</v>
      </c>
      <c r="C444" s="3" t="str">
        <f t="shared" si="24"/>
        <v>Wednesday</v>
      </c>
      <c r="D444" s="3" t="str">
        <f t="shared" si="25"/>
        <v>July</v>
      </c>
      <c r="E444" s="3" t="str">
        <f t="shared" si="26"/>
        <v>2021</v>
      </c>
      <c r="F444" s="2" t="s">
        <v>2981</v>
      </c>
      <c r="G444" t="s">
        <v>6173</v>
      </c>
      <c r="H444" s="2">
        <v>5</v>
      </c>
      <c r="I444" s="2" t="str">
        <f>_xlfn.XLOOKUP(F444,customers!A:A,customers!B:B)</f>
        <v>Koralle Heads</v>
      </c>
      <c r="J444" s="2" t="str">
        <f>_xlfn.XLOOKUP(F444,customers!A:A,customers!C:C)</f>
        <v>kheadsca@jalbum.net</v>
      </c>
      <c r="K444" s="2" t="str">
        <f>_xlfn.XLOOKUP(F444,customers!A:A,customers!F:F)</f>
        <v>Bethlehem</v>
      </c>
      <c r="L444" s="2" t="str">
        <f>_xlfn.XLOOKUP(F444,customers!A:A,customers!G:G)</f>
        <v>United States</v>
      </c>
      <c r="M444" t="str">
        <f>_xlfn.XLOOKUP(G444,products!A:A,products!B:B)</f>
        <v>Rob</v>
      </c>
      <c r="N444" t="str">
        <f>_xlfn.XLOOKUP(G444,products!A:A,products!C:C)</f>
        <v>L</v>
      </c>
      <c r="O444">
        <f>_xlfn.XLOOKUP(G444,products!A:A,products!D:D)</f>
        <v>0.5</v>
      </c>
      <c r="P444">
        <f>_xlfn.XLOOKUP(G444,products!A:A,products!E:E)</f>
        <v>7.169999999999999</v>
      </c>
      <c r="Q444">
        <f t="shared" si="27"/>
        <v>35.849999999999994</v>
      </c>
      <c r="R444" t="str" cm="1">
        <f t="array" ref="R444">_xlfn.IFS(Q444&lt;=50,"low sales",Q444&lt;=100,"medium sales",Q444&gt;100,"High sales")</f>
        <v>low sales</v>
      </c>
    </row>
    <row r="445" spans="1:18" x14ac:dyDescent="0.35">
      <c r="A445" s="2" t="s">
        <v>2986</v>
      </c>
      <c r="B445" s="3">
        <v>44250</v>
      </c>
      <c r="C445" s="3" t="str">
        <f t="shared" si="24"/>
        <v>Tuesday</v>
      </c>
      <c r="D445" s="3" t="str">
        <f t="shared" si="25"/>
        <v>February</v>
      </c>
      <c r="E445" s="3" t="str">
        <f t="shared" si="26"/>
        <v>2021</v>
      </c>
      <c r="F445" s="2" t="s">
        <v>2987</v>
      </c>
      <c r="G445" t="s">
        <v>6184</v>
      </c>
      <c r="H445" s="2">
        <v>5</v>
      </c>
      <c r="I445" s="2" t="str">
        <f>_xlfn.XLOOKUP(F445,customers!A:A,customers!B:B)</f>
        <v>Theo Bowne</v>
      </c>
      <c r="J445" s="2" t="str">
        <f>_xlfn.XLOOKUP(F445,customers!A:A,customers!C:C)</f>
        <v>tbownecb@unicef.org</v>
      </c>
      <c r="K445" s="2" t="str">
        <f>_xlfn.XLOOKUP(F445,customers!A:A,customers!F:F)</f>
        <v>Watergrasshill</v>
      </c>
      <c r="L445" s="2" t="str">
        <f>_xlfn.XLOOKUP(F445,customers!A:A,customers!G:G)</f>
        <v>Ireland</v>
      </c>
      <c r="M445" t="str">
        <f>_xlfn.XLOOKUP(G445,products!A:A,products!B:B)</f>
        <v>Exc</v>
      </c>
      <c r="N445" t="str">
        <f>_xlfn.XLOOKUP(G445,products!A:A,products!C:C)</f>
        <v>L</v>
      </c>
      <c r="O445">
        <f>_xlfn.XLOOKUP(G445,products!A:A,products!D:D)</f>
        <v>0.2</v>
      </c>
      <c r="P445">
        <f>_xlfn.XLOOKUP(G445,products!A:A,products!E:E)</f>
        <v>4.4550000000000001</v>
      </c>
      <c r="Q445">
        <f t="shared" si="27"/>
        <v>22.274999999999999</v>
      </c>
      <c r="R445" t="str" cm="1">
        <f t="array" ref="R445">_xlfn.IFS(Q445&lt;=50,"low sales",Q445&lt;=100,"medium sales",Q445&gt;100,"High sales")</f>
        <v>low sales</v>
      </c>
    </row>
    <row r="446" spans="1:18" x14ac:dyDescent="0.35">
      <c r="A446" s="2" t="s">
        <v>2992</v>
      </c>
      <c r="B446" s="3">
        <v>44418</v>
      </c>
      <c r="C446" s="3" t="str">
        <f t="shared" si="24"/>
        <v>Tuesday</v>
      </c>
      <c r="D446" s="3" t="str">
        <f t="shared" si="25"/>
        <v>August</v>
      </c>
      <c r="E446" s="3" t="str">
        <f t="shared" si="26"/>
        <v>2021</v>
      </c>
      <c r="F446" s="2" t="s">
        <v>2993</v>
      </c>
      <c r="G446" t="s">
        <v>6156</v>
      </c>
      <c r="H446" s="2">
        <v>6</v>
      </c>
      <c r="I446" s="2" t="str">
        <f>_xlfn.XLOOKUP(F446,customers!A:A,customers!B:B)</f>
        <v>Rasia Jacquemard</v>
      </c>
      <c r="J446" s="2" t="str">
        <f>_xlfn.XLOOKUP(F446,customers!A:A,customers!C:C)</f>
        <v>rjacquemardcc@acquirethisname.com</v>
      </c>
      <c r="K446" s="2" t="str">
        <f>_xlfn.XLOOKUP(F446,customers!A:A,customers!F:F)</f>
        <v>Monasterevin</v>
      </c>
      <c r="L446" s="2" t="str">
        <f>_xlfn.XLOOKUP(F446,customers!A:A,customers!G:G)</f>
        <v>Ireland</v>
      </c>
      <c r="M446" t="str">
        <f>_xlfn.XLOOKUP(G446,products!A:A,products!B:B)</f>
        <v>Exc</v>
      </c>
      <c r="N446" t="str">
        <f>_xlfn.XLOOKUP(G446,products!A:A,products!C:C)</f>
        <v>M</v>
      </c>
      <c r="O446">
        <f>_xlfn.XLOOKUP(G446,products!A:A,products!D:D)</f>
        <v>0.2</v>
      </c>
      <c r="P446">
        <f>_xlfn.XLOOKUP(G446,products!A:A,products!E:E)</f>
        <v>4.125</v>
      </c>
      <c r="Q446">
        <f t="shared" si="27"/>
        <v>24.75</v>
      </c>
      <c r="R446" t="str" cm="1">
        <f t="array" ref="R446">_xlfn.IFS(Q446&lt;=50,"low sales",Q446&lt;=100,"medium sales",Q446&gt;100,"High sales")</f>
        <v>low sales</v>
      </c>
    </row>
    <row r="447" spans="1:18" x14ac:dyDescent="0.35">
      <c r="A447" s="2" t="s">
        <v>2999</v>
      </c>
      <c r="B447" s="3">
        <v>43784</v>
      </c>
      <c r="C447" s="3" t="str">
        <f t="shared" si="24"/>
        <v>Friday</v>
      </c>
      <c r="D447" s="3" t="str">
        <f t="shared" si="25"/>
        <v>November</v>
      </c>
      <c r="E447" s="3" t="str">
        <f t="shared" si="26"/>
        <v>2019</v>
      </c>
      <c r="F447" s="2" t="s">
        <v>3000</v>
      </c>
      <c r="G447" t="s">
        <v>6181</v>
      </c>
      <c r="H447" s="2">
        <v>2</v>
      </c>
      <c r="I447" s="2" t="str">
        <f>_xlfn.XLOOKUP(F447,customers!A:A,customers!B:B)</f>
        <v>Kizzie Warman</v>
      </c>
      <c r="J447" s="2" t="str">
        <f>_xlfn.XLOOKUP(F447,customers!A:A,customers!C:C)</f>
        <v>kwarmancd@printfriendly.com</v>
      </c>
      <c r="K447" s="2" t="str">
        <f>_xlfn.XLOOKUP(F447,customers!A:A,customers!F:F)</f>
        <v>Sandyford</v>
      </c>
      <c r="L447" s="2" t="str">
        <f>_xlfn.XLOOKUP(F447,customers!A:A,customers!G:G)</f>
        <v>Ireland</v>
      </c>
      <c r="M447" t="str">
        <f>_xlfn.XLOOKUP(G447,products!A:A,products!B:B)</f>
        <v>Lib</v>
      </c>
      <c r="N447" t="str">
        <f>_xlfn.XLOOKUP(G447,products!A:A,products!C:C)</f>
        <v>M</v>
      </c>
      <c r="O447">
        <f>_xlfn.XLOOKUP(G447,products!A:A,products!D:D)</f>
        <v>2.5</v>
      </c>
      <c r="P447">
        <f>_xlfn.XLOOKUP(G447,products!A:A,products!E:E)</f>
        <v>33.464999999999996</v>
      </c>
      <c r="Q447">
        <f t="shared" si="27"/>
        <v>66.929999999999993</v>
      </c>
      <c r="R447" t="str" cm="1">
        <f t="array" ref="R447">_xlfn.IFS(Q447&lt;=50,"low sales",Q447&lt;=100,"medium sales",Q447&gt;100,"High sales")</f>
        <v>medium sales</v>
      </c>
    </row>
    <row r="448" spans="1:18" x14ac:dyDescent="0.35">
      <c r="A448" s="2" t="s">
        <v>3004</v>
      </c>
      <c r="B448" s="3">
        <v>43816</v>
      </c>
      <c r="C448" s="3" t="str">
        <f t="shared" si="24"/>
        <v>Tuesday</v>
      </c>
      <c r="D448" s="3" t="str">
        <f t="shared" si="25"/>
        <v>December</v>
      </c>
      <c r="E448" s="3" t="str">
        <f t="shared" si="26"/>
        <v>2019</v>
      </c>
      <c r="F448" s="2" t="s">
        <v>3005</v>
      </c>
      <c r="G448" t="s">
        <v>6160</v>
      </c>
      <c r="H448" s="2">
        <v>1</v>
      </c>
      <c r="I448" s="2" t="str">
        <f>_xlfn.XLOOKUP(F448,customers!A:A,customers!B:B)</f>
        <v>Wain Cholomin</v>
      </c>
      <c r="J448" s="2" t="str">
        <f>_xlfn.XLOOKUP(F448,customers!A:A,customers!C:C)</f>
        <v>wcholomince@about.com</v>
      </c>
      <c r="K448" s="2" t="str">
        <f>_xlfn.XLOOKUP(F448,customers!A:A,customers!F:F)</f>
        <v>Birmingham</v>
      </c>
      <c r="L448" s="2" t="str">
        <f>_xlfn.XLOOKUP(F448,customers!A:A,customers!G:G)</f>
        <v>United Kingdom</v>
      </c>
      <c r="M448" t="str">
        <f>_xlfn.XLOOKUP(G448,products!A:A,products!B:B)</f>
        <v>Lib</v>
      </c>
      <c r="N448" t="str">
        <f>_xlfn.XLOOKUP(G448,products!A:A,products!C:C)</f>
        <v>M</v>
      </c>
      <c r="O448">
        <f>_xlfn.XLOOKUP(G448,products!A:A,products!D:D)</f>
        <v>0.5</v>
      </c>
      <c r="P448">
        <f>_xlfn.XLOOKUP(G448,products!A:A,products!E:E)</f>
        <v>8.73</v>
      </c>
      <c r="Q448">
        <f t="shared" si="27"/>
        <v>8.73</v>
      </c>
      <c r="R448" t="str" cm="1">
        <f t="array" ref="R448">_xlfn.IFS(Q448&lt;=50,"low sales",Q448&lt;=100,"medium sales",Q448&gt;100,"High sales")</f>
        <v>low sales</v>
      </c>
    </row>
    <row r="449" spans="1:18" x14ac:dyDescent="0.35">
      <c r="A449" s="2" t="s">
        <v>3010</v>
      </c>
      <c r="B449" s="3">
        <v>43908</v>
      </c>
      <c r="C449" s="3" t="str">
        <f t="shared" si="24"/>
        <v>Wednesday</v>
      </c>
      <c r="D449" s="3" t="str">
        <f t="shared" si="25"/>
        <v>March</v>
      </c>
      <c r="E449" s="3" t="str">
        <f t="shared" si="26"/>
        <v>2020</v>
      </c>
      <c r="F449" s="2" t="s">
        <v>3011</v>
      </c>
      <c r="G449" t="s">
        <v>6146</v>
      </c>
      <c r="H449" s="2">
        <v>3</v>
      </c>
      <c r="I449" s="2" t="str">
        <f>_xlfn.XLOOKUP(F449,customers!A:A,customers!B:B)</f>
        <v>Arleen Braidman</v>
      </c>
      <c r="J449" s="2" t="str">
        <f>_xlfn.XLOOKUP(F449,customers!A:A,customers!C:C)</f>
        <v>abraidmancf@census.gov</v>
      </c>
      <c r="K449" s="2" t="str">
        <f>_xlfn.XLOOKUP(F449,customers!A:A,customers!F:F)</f>
        <v>Phoenix</v>
      </c>
      <c r="L449" s="2" t="str">
        <f>_xlfn.XLOOKUP(F449,customers!A:A,customers!G:G)</f>
        <v>United States</v>
      </c>
      <c r="M449" t="str">
        <f>_xlfn.XLOOKUP(G449,products!A:A,products!B:B)</f>
        <v>Rob</v>
      </c>
      <c r="N449" t="str">
        <f>_xlfn.XLOOKUP(G449,products!A:A,products!C:C)</f>
        <v>M</v>
      </c>
      <c r="O449">
        <f>_xlfn.XLOOKUP(G449,products!A:A,products!D:D)</f>
        <v>0.5</v>
      </c>
      <c r="P449">
        <f>_xlfn.XLOOKUP(G449,products!A:A,products!E:E)</f>
        <v>5.97</v>
      </c>
      <c r="Q449">
        <f t="shared" si="27"/>
        <v>17.91</v>
      </c>
      <c r="R449" t="str" cm="1">
        <f t="array" ref="R449">_xlfn.IFS(Q449&lt;=50,"low sales",Q449&lt;=100,"medium sales",Q449&gt;100,"High sales")</f>
        <v>low sales</v>
      </c>
    </row>
    <row r="450" spans="1:18" x14ac:dyDescent="0.35">
      <c r="A450" s="2" t="s">
        <v>3015</v>
      </c>
      <c r="B450" s="3">
        <v>44718</v>
      </c>
      <c r="C450" s="3" t="str">
        <f t="shared" si="24"/>
        <v>Monday</v>
      </c>
      <c r="D450" s="3" t="str">
        <f t="shared" si="25"/>
        <v>June</v>
      </c>
      <c r="E450" s="3" t="str">
        <f t="shared" si="26"/>
        <v>2022</v>
      </c>
      <c r="F450" s="2" t="s">
        <v>3016</v>
      </c>
      <c r="G450" t="s">
        <v>6173</v>
      </c>
      <c r="H450" s="2">
        <v>1</v>
      </c>
      <c r="I450" s="2" t="str">
        <f>_xlfn.XLOOKUP(F450,customers!A:A,customers!B:B)</f>
        <v>Pru Durban</v>
      </c>
      <c r="J450" s="2" t="str">
        <f>_xlfn.XLOOKUP(F450,customers!A:A,customers!C:C)</f>
        <v>pdurbancg@symantec.com</v>
      </c>
      <c r="K450" s="2" t="str">
        <f>_xlfn.XLOOKUP(F450,customers!A:A,customers!F:F)</f>
        <v>Longford</v>
      </c>
      <c r="L450" s="2" t="str">
        <f>_xlfn.XLOOKUP(F450,customers!A:A,customers!G:G)</f>
        <v>Ireland</v>
      </c>
      <c r="M450" t="str">
        <f>_xlfn.XLOOKUP(G450,products!A:A,products!B:B)</f>
        <v>Rob</v>
      </c>
      <c r="N450" t="str">
        <f>_xlfn.XLOOKUP(G450,products!A:A,products!C:C)</f>
        <v>L</v>
      </c>
      <c r="O450">
        <f>_xlfn.XLOOKUP(G450,products!A:A,products!D:D)</f>
        <v>0.5</v>
      </c>
      <c r="P450">
        <f>_xlfn.XLOOKUP(G450,products!A:A,products!E:E)</f>
        <v>7.169999999999999</v>
      </c>
      <c r="Q450">
        <f t="shared" si="27"/>
        <v>7.169999999999999</v>
      </c>
      <c r="R450" t="str" cm="1">
        <f t="array" ref="R450">_xlfn.IFS(Q450&lt;=50,"low sales",Q450&lt;=100,"medium sales",Q450&gt;100,"High sales")</f>
        <v>low sales</v>
      </c>
    </row>
    <row r="451" spans="1:18" x14ac:dyDescent="0.35">
      <c r="A451" s="2" t="s">
        <v>3021</v>
      </c>
      <c r="B451" s="3">
        <v>44336</v>
      </c>
      <c r="C451" s="3" t="str">
        <f t="shared" ref="C451:C514" si="28">TEXT(B451,"DDDD")</f>
        <v>Thursday</v>
      </c>
      <c r="D451" s="3" t="str">
        <f t="shared" ref="D451:D514" si="29">TEXT(B451,"MMMM")</f>
        <v>May</v>
      </c>
      <c r="E451" s="3" t="str">
        <f t="shared" ref="E451:E514" si="30">TEXT(B451,"YYYY")</f>
        <v>2021</v>
      </c>
      <c r="F451" s="2" t="s">
        <v>3022</v>
      </c>
      <c r="G451" t="s">
        <v>6163</v>
      </c>
      <c r="H451" s="2">
        <v>2</v>
      </c>
      <c r="I451" s="2" t="str">
        <f>_xlfn.XLOOKUP(F451,customers!A:A,customers!B:B)</f>
        <v>Antone Harrold</v>
      </c>
      <c r="J451" s="2" t="str">
        <f>_xlfn.XLOOKUP(F451,customers!A:A,customers!C:C)</f>
        <v>aharroldch@miibeian.gov.cn</v>
      </c>
      <c r="K451" s="2" t="str">
        <f>_xlfn.XLOOKUP(F451,customers!A:A,customers!F:F)</f>
        <v>Toledo</v>
      </c>
      <c r="L451" s="2" t="str">
        <f>_xlfn.XLOOKUP(F451,customers!A:A,customers!G:G)</f>
        <v>United States</v>
      </c>
      <c r="M451" t="str">
        <f>_xlfn.XLOOKUP(G451,products!A:A,products!B:B)</f>
        <v>Rob</v>
      </c>
      <c r="N451" t="str">
        <f>_xlfn.XLOOKUP(G451,products!A:A,products!C:C)</f>
        <v>D</v>
      </c>
      <c r="O451">
        <f>_xlfn.XLOOKUP(G451,products!A:A,products!D:D)</f>
        <v>0.2</v>
      </c>
      <c r="P451">
        <f>_xlfn.XLOOKUP(G451,products!A:A,products!E:E)</f>
        <v>2.6849999999999996</v>
      </c>
      <c r="Q451">
        <f t="shared" ref="Q451:Q514" si="31">P451*H451</f>
        <v>5.3699999999999992</v>
      </c>
      <c r="R451" t="str" cm="1">
        <f t="array" ref="R451">_xlfn.IFS(Q451&lt;=50,"low sales",Q451&lt;=100,"medium sales",Q451&gt;100,"High sales")</f>
        <v>low sales</v>
      </c>
    </row>
    <row r="452" spans="1:18" x14ac:dyDescent="0.35">
      <c r="A452" s="2" t="s">
        <v>3027</v>
      </c>
      <c r="B452" s="3">
        <v>44207</v>
      </c>
      <c r="C452" s="3" t="str">
        <f t="shared" si="28"/>
        <v>Monday</v>
      </c>
      <c r="D452" s="3" t="str">
        <f t="shared" si="29"/>
        <v>January</v>
      </c>
      <c r="E452" s="3" t="str">
        <f t="shared" si="30"/>
        <v>2021</v>
      </c>
      <c r="F452" s="2" t="s">
        <v>3028</v>
      </c>
      <c r="G452" t="s">
        <v>6145</v>
      </c>
      <c r="H452" s="2">
        <v>5</v>
      </c>
      <c r="I452" s="2" t="str">
        <f>_xlfn.XLOOKUP(F452,customers!A:A,customers!B:B)</f>
        <v>Sim Pamphilon</v>
      </c>
      <c r="J452" s="2" t="str">
        <f>_xlfn.XLOOKUP(F452,customers!A:A,customers!C:C)</f>
        <v>spamphilonci@mlb.com</v>
      </c>
      <c r="K452" s="2" t="str">
        <f>_xlfn.XLOOKUP(F452,customers!A:A,customers!F:F)</f>
        <v>Ballylinan</v>
      </c>
      <c r="L452" s="2" t="str">
        <f>_xlfn.XLOOKUP(F452,customers!A:A,customers!G:G)</f>
        <v>Ireland</v>
      </c>
      <c r="M452" t="str">
        <f>_xlfn.XLOOKUP(G452,products!A:A,products!B:B)</f>
        <v>Lib</v>
      </c>
      <c r="N452" t="str">
        <f>_xlfn.XLOOKUP(G452,products!A:A,products!C:C)</f>
        <v>L</v>
      </c>
      <c r="O452">
        <f>_xlfn.XLOOKUP(G452,products!A:A,products!D:D)</f>
        <v>0.2</v>
      </c>
      <c r="P452">
        <f>_xlfn.XLOOKUP(G452,products!A:A,products!E:E)</f>
        <v>4.7549999999999999</v>
      </c>
      <c r="Q452">
        <f t="shared" si="31"/>
        <v>23.774999999999999</v>
      </c>
      <c r="R452" t="str" cm="1">
        <f t="array" ref="R452">_xlfn.IFS(Q452&lt;=50,"low sales",Q452&lt;=100,"medium sales",Q452&gt;100,"High sales")</f>
        <v>low sales</v>
      </c>
    </row>
    <row r="453" spans="1:18" x14ac:dyDescent="0.35">
      <c r="A453" s="2" t="s">
        <v>3035</v>
      </c>
      <c r="B453" s="3">
        <v>43518</v>
      </c>
      <c r="C453" s="3" t="str">
        <f t="shared" si="28"/>
        <v>Friday</v>
      </c>
      <c r="D453" s="3" t="str">
        <f t="shared" si="29"/>
        <v>February</v>
      </c>
      <c r="E453" s="3" t="str">
        <f t="shared" si="30"/>
        <v>2019</v>
      </c>
      <c r="F453" s="2" t="s">
        <v>3036</v>
      </c>
      <c r="G453" t="s">
        <v>6149</v>
      </c>
      <c r="H453" s="2">
        <v>2</v>
      </c>
      <c r="I453" s="2" t="str">
        <f>_xlfn.XLOOKUP(F453,customers!A:A,customers!B:B)</f>
        <v>Mohandis Spurden</v>
      </c>
      <c r="J453" s="2" t="str">
        <f>_xlfn.XLOOKUP(F453,customers!A:A,customers!C:C)</f>
        <v>mspurdencj@exblog.jp</v>
      </c>
      <c r="K453" s="2" t="str">
        <f>_xlfn.XLOOKUP(F453,customers!A:A,customers!F:F)</f>
        <v>Charlotte</v>
      </c>
      <c r="L453" s="2" t="str">
        <f>_xlfn.XLOOKUP(F453,customers!A:A,customers!G:G)</f>
        <v>United States</v>
      </c>
      <c r="M453" t="str">
        <f>_xlfn.XLOOKUP(G453,products!A:A,products!B:B)</f>
        <v>Rob</v>
      </c>
      <c r="N453" t="str">
        <f>_xlfn.XLOOKUP(G453,products!A:A,products!C:C)</f>
        <v>D</v>
      </c>
      <c r="O453">
        <f>_xlfn.XLOOKUP(G453,products!A:A,products!D:D)</f>
        <v>2.5</v>
      </c>
      <c r="P453">
        <f>_xlfn.XLOOKUP(G453,products!A:A,products!E:E)</f>
        <v>20.584999999999997</v>
      </c>
      <c r="Q453">
        <f t="shared" si="31"/>
        <v>41.169999999999995</v>
      </c>
      <c r="R453" t="str" cm="1">
        <f t="array" ref="R453">_xlfn.IFS(Q453&lt;=50,"low sales",Q453&lt;=100,"medium sales",Q453&gt;100,"High sales")</f>
        <v>low sales</v>
      </c>
    </row>
    <row r="454" spans="1:18" x14ac:dyDescent="0.35">
      <c r="A454" s="2" t="s">
        <v>3041</v>
      </c>
      <c r="B454" s="3">
        <v>44524</v>
      </c>
      <c r="C454" s="3" t="str">
        <f t="shared" si="28"/>
        <v>Wednesday</v>
      </c>
      <c r="D454" s="3" t="str">
        <f t="shared" si="29"/>
        <v>November</v>
      </c>
      <c r="E454" s="3" t="str">
        <f t="shared" si="30"/>
        <v>2021</v>
      </c>
      <c r="F454" s="2" t="s">
        <v>3042</v>
      </c>
      <c r="G454" t="s">
        <v>6167</v>
      </c>
      <c r="H454" s="2">
        <v>3</v>
      </c>
      <c r="I454" s="2" t="str">
        <f>_xlfn.XLOOKUP(F454,customers!A:A,customers!B:B)</f>
        <v>Morgen Seson</v>
      </c>
      <c r="J454" s="2" t="str">
        <f>_xlfn.XLOOKUP(F454,customers!A:A,customers!C:C)</f>
        <v>msesonck@census.gov</v>
      </c>
      <c r="K454" s="2" t="str">
        <f>_xlfn.XLOOKUP(F454,customers!A:A,customers!F:F)</f>
        <v>Seattle</v>
      </c>
      <c r="L454" s="2" t="str">
        <f>_xlfn.XLOOKUP(F454,customers!A:A,customers!G:G)</f>
        <v>United States</v>
      </c>
      <c r="M454" t="str">
        <f>_xlfn.XLOOKUP(G454,products!A:A,products!B:B)</f>
        <v>Ara</v>
      </c>
      <c r="N454" t="str">
        <f>_xlfn.XLOOKUP(G454,products!A:A,products!C:C)</f>
        <v>L</v>
      </c>
      <c r="O454">
        <f>_xlfn.XLOOKUP(G454,products!A:A,products!D:D)</f>
        <v>0.2</v>
      </c>
      <c r="P454">
        <f>_xlfn.XLOOKUP(G454,products!A:A,products!E:E)</f>
        <v>3.8849999999999998</v>
      </c>
      <c r="Q454">
        <f t="shared" si="31"/>
        <v>11.654999999999999</v>
      </c>
      <c r="R454" t="str" cm="1">
        <f t="array" ref="R454">_xlfn.IFS(Q454&lt;=50,"low sales",Q454&lt;=100,"medium sales",Q454&gt;100,"High sales")</f>
        <v>low sales</v>
      </c>
    </row>
    <row r="455" spans="1:18" x14ac:dyDescent="0.35">
      <c r="A455" s="2" t="s">
        <v>3047</v>
      </c>
      <c r="B455" s="3">
        <v>44579</v>
      </c>
      <c r="C455" s="3" t="str">
        <f t="shared" si="28"/>
        <v>Tuesday</v>
      </c>
      <c r="D455" s="3" t="str">
        <f t="shared" si="29"/>
        <v>January</v>
      </c>
      <c r="E455" s="3" t="str">
        <f t="shared" si="30"/>
        <v>2022</v>
      </c>
      <c r="F455" s="2" t="s">
        <v>3048</v>
      </c>
      <c r="G455" t="s">
        <v>6161</v>
      </c>
      <c r="H455" s="2">
        <v>4</v>
      </c>
      <c r="I455" s="2" t="str">
        <f>_xlfn.XLOOKUP(F455,customers!A:A,customers!B:B)</f>
        <v>Nalani Pirrone</v>
      </c>
      <c r="J455" s="2" t="str">
        <f>_xlfn.XLOOKUP(F455,customers!A:A,customers!C:C)</f>
        <v>npirronecl@weibo.com</v>
      </c>
      <c r="K455" s="2" t="str">
        <f>_xlfn.XLOOKUP(F455,customers!A:A,customers!F:F)</f>
        <v>Wilkes Barre</v>
      </c>
      <c r="L455" s="2" t="str">
        <f>_xlfn.XLOOKUP(F455,customers!A:A,customers!G:G)</f>
        <v>United States</v>
      </c>
      <c r="M455" t="str">
        <f>_xlfn.XLOOKUP(G455,products!A:A,products!B:B)</f>
        <v>Lib</v>
      </c>
      <c r="N455" t="str">
        <f>_xlfn.XLOOKUP(G455,products!A:A,products!C:C)</f>
        <v>L</v>
      </c>
      <c r="O455">
        <f>_xlfn.XLOOKUP(G455,products!A:A,products!D:D)</f>
        <v>0.5</v>
      </c>
      <c r="P455">
        <f>_xlfn.XLOOKUP(G455,products!A:A,products!E:E)</f>
        <v>9.51</v>
      </c>
      <c r="Q455">
        <f t="shared" si="31"/>
        <v>38.04</v>
      </c>
      <c r="R455" t="str" cm="1">
        <f t="array" ref="R455">_xlfn.IFS(Q455&lt;=50,"low sales",Q455&lt;=100,"medium sales",Q455&gt;100,"High sales")</f>
        <v>low sales</v>
      </c>
    </row>
    <row r="456" spans="1:18" x14ac:dyDescent="0.35">
      <c r="A456" s="2" t="s">
        <v>3053</v>
      </c>
      <c r="B456" s="3">
        <v>44421</v>
      </c>
      <c r="C456" s="3" t="str">
        <f t="shared" si="28"/>
        <v>Friday</v>
      </c>
      <c r="D456" s="3" t="str">
        <f t="shared" si="29"/>
        <v>August</v>
      </c>
      <c r="E456" s="3" t="str">
        <f t="shared" si="30"/>
        <v>2021</v>
      </c>
      <c r="F456" s="2" t="s">
        <v>3054</v>
      </c>
      <c r="G456" t="s">
        <v>6149</v>
      </c>
      <c r="H456" s="2">
        <v>4</v>
      </c>
      <c r="I456" s="2" t="str">
        <f>_xlfn.XLOOKUP(F456,customers!A:A,customers!B:B)</f>
        <v>Reube Cawley</v>
      </c>
      <c r="J456" s="2" t="str">
        <f>_xlfn.XLOOKUP(F456,customers!A:A,customers!C:C)</f>
        <v>rcawleycm@yellowbook.com</v>
      </c>
      <c r="K456" s="2" t="str">
        <f>_xlfn.XLOOKUP(F456,customers!A:A,customers!F:F)</f>
        <v>Ballyboden</v>
      </c>
      <c r="L456" s="2" t="str">
        <f>_xlfn.XLOOKUP(F456,customers!A:A,customers!G:G)</f>
        <v>Ireland</v>
      </c>
      <c r="M456" t="str">
        <f>_xlfn.XLOOKUP(G456,products!A:A,products!B:B)</f>
        <v>Rob</v>
      </c>
      <c r="N456" t="str">
        <f>_xlfn.XLOOKUP(G456,products!A:A,products!C:C)</f>
        <v>D</v>
      </c>
      <c r="O456">
        <f>_xlfn.XLOOKUP(G456,products!A:A,products!D:D)</f>
        <v>2.5</v>
      </c>
      <c r="P456">
        <f>_xlfn.XLOOKUP(G456,products!A:A,products!E:E)</f>
        <v>20.584999999999997</v>
      </c>
      <c r="Q456">
        <f t="shared" si="31"/>
        <v>82.339999999999989</v>
      </c>
      <c r="R456" t="str" cm="1">
        <f t="array" ref="R456">_xlfn.IFS(Q456&lt;=50,"low sales",Q456&lt;=100,"medium sales",Q456&gt;100,"High sales")</f>
        <v>medium sales</v>
      </c>
    </row>
    <row r="457" spans="1:18" x14ac:dyDescent="0.35">
      <c r="A457" s="2" t="s">
        <v>3058</v>
      </c>
      <c r="B457" s="3">
        <v>43841</v>
      </c>
      <c r="C457" s="3" t="str">
        <f t="shared" si="28"/>
        <v>Saturday</v>
      </c>
      <c r="D457" s="3" t="str">
        <f t="shared" si="29"/>
        <v>January</v>
      </c>
      <c r="E457" s="3" t="str">
        <f t="shared" si="30"/>
        <v>2020</v>
      </c>
      <c r="F457" s="2" t="s">
        <v>3059</v>
      </c>
      <c r="G457" t="s">
        <v>6145</v>
      </c>
      <c r="H457" s="2">
        <v>2</v>
      </c>
      <c r="I457" s="2" t="str">
        <f>_xlfn.XLOOKUP(F457,customers!A:A,customers!B:B)</f>
        <v>Stan Barribal</v>
      </c>
      <c r="J457" s="2" t="str">
        <f>_xlfn.XLOOKUP(F457,customers!A:A,customers!C:C)</f>
        <v>sbarribalcn@microsoft.com</v>
      </c>
      <c r="K457" s="2" t="str">
        <f>_xlfn.XLOOKUP(F457,customers!A:A,customers!F:F)</f>
        <v>Bagenalstown</v>
      </c>
      <c r="L457" s="2" t="str">
        <f>_xlfn.XLOOKUP(F457,customers!A:A,customers!G:G)</f>
        <v>Ireland</v>
      </c>
      <c r="M457" t="str">
        <f>_xlfn.XLOOKUP(G457,products!A:A,products!B:B)</f>
        <v>Lib</v>
      </c>
      <c r="N457" t="str">
        <f>_xlfn.XLOOKUP(G457,products!A:A,products!C:C)</f>
        <v>L</v>
      </c>
      <c r="O457">
        <f>_xlfn.XLOOKUP(G457,products!A:A,products!D:D)</f>
        <v>0.2</v>
      </c>
      <c r="P457">
        <f>_xlfn.XLOOKUP(G457,products!A:A,products!E:E)</f>
        <v>4.7549999999999999</v>
      </c>
      <c r="Q457">
        <f t="shared" si="31"/>
        <v>9.51</v>
      </c>
      <c r="R457" t="str" cm="1">
        <f t="array" ref="R457">_xlfn.IFS(Q457&lt;=50,"low sales",Q457&lt;=100,"medium sales",Q457&gt;100,"High sales")</f>
        <v>low sales</v>
      </c>
    </row>
    <row r="458" spans="1:18" x14ac:dyDescent="0.35">
      <c r="A458" s="2" t="s">
        <v>3064</v>
      </c>
      <c r="B458" s="3">
        <v>44017</v>
      </c>
      <c r="C458" s="3" t="str">
        <f t="shared" si="28"/>
        <v>Sunday</v>
      </c>
      <c r="D458" s="3" t="str">
        <f t="shared" si="29"/>
        <v>July</v>
      </c>
      <c r="E458" s="3" t="str">
        <f t="shared" si="30"/>
        <v>2020</v>
      </c>
      <c r="F458" s="2" t="s">
        <v>3065</v>
      </c>
      <c r="G458" t="s">
        <v>6149</v>
      </c>
      <c r="H458" s="2">
        <v>2</v>
      </c>
      <c r="I458" s="2" t="str">
        <f>_xlfn.XLOOKUP(F458,customers!A:A,customers!B:B)</f>
        <v>Agnes Adamides</v>
      </c>
      <c r="J458" s="2" t="str">
        <f>_xlfn.XLOOKUP(F458,customers!A:A,customers!C:C)</f>
        <v>aadamidesco@bizjournals.com</v>
      </c>
      <c r="K458" s="2" t="str">
        <f>_xlfn.XLOOKUP(F458,customers!A:A,customers!F:F)</f>
        <v>Liverpool</v>
      </c>
      <c r="L458" s="2" t="str">
        <f>_xlfn.XLOOKUP(F458,customers!A:A,customers!G:G)</f>
        <v>United Kingdom</v>
      </c>
      <c r="M458" t="str">
        <f>_xlfn.XLOOKUP(G458,products!A:A,products!B:B)</f>
        <v>Rob</v>
      </c>
      <c r="N458" t="str">
        <f>_xlfn.XLOOKUP(G458,products!A:A,products!C:C)</f>
        <v>D</v>
      </c>
      <c r="O458">
        <f>_xlfn.XLOOKUP(G458,products!A:A,products!D:D)</f>
        <v>2.5</v>
      </c>
      <c r="P458">
        <f>_xlfn.XLOOKUP(G458,products!A:A,products!E:E)</f>
        <v>20.584999999999997</v>
      </c>
      <c r="Q458">
        <f t="shared" si="31"/>
        <v>41.169999999999995</v>
      </c>
      <c r="R458" t="str" cm="1">
        <f t="array" ref="R458">_xlfn.IFS(Q458&lt;=50,"low sales",Q458&lt;=100,"medium sales",Q458&gt;100,"High sales")</f>
        <v>low sales</v>
      </c>
    </row>
    <row r="459" spans="1:18" x14ac:dyDescent="0.35">
      <c r="A459" s="2" t="s">
        <v>3070</v>
      </c>
      <c r="B459" s="3">
        <v>43671</v>
      </c>
      <c r="C459" s="3" t="str">
        <f t="shared" si="28"/>
        <v>Thursday</v>
      </c>
      <c r="D459" s="3" t="str">
        <f t="shared" si="29"/>
        <v>July</v>
      </c>
      <c r="E459" s="3" t="str">
        <f t="shared" si="30"/>
        <v>2019</v>
      </c>
      <c r="F459" s="2" t="s">
        <v>3071</v>
      </c>
      <c r="G459" t="s">
        <v>6161</v>
      </c>
      <c r="H459" s="2">
        <v>5</v>
      </c>
      <c r="I459" s="2" t="str">
        <f>_xlfn.XLOOKUP(F459,customers!A:A,customers!B:B)</f>
        <v>Carmelita Thowes</v>
      </c>
      <c r="J459" s="2" t="str">
        <f>_xlfn.XLOOKUP(F459,customers!A:A,customers!C:C)</f>
        <v>cthowescp@craigslist.org</v>
      </c>
      <c r="K459" s="2" t="str">
        <f>_xlfn.XLOOKUP(F459,customers!A:A,customers!F:F)</f>
        <v>Rochester</v>
      </c>
      <c r="L459" s="2" t="str">
        <f>_xlfn.XLOOKUP(F459,customers!A:A,customers!G:G)</f>
        <v>United States</v>
      </c>
      <c r="M459" t="str">
        <f>_xlfn.XLOOKUP(G459,products!A:A,products!B:B)</f>
        <v>Lib</v>
      </c>
      <c r="N459" t="str">
        <f>_xlfn.XLOOKUP(G459,products!A:A,products!C:C)</f>
        <v>L</v>
      </c>
      <c r="O459">
        <f>_xlfn.XLOOKUP(G459,products!A:A,products!D:D)</f>
        <v>0.5</v>
      </c>
      <c r="P459">
        <f>_xlfn.XLOOKUP(G459,products!A:A,products!E:E)</f>
        <v>9.51</v>
      </c>
      <c r="Q459">
        <f t="shared" si="31"/>
        <v>47.55</v>
      </c>
      <c r="R459" t="str" cm="1">
        <f t="array" ref="R459">_xlfn.IFS(Q459&lt;=50,"low sales",Q459&lt;=100,"medium sales",Q459&gt;100,"High sales")</f>
        <v>low sales</v>
      </c>
    </row>
    <row r="460" spans="1:18" x14ac:dyDescent="0.35">
      <c r="A460" s="2" t="s">
        <v>3076</v>
      </c>
      <c r="B460" s="3">
        <v>44707</v>
      </c>
      <c r="C460" s="3" t="str">
        <f t="shared" si="28"/>
        <v>Thursday</v>
      </c>
      <c r="D460" s="3" t="str">
        <f t="shared" si="29"/>
        <v>May</v>
      </c>
      <c r="E460" s="3" t="str">
        <f t="shared" si="30"/>
        <v>2022</v>
      </c>
      <c r="F460" s="2" t="s">
        <v>3077</v>
      </c>
      <c r="G460" t="s">
        <v>6155</v>
      </c>
      <c r="H460" s="2">
        <v>4</v>
      </c>
      <c r="I460" s="2" t="str">
        <f>_xlfn.XLOOKUP(F460,customers!A:A,customers!B:B)</f>
        <v>Rodolfo Willoway</v>
      </c>
      <c r="J460" s="2" t="str">
        <f>_xlfn.XLOOKUP(F460,customers!A:A,customers!C:C)</f>
        <v>rwillowaycq@admin.ch</v>
      </c>
      <c r="K460" s="2" t="str">
        <f>_xlfn.XLOOKUP(F460,customers!A:A,customers!F:F)</f>
        <v>Tucson</v>
      </c>
      <c r="L460" s="2" t="str">
        <f>_xlfn.XLOOKUP(F460,customers!A:A,customers!G:G)</f>
        <v>United States</v>
      </c>
      <c r="M460" t="str">
        <f>_xlfn.XLOOKUP(G460,products!A:A,products!B:B)</f>
        <v>Ara</v>
      </c>
      <c r="N460" t="str">
        <f>_xlfn.XLOOKUP(G460,products!A:A,products!C:C)</f>
        <v>M</v>
      </c>
      <c r="O460">
        <f>_xlfn.XLOOKUP(G460,products!A:A,products!D:D)</f>
        <v>1</v>
      </c>
      <c r="P460">
        <f>_xlfn.XLOOKUP(G460,products!A:A,products!E:E)</f>
        <v>11.25</v>
      </c>
      <c r="Q460">
        <f t="shared" si="31"/>
        <v>45</v>
      </c>
      <c r="R460" t="str" cm="1">
        <f t="array" ref="R460">_xlfn.IFS(Q460&lt;=50,"low sales",Q460&lt;=100,"medium sales",Q460&gt;100,"High sales")</f>
        <v>low sales</v>
      </c>
    </row>
    <row r="461" spans="1:18" x14ac:dyDescent="0.35">
      <c r="A461" s="2" t="s">
        <v>3082</v>
      </c>
      <c r="B461" s="3">
        <v>43840</v>
      </c>
      <c r="C461" s="3" t="str">
        <f t="shared" si="28"/>
        <v>Friday</v>
      </c>
      <c r="D461" s="3" t="str">
        <f t="shared" si="29"/>
        <v>January</v>
      </c>
      <c r="E461" s="3" t="str">
        <f t="shared" si="30"/>
        <v>2020</v>
      </c>
      <c r="F461" s="2" t="s">
        <v>3083</v>
      </c>
      <c r="G461" t="s">
        <v>6145</v>
      </c>
      <c r="H461" s="2">
        <v>5</v>
      </c>
      <c r="I461" s="2" t="str">
        <f>_xlfn.XLOOKUP(F461,customers!A:A,customers!B:B)</f>
        <v>Alvis Elwin</v>
      </c>
      <c r="J461" s="2" t="str">
        <f>_xlfn.XLOOKUP(F461,customers!A:A,customers!C:C)</f>
        <v>aelwincr@privacy.gov.au</v>
      </c>
      <c r="K461" s="2" t="str">
        <f>_xlfn.XLOOKUP(F461,customers!A:A,customers!F:F)</f>
        <v>Minneapolis</v>
      </c>
      <c r="L461" s="2" t="str">
        <f>_xlfn.XLOOKUP(F461,customers!A:A,customers!G:G)</f>
        <v>United States</v>
      </c>
      <c r="M461" t="str">
        <f>_xlfn.XLOOKUP(G461,products!A:A,products!B:B)</f>
        <v>Lib</v>
      </c>
      <c r="N461" t="str">
        <f>_xlfn.XLOOKUP(G461,products!A:A,products!C:C)</f>
        <v>L</v>
      </c>
      <c r="O461">
        <f>_xlfn.XLOOKUP(G461,products!A:A,products!D:D)</f>
        <v>0.2</v>
      </c>
      <c r="P461">
        <f>_xlfn.XLOOKUP(G461,products!A:A,products!E:E)</f>
        <v>4.7549999999999999</v>
      </c>
      <c r="Q461">
        <f t="shared" si="31"/>
        <v>23.774999999999999</v>
      </c>
      <c r="R461" t="str" cm="1">
        <f t="array" ref="R461">_xlfn.IFS(Q461&lt;=50,"low sales",Q461&lt;=100,"medium sales",Q461&gt;100,"High sales")</f>
        <v>low sales</v>
      </c>
    </row>
    <row r="462" spans="1:18" x14ac:dyDescent="0.35">
      <c r="A462" s="2" t="s">
        <v>3088</v>
      </c>
      <c r="B462" s="3">
        <v>43602</v>
      </c>
      <c r="C462" s="3" t="str">
        <f t="shared" si="28"/>
        <v>Friday</v>
      </c>
      <c r="D462" s="3" t="str">
        <f t="shared" si="29"/>
        <v>May</v>
      </c>
      <c r="E462" s="3" t="str">
        <f t="shared" si="30"/>
        <v>2019</v>
      </c>
      <c r="F462" s="2" t="s">
        <v>3089</v>
      </c>
      <c r="G462" t="s">
        <v>6172</v>
      </c>
      <c r="H462" s="2">
        <v>3</v>
      </c>
      <c r="I462" s="2" t="str">
        <f>_xlfn.XLOOKUP(F462,customers!A:A,customers!B:B)</f>
        <v>Araldo Bilbrook</v>
      </c>
      <c r="J462" s="2" t="str">
        <f>_xlfn.XLOOKUP(F462,customers!A:A,customers!C:C)</f>
        <v>abilbrookcs@booking.com</v>
      </c>
      <c r="K462" s="2" t="str">
        <f>_xlfn.XLOOKUP(F462,customers!A:A,customers!F:F)</f>
        <v>Ashbourne</v>
      </c>
      <c r="L462" s="2" t="str">
        <f>_xlfn.XLOOKUP(F462,customers!A:A,customers!G:G)</f>
        <v>Ireland</v>
      </c>
      <c r="M462" t="str">
        <f>_xlfn.XLOOKUP(G462,products!A:A,products!B:B)</f>
        <v>Rob</v>
      </c>
      <c r="N462" t="str">
        <f>_xlfn.XLOOKUP(G462,products!A:A,products!C:C)</f>
        <v>D</v>
      </c>
      <c r="O462">
        <f>_xlfn.XLOOKUP(G462,products!A:A,products!D:D)</f>
        <v>0.5</v>
      </c>
      <c r="P462">
        <f>_xlfn.XLOOKUP(G462,products!A:A,products!E:E)</f>
        <v>5.3699999999999992</v>
      </c>
      <c r="Q462">
        <f t="shared" si="31"/>
        <v>16.11</v>
      </c>
      <c r="R462" t="str" cm="1">
        <f t="array" ref="R462">_xlfn.IFS(Q462&lt;=50,"low sales",Q462&lt;=100,"medium sales",Q462&gt;100,"High sales")</f>
        <v>low sales</v>
      </c>
    </row>
    <row r="463" spans="1:18" x14ac:dyDescent="0.35">
      <c r="A463" s="2" t="s">
        <v>3094</v>
      </c>
      <c r="B463" s="3">
        <v>44036</v>
      </c>
      <c r="C463" s="3" t="str">
        <f t="shared" si="28"/>
        <v>Friday</v>
      </c>
      <c r="D463" s="3" t="str">
        <f t="shared" si="29"/>
        <v>July</v>
      </c>
      <c r="E463" s="3" t="str">
        <f t="shared" si="30"/>
        <v>2020</v>
      </c>
      <c r="F463" s="2" t="s">
        <v>3095</v>
      </c>
      <c r="G463" t="s">
        <v>6163</v>
      </c>
      <c r="H463" s="2">
        <v>4</v>
      </c>
      <c r="I463" s="2" t="str">
        <f>_xlfn.XLOOKUP(F463,customers!A:A,customers!B:B)</f>
        <v>Ransell McKall</v>
      </c>
      <c r="J463" s="2" t="str">
        <f>_xlfn.XLOOKUP(F463,customers!A:A,customers!C:C)</f>
        <v>rmckallct@sakura.ne.jp</v>
      </c>
      <c r="K463" s="2" t="str">
        <f>_xlfn.XLOOKUP(F463,customers!A:A,customers!F:F)</f>
        <v>Bristol</v>
      </c>
      <c r="L463" s="2" t="str">
        <f>_xlfn.XLOOKUP(F463,customers!A:A,customers!G:G)</f>
        <v>United Kingdom</v>
      </c>
      <c r="M463" t="str">
        <f>_xlfn.XLOOKUP(G463,products!A:A,products!B:B)</f>
        <v>Rob</v>
      </c>
      <c r="N463" t="str">
        <f>_xlfn.XLOOKUP(G463,products!A:A,products!C:C)</f>
        <v>D</v>
      </c>
      <c r="O463">
        <f>_xlfn.XLOOKUP(G463,products!A:A,products!D:D)</f>
        <v>0.2</v>
      </c>
      <c r="P463">
        <f>_xlfn.XLOOKUP(G463,products!A:A,products!E:E)</f>
        <v>2.6849999999999996</v>
      </c>
      <c r="Q463">
        <f t="shared" si="31"/>
        <v>10.739999999999998</v>
      </c>
      <c r="R463" t="str" cm="1">
        <f t="array" ref="R463">_xlfn.IFS(Q463&lt;=50,"low sales",Q463&lt;=100,"medium sales",Q463&gt;100,"High sales")</f>
        <v>low sales</v>
      </c>
    </row>
    <row r="464" spans="1:18" x14ac:dyDescent="0.35">
      <c r="A464" s="2" t="s">
        <v>3100</v>
      </c>
      <c r="B464" s="3">
        <v>44124</v>
      </c>
      <c r="C464" s="3" t="str">
        <f t="shared" si="28"/>
        <v>Tuesday</v>
      </c>
      <c r="D464" s="3" t="str">
        <f t="shared" si="29"/>
        <v>October</v>
      </c>
      <c r="E464" s="3" t="str">
        <f t="shared" si="30"/>
        <v>2020</v>
      </c>
      <c r="F464" s="2" t="s">
        <v>3101</v>
      </c>
      <c r="G464" t="s">
        <v>6147</v>
      </c>
      <c r="H464" s="2">
        <v>5</v>
      </c>
      <c r="I464" s="2" t="str">
        <f>_xlfn.XLOOKUP(F464,customers!A:A,customers!B:B)</f>
        <v>Borg Daile</v>
      </c>
      <c r="J464" s="2" t="str">
        <f>_xlfn.XLOOKUP(F464,customers!A:A,customers!C:C)</f>
        <v>bdailecu@vistaprint.com</v>
      </c>
      <c r="K464" s="2" t="str">
        <f>_xlfn.XLOOKUP(F464,customers!A:A,customers!F:F)</f>
        <v>Atlanta</v>
      </c>
      <c r="L464" s="2" t="str">
        <f>_xlfn.XLOOKUP(F464,customers!A:A,customers!G:G)</f>
        <v>United States</v>
      </c>
      <c r="M464" t="str">
        <f>_xlfn.XLOOKUP(G464,products!A:A,products!B:B)</f>
        <v>Ara</v>
      </c>
      <c r="N464" t="str">
        <f>_xlfn.XLOOKUP(G464,products!A:A,products!C:C)</f>
        <v>D</v>
      </c>
      <c r="O464">
        <f>_xlfn.XLOOKUP(G464,products!A:A,products!D:D)</f>
        <v>1</v>
      </c>
      <c r="P464">
        <f>_xlfn.XLOOKUP(G464,products!A:A,products!E:E)</f>
        <v>9.9499999999999993</v>
      </c>
      <c r="Q464">
        <f t="shared" si="31"/>
        <v>49.75</v>
      </c>
      <c r="R464" t="str" cm="1">
        <f t="array" ref="R464">_xlfn.IFS(Q464&lt;=50,"low sales",Q464&lt;=100,"medium sales",Q464&gt;100,"High sales")</f>
        <v>low sales</v>
      </c>
    </row>
    <row r="465" spans="1:18" x14ac:dyDescent="0.35">
      <c r="A465" s="2" t="s">
        <v>3106</v>
      </c>
      <c r="B465" s="3">
        <v>43730</v>
      </c>
      <c r="C465" s="3" t="str">
        <f t="shared" si="28"/>
        <v>Sunday</v>
      </c>
      <c r="D465" s="3" t="str">
        <f t="shared" si="29"/>
        <v>September</v>
      </c>
      <c r="E465" s="3" t="str">
        <f t="shared" si="30"/>
        <v>2019</v>
      </c>
      <c r="F465" s="2" t="s">
        <v>3107</v>
      </c>
      <c r="G465" t="s">
        <v>6141</v>
      </c>
      <c r="H465" s="2">
        <v>2</v>
      </c>
      <c r="I465" s="2" t="str">
        <f>_xlfn.XLOOKUP(F465,customers!A:A,customers!B:B)</f>
        <v>Adolphe Treherne</v>
      </c>
      <c r="J465" s="2" t="str">
        <f>_xlfn.XLOOKUP(F465,customers!A:A,customers!C:C)</f>
        <v>atrehernecv@state.tx.us</v>
      </c>
      <c r="K465" s="2" t="str">
        <f>_xlfn.XLOOKUP(F465,customers!A:A,customers!F:F)</f>
        <v>Farranacoush</v>
      </c>
      <c r="L465" s="2" t="str">
        <f>_xlfn.XLOOKUP(F465,customers!A:A,customers!G:G)</f>
        <v>Ireland</v>
      </c>
      <c r="M465" t="str">
        <f>_xlfn.XLOOKUP(G465,products!A:A,products!B:B)</f>
        <v>Exc</v>
      </c>
      <c r="N465" t="str">
        <f>_xlfn.XLOOKUP(G465,products!A:A,products!C:C)</f>
        <v>M</v>
      </c>
      <c r="O465">
        <f>_xlfn.XLOOKUP(G465,products!A:A,products!D:D)</f>
        <v>1</v>
      </c>
      <c r="P465">
        <f>_xlfn.XLOOKUP(G465,products!A:A,products!E:E)</f>
        <v>13.75</v>
      </c>
      <c r="Q465">
        <f t="shared" si="31"/>
        <v>27.5</v>
      </c>
      <c r="R465" t="str" cm="1">
        <f t="array" ref="R465">_xlfn.IFS(Q465&lt;=50,"low sales",Q465&lt;=100,"medium sales",Q465&gt;100,"High sales")</f>
        <v>low sales</v>
      </c>
    </row>
    <row r="466" spans="1:18" x14ac:dyDescent="0.35">
      <c r="A466" s="2" t="s">
        <v>3112</v>
      </c>
      <c r="B466" s="3">
        <v>43989</v>
      </c>
      <c r="C466" s="3" t="str">
        <f t="shared" si="28"/>
        <v>Sunday</v>
      </c>
      <c r="D466" s="3" t="str">
        <f t="shared" si="29"/>
        <v>June</v>
      </c>
      <c r="E466" s="3" t="str">
        <f t="shared" si="30"/>
        <v>2020</v>
      </c>
      <c r="F466" s="2" t="s">
        <v>3113</v>
      </c>
      <c r="G466" t="s">
        <v>6165</v>
      </c>
      <c r="H466" s="2">
        <v>4</v>
      </c>
      <c r="I466" s="2" t="str">
        <f>_xlfn.XLOOKUP(F466,customers!A:A,customers!B:B)</f>
        <v>Annetta Brentnall</v>
      </c>
      <c r="J466" s="2" t="str">
        <f>_xlfn.XLOOKUP(F466,customers!A:A,customers!C:C)</f>
        <v>abrentnallcw@biglobe.ne.jp</v>
      </c>
      <c r="K466" s="2" t="str">
        <f>_xlfn.XLOOKUP(F466,customers!A:A,customers!F:F)</f>
        <v>East End</v>
      </c>
      <c r="L466" s="2" t="str">
        <f>_xlfn.XLOOKUP(F466,customers!A:A,customers!G:G)</f>
        <v>United Kingdom</v>
      </c>
      <c r="M466" t="str">
        <f>_xlfn.XLOOKUP(G466,products!A:A,products!B:B)</f>
        <v>Lib</v>
      </c>
      <c r="N466" t="str">
        <f>_xlfn.XLOOKUP(G466,products!A:A,products!C:C)</f>
        <v>D</v>
      </c>
      <c r="O466">
        <f>_xlfn.XLOOKUP(G466,products!A:A,products!D:D)</f>
        <v>2.5</v>
      </c>
      <c r="P466">
        <f>_xlfn.XLOOKUP(G466,products!A:A,products!E:E)</f>
        <v>29.784999999999997</v>
      </c>
      <c r="Q466">
        <f t="shared" si="31"/>
        <v>119.13999999999999</v>
      </c>
      <c r="R466" t="str" cm="1">
        <f t="array" ref="R466">_xlfn.IFS(Q466&lt;=50,"low sales",Q466&lt;=100,"medium sales",Q466&gt;100,"High sales")</f>
        <v>High sales</v>
      </c>
    </row>
    <row r="467" spans="1:18" x14ac:dyDescent="0.35">
      <c r="A467" s="2" t="s">
        <v>3118</v>
      </c>
      <c r="B467" s="3">
        <v>43814</v>
      </c>
      <c r="C467" s="3" t="str">
        <f t="shared" si="28"/>
        <v>Sunday</v>
      </c>
      <c r="D467" s="3" t="str">
        <f t="shared" si="29"/>
        <v>December</v>
      </c>
      <c r="E467" s="3" t="str">
        <f t="shared" si="30"/>
        <v>2019</v>
      </c>
      <c r="F467" s="2" t="s">
        <v>3119</v>
      </c>
      <c r="G467" t="s">
        <v>6149</v>
      </c>
      <c r="H467" s="2">
        <v>1</v>
      </c>
      <c r="I467" s="2" t="str">
        <f>_xlfn.XLOOKUP(F467,customers!A:A,customers!B:B)</f>
        <v>Dick Drinkall</v>
      </c>
      <c r="J467" s="2" t="str">
        <f>_xlfn.XLOOKUP(F467,customers!A:A,customers!C:C)</f>
        <v>ddrinkallcx@psu.edu</v>
      </c>
      <c r="K467" s="2" t="str">
        <f>_xlfn.XLOOKUP(F467,customers!A:A,customers!F:F)</f>
        <v>Knoxville</v>
      </c>
      <c r="L467" s="2" t="str">
        <f>_xlfn.XLOOKUP(F467,customers!A:A,customers!G:G)</f>
        <v>United States</v>
      </c>
      <c r="M467" t="str">
        <f>_xlfn.XLOOKUP(G467,products!A:A,products!B:B)</f>
        <v>Rob</v>
      </c>
      <c r="N467" t="str">
        <f>_xlfn.XLOOKUP(G467,products!A:A,products!C:C)</f>
        <v>D</v>
      </c>
      <c r="O467">
        <f>_xlfn.XLOOKUP(G467,products!A:A,products!D:D)</f>
        <v>2.5</v>
      </c>
      <c r="P467">
        <f>_xlfn.XLOOKUP(G467,products!A:A,products!E:E)</f>
        <v>20.584999999999997</v>
      </c>
      <c r="Q467">
        <f t="shared" si="31"/>
        <v>20.584999999999997</v>
      </c>
      <c r="R467" t="str" cm="1">
        <f t="array" ref="R467">_xlfn.IFS(Q467&lt;=50,"low sales",Q467&lt;=100,"medium sales",Q467&gt;100,"High sales")</f>
        <v>low sales</v>
      </c>
    </row>
    <row r="468" spans="1:18" x14ac:dyDescent="0.35">
      <c r="A468" s="2" t="s">
        <v>3124</v>
      </c>
      <c r="B468" s="3">
        <v>44171</v>
      </c>
      <c r="C468" s="3" t="str">
        <f t="shared" si="28"/>
        <v>Sunday</v>
      </c>
      <c r="D468" s="3" t="str">
        <f t="shared" si="29"/>
        <v>December</v>
      </c>
      <c r="E468" s="3" t="str">
        <f t="shared" si="30"/>
        <v>2020</v>
      </c>
      <c r="F468" s="2" t="s">
        <v>3125</v>
      </c>
      <c r="G468" t="s">
        <v>6154</v>
      </c>
      <c r="H468" s="2">
        <v>3</v>
      </c>
      <c r="I468" s="2" t="str">
        <f>_xlfn.XLOOKUP(F468,customers!A:A,customers!B:B)</f>
        <v>Dagny Kornel</v>
      </c>
      <c r="J468" s="2" t="str">
        <f>_xlfn.XLOOKUP(F468,customers!A:A,customers!C:C)</f>
        <v>dkornelcy@cyberchimps.com</v>
      </c>
      <c r="K468" s="2" t="str">
        <f>_xlfn.XLOOKUP(F468,customers!A:A,customers!F:F)</f>
        <v>Saginaw</v>
      </c>
      <c r="L468" s="2" t="str">
        <f>_xlfn.XLOOKUP(F468,customers!A:A,customers!G:G)</f>
        <v>United States</v>
      </c>
      <c r="M468" t="str">
        <f>_xlfn.XLOOKUP(G468,products!A:A,products!B:B)</f>
        <v>Ara</v>
      </c>
      <c r="N468" t="str">
        <f>_xlfn.XLOOKUP(G468,products!A:A,products!C:C)</f>
        <v>D</v>
      </c>
      <c r="O468">
        <f>_xlfn.XLOOKUP(G468,products!A:A,products!D:D)</f>
        <v>0.2</v>
      </c>
      <c r="P468">
        <f>_xlfn.XLOOKUP(G468,products!A:A,products!E:E)</f>
        <v>2.9849999999999999</v>
      </c>
      <c r="Q468">
        <f t="shared" si="31"/>
        <v>8.9550000000000001</v>
      </c>
      <c r="R468" t="str" cm="1">
        <f t="array" ref="R468">_xlfn.IFS(Q468&lt;=50,"low sales",Q468&lt;=100,"medium sales",Q468&gt;100,"High sales")</f>
        <v>low sales</v>
      </c>
    </row>
    <row r="469" spans="1:18" x14ac:dyDescent="0.35">
      <c r="A469" s="2" t="s">
        <v>3130</v>
      </c>
      <c r="B469" s="3">
        <v>44536</v>
      </c>
      <c r="C469" s="3" t="str">
        <f t="shared" si="28"/>
        <v>Monday</v>
      </c>
      <c r="D469" s="3" t="str">
        <f t="shared" si="29"/>
        <v>December</v>
      </c>
      <c r="E469" s="3" t="str">
        <f t="shared" si="30"/>
        <v>2021</v>
      </c>
      <c r="F469" s="2" t="s">
        <v>3131</v>
      </c>
      <c r="G469" t="s">
        <v>6158</v>
      </c>
      <c r="H469" s="2">
        <v>1</v>
      </c>
      <c r="I469" s="2" t="str">
        <f>_xlfn.XLOOKUP(F469,customers!A:A,customers!B:B)</f>
        <v>Rhona Lequeux</v>
      </c>
      <c r="J469" s="2" t="str">
        <f>_xlfn.XLOOKUP(F469,customers!A:A,customers!C:C)</f>
        <v>rlequeuxcz@newyorker.com</v>
      </c>
      <c r="K469" s="2" t="str">
        <f>_xlfn.XLOOKUP(F469,customers!A:A,customers!F:F)</f>
        <v>Saint Augustine</v>
      </c>
      <c r="L469" s="2" t="str">
        <f>_xlfn.XLOOKUP(F469,customers!A:A,customers!G:G)</f>
        <v>United States</v>
      </c>
      <c r="M469" t="str">
        <f>_xlfn.XLOOKUP(G469,products!A:A,products!B:B)</f>
        <v>Ara</v>
      </c>
      <c r="N469" t="str">
        <f>_xlfn.XLOOKUP(G469,products!A:A,products!C:C)</f>
        <v>D</v>
      </c>
      <c r="O469">
        <f>_xlfn.XLOOKUP(G469,products!A:A,products!D:D)</f>
        <v>0.5</v>
      </c>
      <c r="P469">
        <f>_xlfn.XLOOKUP(G469,products!A:A,products!E:E)</f>
        <v>5.97</v>
      </c>
      <c r="Q469">
        <f t="shared" si="31"/>
        <v>5.97</v>
      </c>
      <c r="R469" t="str" cm="1">
        <f t="array" ref="R469">_xlfn.IFS(Q469&lt;=50,"low sales",Q469&lt;=100,"medium sales",Q469&gt;100,"High sales")</f>
        <v>low sales</v>
      </c>
    </row>
    <row r="470" spans="1:18" x14ac:dyDescent="0.35">
      <c r="A470" s="2" t="s">
        <v>3136</v>
      </c>
      <c r="B470" s="3">
        <v>44023</v>
      </c>
      <c r="C470" s="3" t="str">
        <f t="shared" si="28"/>
        <v>Saturday</v>
      </c>
      <c r="D470" s="3" t="str">
        <f t="shared" si="29"/>
        <v>July</v>
      </c>
      <c r="E470" s="3" t="str">
        <f t="shared" si="30"/>
        <v>2020</v>
      </c>
      <c r="F470" s="2" t="s">
        <v>3137</v>
      </c>
      <c r="G470" t="s">
        <v>6141</v>
      </c>
      <c r="H470" s="2">
        <v>3</v>
      </c>
      <c r="I470" s="2" t="str">
        <f>_xlfn.XLOOKUP(F470,customers!A:A,customers!B:B)</f>
        <v>Julius Mccaull</v>
      </c>
      <c r="J470" s="2" t="str">
        <f>_xlfn.XLOOKUP(F470,customers!A:A,customers!C:C)</f>
        <v>jmccaulld0@parallels.com</v>
      </c>
      <c r="K470" s="2" t="str">
        <f>_xlfn.XLOOKUP(F470,customers!A:A,customers!F:F)</f>
        <v>San Rafael</v>
      </c>
      <c r="L470" s="2" t="str">
        <f>_xlfn.XLOOKUP(F470,customers!A:A,customers!G:G)</f>
        <v>United States</v>
      </c>
      <c r="M470" t="str">
        <f>_xlfn.XLOOKUP(G470,products!A:A,products!B:B)</f>
        <v>Exc</v>
      </c>
      <c r="N470" t="str">
        <f>_xlfn.XLOOKUP(G470,products!A:A,products!C:C)</f>
        <v>M</v>
      </c>
      <c r="O470">
        <f>_xlfn.XLOOKUP(G470,products!A:A,products!D:D)</f>
        <v>1</v>
      </c>
      <c r="P470">
        <f>_xlfn.XLOOKUP(G470,products!A:A,products!E:E)</f>
        <v>13.75</v>
      </c>
      <c r="Q470">
        <f t="shared" si="31"/>
        <v>41.25</v>
      </c>
      <c r="R470" t="str" cm="1">
        <f t="array" ref="R470">_xlfn.IFS(Q470&lt;=50,"low sales",Q470&lt;=100,"medium sales",Q470&gt;100,"High sales")</f>
        <v>low sales</v>
      </c>
    </row>
    <row r="471" spans="1:18" x14ac:dyDescent="0.35">
      <c r="A471" s="2" t="s">
        <v>3141</v>
      </c>
      <c r="B471" s="3">
        <v>44375</v>
      </c>
      <c r="C471" s="3" t="str">
        <f t="shared" si="28"/>
        <v>Monday</v>
      </c>
      <c r="D471" s="3" t="str">
        <f t="shared" si="29"/>
        <v>June</v>
      </c>
      <c r="E471" s="3" t="str">
        <f t="shared" si="30"/>
        <v>2021</v>
      </c>
      <c r="F471" s="2" t="s">
        <v>3194</v>
      </c>
      <c r="G471" t="s">
        <v>6184</v>
      </c>
      <c r="H471" s="2">
        <v>5</v>
      </c>
      <c r="I471" s="2" t="str">
        <f>_xlfn.XLOOKUP(F471,customers!A:A,customers!B:B)</f>
        <v>Ailey Brash</v>
      </c>
      <c r="J471" s="2" t="str">
        <f>_xlfn.XLOOKUP(F471,customers!A:A,customers!C:C)</f>
        <v>abrashda@plala.or.jp</v>
      </c>
      <c r="K471" s="2" t="str">
        <f>_xlfn.XLOOKUP(F471,customers!A:A,customers!F:F)</f>
        <v>Flushing</v>
      </c>
      <c r="L471" s="2" t="str">
        <f>_xlfn.XLOOKUP(F471,customers!A:A,customers!G:G)</f>
        <v>United States</v>
      </c>
      <c r="M471" t="str">
        <f>_xlfn.XLOOKUP(G471,products!A:A,products!B:B)</f>
        <v>Exc</v>
      </c>
      <c r="N471" t="str">
        <f>_xlfn.XLOOKUP(G471,products!A:A,products!C:C)</f>
        <v>L</v>
      </c>
      <c r="O471">
        <f>_xlfn.XLOOKUP(G471,products!A:A,products!D:D)</f>
        <v>0.2</v>
      </c>
      <c r="P471">
        <f>_xlfn.XLOOKUP(G471,products!A:A,products!E:E)</f>
        <v>4.4550000000000001</v>
      </c>
      <c r="Q471">
        <f t="shared" si="31"/>
        <v>22.274999999999999</v>
      </c>
      <c r="R471" t="str" cm="1">
        <f t="array" ref="R471">_xlfn.IFS(Q471&lt;=50,"low sales",Q471&lt;=100,"medium sales",Q471&gt;100,"High sales")</f>
        <v>low sales</v>
      </c>
    </row>
    <row r="472" spans="1:18" x14ac:dyDescent="0.35">
      <c r="A472" s="2" t="s">
        <v>3147</v>
      </c>
      <c r="B472" s="3">
        <v>44656</v>
      </c>
      <c r="C472" s="3" t="str">
        <f t="shared" si="28"/>
        <v>Tuesday</v>
      </c>
      <c r="D472" s="3" t="str">
        <f t="shared" si="29"/>
        <v>April</v>
      </c>
      <c r="E472" s="3" t="str">
        <f t="shared" si="30"/>
        <v>2022</v>
      </c>
      <c r="F472" s="2" t="s">
        <v>3148</v>
      </c>
      <c r="G472" t="s">
        <v>6157</v>
      </c>
      <c r="H472" s="2">
        <v>1</v>
      </c>
      <c r="I472" s="2" t="str">
        <f>_xlfn.XLOOKUP(F472,customers!A:A,customers!B:B)</f>
        <v>Alberto Hutchinson</v>
      </c>
      <c r="J472" s="2" t="str">
        <f>_xlfn.XLOOKUP(F472,customers!A:A,customers!C:C)</f>
        <v>ahutchinsond2@imgur.com</v>
      </c>
      <c r="K472" s="2" t="str">
        <f>_xlfn.XLOOKUP(F472,customers!A:A,customers!F:F)</f>
        <v>Lawrenceville</v>
      </c>
      <c r="L472" s="2" t="str">
        <f>_xlfn.XLOOKUP(F472,customers!A:A,customers!G:G)</f>
        <v>United States</v>
      </c>
      <c r="M472" t="str">
        <f>_xlfn.XLOOKUP(G472,products!A:A,products!B:B)</f>
        <v>Ara</v>
      </c>
      <c r="N472" t="str">
        <f>_xlfn.XLOOKUP(G472,products!A:A,products!C:C)</f>
        <v>M</v>
      </c>
      <c r="O472">
        <f>_xlfn.XLOOKUP(G472,products!A:A,products!D:D)</f>
        <v>0.5</v>
      </c>
      <c r="P472">
        <f>_xlfn.XLOOKUP(G472,products!A:A,products!E:E)</f>
        <v>6.75</v>
      </c>
      <c r="Q472">
        <f t="shared" si="31"/>
        <v>6.75</v>
      </c>
      <c r="R472" t="str" cm="1">
        <f t="array" ref="R472">_xlfn.IFS(Q472&lt;=50,"low sales",Q472&lt;=100,"medium sales",Q472&gt;100,"High sales")</f>
        <v>low sales</v>
      </c>
    </row>
    <row r="473" spans="1:18" x14ac:dyDescent="0.35">
      <c r="A473" s="2" t="s">
        <v>3153</v>
      </c>
      <c r="B473" s="3">
        <v>44644</v>
      </c>
      <c r="C473" s="3" t="str">
        <f t="shared" si="28"/>
        <v>Thursday</v>
      </c>
      <c r="D473" s="3" t="str">
        <f t="shared" si="29"/>
        <v>March</v>
      </c>
      <c r="E473" s="3" t="str">
        <f t="shared" si="30"/>
        <v>2022</v>
      </c>
      <c r="F473" s="2" t="s">
        <v>3154</v>
      </c>
      <c r="G473" t="s">
        <v>6181</v>
      </c>
      <c r="H473" s="2">
        <v>4</v>
      </c>
      <c r="I473" s="2" t="str">
        <f>_xlfn.XLOOKUP(F473,customers!A:A,customers!B:B)</f>
        <v>Lamond Gheeraert</v>
      </c>
      <c r="J473" s="2">
        <f>_xlfn.XLOOKUP(F473,customers!A:A,customers!C:C)</f>
        <v>0</v>
      </c>
      <c r="K473" s="2" t="str">
        <f>_xlfn.XLOOKUP(F473,customers!A:A,customers!F:F)</f>
        <v>Topeka</v>
      </c>
      <c r="L473" s="2" t="str">
        <f>_xlfn.XLOOKUP(F473,customers!A:A,customers!G:G)</f>
        <v>United States</v>
      </c>
      <c r="M473" t="str">
        <f>_xlfn.XLOOKUP(G473,products!A:A,products!B:B)</f>
        <v>Lib</v>
      </c>
      <c r="N473" t="str">
        <f>_xlfn.XLOOKUP(G473,products!A:A,products!C:C)</f>
        <v>M</v>
      </c>
      <c r="O473">
        <f>_xlfn.XLOOKUP(G473,products!A:A,products!D:D)</f>
        <v>2.5</v>
      </c>
      <c r="P473">
        <f>_xlfn.XLOOKUP(G473,products!A:A,products!E:E)</f>
        <v>33.464999999999996</v>
      </c>
      <c r="Q473">
        <f t="shared" si="31"/>
        <v>133.85999999999999</v>
      </c>
      <c r="R473" t="str" cm="1">
        <f t="array" ref="R473">_xlfn.IFS(Q473&lt;=50,"low sales",Q473&lt;=100,"medium sales",Q473&gt;100,"High sales")</f>
        <v>High sales</v>
      </c>
    </row>
    <row r="474" spans="1:18" x14ac:dyDescent="0.35">
      <c r="A474" s="2" t="s">
        <v>3158</v>
      </c>
      <c r="B474" s="3">
        <v>43869</v>
      </c>
      <c r="C474" s="3" t="str">
        <f t="shared" si="28"/>
        <v>Saturday</v>
      </c>
      <c r="D474" s="3" t="str">
        <f t="shared" si="29"/>
        <v>February</v>
      </c>
      <c r="E474" s="3" t="str">
        <f t="shared" si="30"/>
        <v>2020</v>
      </c>
      <c r="F474" s="2" t="s">
        <v>3159</v>
      </c>
      <c r="G474" t="s">
        <v>6154</v>
      </c>
      <c r="H474" s="2">
        <v>2</v>
      </c>
      <c r="I474" s="2" t="str">
        <f>_xlfn.XLOOKUP(F474,customers!A:A,customers!B:B)</f>
        <v>Roxine Drivers</v>
      </c>
      <c r="J474" s="2" t="str">
        <f>_xlfn.XLOOKUP(F474,customers!A:A,customers!C:C)</f>
        <v>rdriversd4@hexun.com</v>
      </c>
      <c r="K474" s="2" t="str">
        <f>_xlfn.XLOOKUP(F474,customers!A:A,customers!F:F)</f>
        <v>Shawnee Mission</v>
      </c>
      <c r="L474" s="2" t="str">
        <f>_xlfn.XLOOKUP(F474,customers!A:A,customers!G:G)</f>
        <v>United States</v>
      </c>
      <c r="M474" t="str">
        <f>_xlfn.XLOOKUP(G474,products!A:A,products!B:B)</f>
        <v>Ara</v>
      </c>
      <c r="N474" t="str">
        <f>_xlfn.XLOOKUP(G474,products!A:A,products!C:C)</f>
        <v>D</v>
      </c>
      <c r="O474">
        <f>_xlfn.XLOOKUP(G474,products!A:A,products!D:D)</f>
        <v>0.2</v>
      </c>
      <c r="P474">
        <f>_xlfn.XLOOKUP(G474,products!A:A,products!E:E)</f>
        <v>2.9849999999999999</v>
      </c>
      <c r="Q474">
        <f t="shared" si="31"/>
        <v>5.97</v>
      </c>
      <c r="R474" t="str" cm="1">
        <f t="array" ref="R474">_xlfn.IFS(Q474&lt;=50,"low sales",Q474&lt;=100,"medium sales",Q474&gt;100,"High sales")</f>
        <v>low sales</v>
      </c>
    </row>
    <row r="475" spans="1:18" x14ac:dyDescent="0.35">
      <c r="A475" s="2" t="s">
        <v>3164</v>
      </c>
      <c r="B475" s="3">
        <v>44603</v>
      </c>
      <c r="C475" s="3" t="str">
        <f t="shared" si="28"/>
        <v>Friday</v>
      </c>
      <c r="D475" s="3" t="str">
        <f t="shared" si="29"/>
        <v>February</v>
      </c>
      <c r="E475" s="3" t="str">
        <f t="shared" si="30"/>
        <v>2022</v>
      </c>
      <c r="F475" s="2" t="s">
        <v>3165</v>
      </c>
      <c r="G475" t="s">
        <v>6140</v>
      </c>
      <c r="H475" s="2">
        <v>2</v>
      </c>
      <c r="I475" s="2" t="str">
        <f>_xlfn.XLOOKUP(F475,customers!A:A,customers!B:B)</f>
        <v>Heloise Zeal</v>
      </c>
      <c r="J475" s="2" t="str">
        <f>_xlfn.XLOOKUP(F475,customers!A:A,customers!C:C)</f>
        <v>hzeald5@google.de</v>
      </c>
      <c r="K475" s="2" t="str">
        <f>_xlfn.XLOOKUP(F475,customers!A:A,customers!F:F)</f>
        <v>Seattle</v>
      </c>
      <c r="L475" s="2" t="str">
        <f>_xlfn.XLOOKUP(F475,customers!A:A,customers!G:G)</f>
        <v>United States</v>
      </c>
      <c r="M475" t="str">
        <f>_xlfn.XLOOKUP(G475,products!A:A,products!B:B)</f>
        <v>Ara</v>
      </c>
      <c r="N475" t="str">
        <f>_xlfn.XLOOKUP(G475,products!A:A,products!C:C)</f>
        <v>L</v>
      </c>
      <c r="O475">
        <f>_xlfn.XLOOKUP(G475,products!A:A,products!D:D)</f>
        <v>1</v>
      </c>
      <c r="P475">
        <f>_xlfn.XLOOKUP(G475,products!A:A,products!E:E)</f>
        <v>12.95</v>
      </c>
      <c r="Q475">
        <f t="shared" si="31"/>
        <v>25.9</v>
      </c>
      <c r="R475" t="str" cm="1">
        <f t="array" ref="R475">_xlfn.IFS(Q475&lt;=50,"low sales",Q475&lt;=100,"medium sales",Q475&gt;100,"High sales")</f>
        <v>low sales</v>
      </c>
    </row>
    <row r="476" spans="1:18" x14ac:dyDescent="0.35">
      <c r="A476" s="2" t="s">
        <v>3170</v>
      </c>
      <c r="B476" s="3">
        <v>44014</v>
      </c>
      <c r="C476" s="3" t="str">
        <f t="shared" si="28"/>
        <v>Thursday</v>
      </c>
      <c r="D476" s="3" t="str">
        <f t="shared" si="29"/>
        <v>July</v>
      </c>
      <c r="E476" s="3" t="str">
        <f t="shared" si="30"/>
        <v>2020</v>
      </c>
      <c r="F476" s="2" t="s">
        <v>3171</v>
      </c>
      <c r="G476" t="s">
        <v>6166</v>
      </c>
      <c r="H476" s="2">
        <v>1</v>
      </c>
      <c r="I476" s="2" t="str">
        <f>_xlfn.XLOOKUP(F476,customers!A:A,customers!B:B)</f>
        <v>Granger Smallcombe</v>
      </c>
      <c r="J476" s="2" t="str">
        <f>_xlfn.XLOOKUP(F476,customers!A:A,customers!C:C)</f>
        <v>gsmallcombed6@ucla.edu</v>
      </c>
      <c r="K476" s="2" t="str">
        <f>_xlfn.XLOOKUP(F476,customers!A:A,customers!F:F)</f>
        <v>Kilkenny</v>
      </c>
      <c r="L476" s="2" t="str">
        <f>_xlfn.XLOOKUP(F476,customers!A:A,customers!G:G)</f>
        <v>Ireland</v>
      </c>
      <c r="M476" t="str">
        <f>_xlfn.XLOOKUP(G476,products!A:A,products!B:B)</f>
        <v>Exc</v>
      </c>
      <c r="N476" t="str">
        <f>_xlfn.XLOOKUP(G476,products!A:A,products!C:C)</f>
        <v>M</v>
      </c>
      <c r="O476">
        <f>_xlfn.XLOOKUP(G476,products!A:A,products!D:D)</f>
        <v>2.5</v>
      </c>
      <c r="P476">
        <f>_xlfn.XLOOKUP(G476,products!A:A,products!E:E)</f>
        <v>31.624999999999996</v>
      </c>
      <c r="Q476">
        <f t="shared" si="31"/>
        <v>31.624999999999996</v>
      </c>
      <c r="R476" t="str" cm="1">
        <f t="array" ref="R476">_xlfn.IFS(Q476&lt;=50,"low sales",Q476&lt;=100,"medium sales",Q476&gt;100,"High sales")</f>
        <v>low sales</v>
      </c>
    </row>
    <row r="477" spans="1:18" x14ac:dyDescent="0.35">
      <c r="A477" s="2" t="s">
        <v>3176</v>
      </c>
      <c r="B477" s="3">
        <v>44767</v>
      </c>
      <c r="C477" s="3" t="str">
        <f t="shared" si="28"/>
        <v>Monday</v>
      </c>
      <c r="D477" s="3" t="str">
        <f t="shared" si="29"/>
        <v>July</v>
      </c>
      <c r="E477" s="3" t="str">
        <f t="shared" si="30"/>
        <v>2022</v>
      </c>
      <c r="F477" s="2" t="s">
        <v>3177</v>
      </c>
      <c r="G477" t="s">
        <v>6159</v>
      </c>
      <c r="H477" s="2">
        <v>2</v>
      </c>
      <c r="I477" s="2" t="str">
        <f>_xlfn.XLOOKUP(F477,customers!A:A,customers!B:B)</f>
        <v>Daryn Dibley</v>
      </c>
      <c r="J477" s="2" t="str">
        <f>_xlfn.XLOOKUP(F477,customers!A:A,customers!C:C)</f>
        <v>ddibleyd7@feedburner.com</v>
      </c>
      <c r="K477" s="2" t="str">
        <f>_xlfn.XLOOKUP(F477,customers!A:A,customers!F:F)</f>
        <v>Kissimmee</v>
      </c>
      <c r="L477" s="2" t="str">
        <f>_xlfn.XLOOKUP(F477,customers!A:A,customers!G:G)</f>
        <v>United States</v>
      </c>
      <c r="M477" t="str">
        <f>_xlfn.XLOOKUP(G477,products!A:A,products!B:B)</f>
        <v>Lib</v>
      </c>
      <c r="N477" t="str">
        <f>_xlfn.XLOOKUP(G477,products!A:A,products!C:C)</f>
        <v>M</v>
      </c>
      <c r="O477">
        <f>_xlfn.XLOOKUP(G477,products!A:A,products!D:D)</f>
        <v>0.2</v>
      </c>
      <c r="P477">
        <f>_xlfn.XLOOKUP(G477,products!A:A,products!E:E)</f>
        <v>4.3650000000000002</v>
      </c>
      <c r="Q477">
        <f t="shared" si="31"/>
        <v>8.73</v>
      </c>
      <c r="R477" t="str" cm="1">
        <f t="array" ref="R477">_xlfn.IFS(Q477&lt;=50,"low sales",Q477&lt;=100,"medium sales",Q477&gt;100,"High sales")</f>
        <v>low sales</v>
      </c>
    </row>
    <row r="478" spans="1:18" x14ac:dyDescent="0.35">
      <c r="A478" s="2" t="s">
        <v>3181</v>
      </c>
      <c r="B478" s="3">
        <v>44274</v>
      </c>
      <c r="C478" s="3" t="str">
        <f t="shared" si="28"/>
        <v>Friday</v>
      </c>
      <c r="D478" s="3" t="str">
        <f t="shared" si="29"/>
        <v>March</v>
      </c>
      <c r="E478" s="3" t="str">
        <f t="shared" si="30"/>
        <v>2021</v>
      </c>
      <c r="F478" s="2" t="s">
        <v>3182</v>
      </c>
      <c r="G478" t="s">
        <v>6184</v>
      </c>
      <c r="H478" s="2">
        <v>6</v>
      </c>
      <c r="I478" s="2" t="str">
        <f>_xlfn.XLOOKUP(F478,customers!A:A,customers!B:B)</f>
        <v>Gardy Dimitriou</v>
      </c>
      <c r="J478" s="2" t="str">
        <f>_xlfn.XLOOKUP(F478,customers!A:A,customers!C:C)</f>
        <v>gdimitrioud8@chronoengine.com</v>
      </c>
      <c r="K478" s="2" t="str">
        <f>_xlfn.XLOOKUP(F478,customers!A:A,customers!F:F)</f>
        <v>Rochester</v>
      </c>
      <c r="L478" s="2" t="str">
        <f>_xlfn.XLOOKUP(F478,customers!A:A,customers!G:G)</f>
        <v>United States</v>
      </c>
      <c r="M478" t="str">
        <f>_xlfn.XLOOKUP(G478,products!A:A,products!B:B)</f>
        <v>Exc</v>
      </c>
      <c r="N478" t="str">
        <f>_xlfn.XLOOKUP(G478,products!A:A,products!C:C)</f>
        <v>L</v>
      </c>
      <c r="O478">
        <f>_xlfn.XLOOKUP(G478,products!A:A,products!D:D)</f>
        <v>0.2</v>
      </c>
      <c r="P478">
        <f>_xlfn.XLOOKUP(G478,products!A:A,products!E:E)</f>
        <v>4.4550000000000001</v>
      </c>
      <c r="Q478">
        <f t="shared" si="31"/>
        <v>26.73</v>
      </c>
      <c r="R478" t="str" cm="1">
        <f t="array" ref="R478">_xlfn.IFS(Q478&lt;=50,"low sales",Q478&lt;=100,"medium sales",Q478&gt;100,"High sales")</f>
        <v>low sales</v>
      </c>
    </row>
    <row r="479" spans="1:18" x14ac:dyDescent="0.35">
      <c r="A479" s="2" t="s">
        <v>3187</v>
      </c>
      <c r="B479" s="3">
        <v>43962</v>
      </c>
      <c r="C479" s="3" t="str">
        <f t="shared" si="28"/>
        <v>Monday</v>
      </c>
      <c r="D479" s="3" t="str">
        <f t="shared" si="29"/>
        <v>May</v>
      </c>
      <c r="E479" s="3" t="str">
        <f t="shared" si="30"/>
        <v>2020</v>
      </c>
      <c r="F479" s="2" t="s">
        <v>3188</v>
      </c>
      <c r="G479" t="s">
        <v>6159</v>
      </c>
      <c r="H479" s="2">
        <v>6</v>
      </c>
      <c r="I479" s="2" t="str">
        <f>_xlfn.XLOOKUP(F479,customers!A:A,customers!B:B)</f>
        <v>Fanny Flanagan</v>
      </c>
      <c r="J479" s="2" t="str">
        <f>_xlfn.XLOOKUP(F479,customers!A:A,customers!C:C)</f>
        <v>fflanagand9@woothemes.com</v>
      </c>
      <c r="K479" s="2" t="str">
        <f>_xlfn.XLOOKUP(F479,customers!A:A,customers!F:F)</f>
        <v>Tyler</v>
      </c>
      <c r="L479" s="2" t="str">
        <f>_xlfn.XLOOKUP(F479,customers!A:A,customers!G:G)</f>
        <v>United States</v>
      </c>
      <c r="M479" t="str">
        <f>_xlfn.XLOOKUP(G479,products!A:A,products!B:B)</f>
        <v>Lib</v>
      </c>
      <c r="N479" t="str">
        <f>_xlfn.XLOOKUP(G479,products!A:A,products!C:C)</f>
        <v>M</v>
      </c>
      <c r="O479">
        <f>_xlfn.XLOOKUP(G479,products!A:A,products!D:D)</f>
        <v>0.2</v>
      </c>
      <c r="P479">
        <f>_xlfn.XLOOKUP(G479,products!A:A,products!E:E)</f>
        <v>4.3650000000000002</v>
      </c>
      <c r="Q479">
        <f t="shared" si="31"/>
        <v>26.19</v>
      </c>
      <c r="R479" t="str" cm="1">
        <f t="array" ref="R479">_xlfn.IFS(Q479&lt;=50,"low sales",Q479&lt;=100,"medium sales",Q479&gt;100,"High sales")</f>
        <v>low sales</v>
      </c>
    </row>
    <row r="480" spans="1:18" x14ac:dyDescent="0.35">
      <c r="A480" s="2" t="s">
        <v>3193</v>
      </c>
      <c r="B480" s="3">
        <v>43624</v>
      </c>
      <c r="C480" s="3" t="str">
        <f t="shared" si="28"/>
        <v>Saturday</v>
      </c>
      <c r="D480" s="3" t="str">
        <f t="shared" si="29"/>
        <v>June</v>
      </c>
      <c r="E480" s="3" t="str">
        <f t="shared" si="30"/>
        <v>2019</v>
      </c>
      <c r="F480" s="2" t="s">
        <v>3194</v>
      </c>
      <c r="G480" t="s">
        <v>6177</v>
      </c>
      <c r="H480" s="2">
        <v>6</v>
      </c>
      <c r="I480" s="2" t="str">
        <f>_xlfn.XLOOKUP(F480,customers!A:A,customers!B:B)</f>
        <v>Ailey Brash</v>
      </c>
      <c r="J480" s="2" t="str">
        <f>_xlfn.XLOOKUP(F480,customers!A:A,customers!C:C)</f>
        <v>abrashda@plala.or.jp</v>
      </c>
      <c r="K480" s="2" t="str">
        <f>_xlfn.XLOOKUP(F480,customers!A:A,customers!F:F)</f>
        <v>Flushing</v>
      </c>
      <c r="L480" s="2" t="str">
        <f>_xlfn.XLOOKUP(F480,customers!A:A,customers!G:G)</f>
        <v>United States</v>
      </c>
      <c r="M480" t="str">
        <f>_xlfn.XLOOKUP(G480,products!A:A,products!B:B)</f>
        <v>Rob</v>
      </c>
      <c r="N480" t="str">
        <f>_xlfn.XLOOKUP(G480,products!A:A,products!C:C)</f>
        <v>D</v>
      </c>
      <c r="O480">
        <f>_xlfn.XLOOKUP(G480,products!A:A,products!D:D)</f>
        <v>1</v>
      </c>
      <c r="P480">
        <f>_xlfn.XLOOKUP(G480,products!A:A,products!E:E)</f>
        <v>8.9499999999999993</v>
      </c>
      <c r="Q480">
        <f t="shared" si="31"/>
        <v>53.699999999999996</v>
      </c>
      <c r="R480" t="str" cm="1">
        <f t="array" ref="R480">_xlfn.IFS(Q480&lt;=50,"low sales",Q480&lt;=100,"medium sales",Q480&gt;100,"High sales")</f>
        <v>medium sales</v>
      </c>
    </row>
    <row r="481" spans="1:18" x14ac:dyDescent="0.35">
      <c r="A481" s="2" t="s">
        <v>3193</v>
      </c>
      <c r="B481" s="3">
        <v>43624</v>
      </c>
      <c r="C481" s="3" t="str">
        <f t="shared" si="28"/>
        <v>Saturday</v>
      </c>
      <c r="D481" s="3" t="str">
        <f t="shared" si="29"/>
        <v>June</v>
      </c>
      <c r="E481" s="3" t="str">
        <f t="shared" si="30"/>
        <v>2019</v>
      </c>
      <c r="F481" s="2" t="s">
        <v>3194</v>
      </c>
      <c r="G481" t="s">
        <v>6166</v>
      </c>
      <c r="H481" s="2">
        <v>4</v>
      </c>
      <c r="I481" s="2" t="str">
        <f>_xlfn.XLOOKUP(F481,customers!A:A,customers!B:B)</f>
        <v>Ailey Brash</v>
      </c>
      <c r="J481" s="2" t="str">
        <f>_xlfn.XLOOKUP(F481,customers!A:A,customers!C:C)</f>
        <v>abrashda@plala.or.jp</v>
      </c>
      <c r="K481" s="2" t="str">
        <f>_xlfn.XLOOKUP(F481,customers!A:A,customers!F:F)</f>
        <v>Flushing</v>
      </c>
      <c r="L481" s="2" t="str">
        <f>_xlfn.XLOOKUP(F481,customers!A:A,customers!G:G)</f>
        <v>United States</v>
      </c>
      <c r="M481" t="str">
        <f>_xlfn.XLOOKUP(G481,products!A:A,products!B:B)</f>
        <v>Exc</v>
      </c>
      <c r="N481" t="str">
        <f>_xlfn.XLOOKUP(G481,products!A:A,products!C:C)</f>
        <v>M</v>
      </c>
      <c r="O481">
        <f>_xlfn.XLOOKUP(G481,products!A:A,products!D:D)</f>
        <v>2.5</v>
      </c>
      <c r="P481">
        <f>_xlfn.XLOOKUP(G481,products!A:A,products!E:E)</f>
        <v>31.624999999999996</v>
      </c>
      <c r="Q481">
        <f t="shared" si="31"/>
        <v>126.49999999999999</v>
      </c>
      <c r="R481" t="str" cm="1">
        <f t="array" ref="R481">_xlfn.IFS(Q481&lt;=50,"low sales",Q481&lt;=100,"medium sales",Q481&gt;100,"High sales")</f>
        <v>High sales</v>
      </c>
    </row>
    <row r="482" spans="1:18" x14ac:dyDescent="0.35">
      <c r="A482" s="2" t="s">
        <v>3193</v>
      </c>
      <c r="B482" s="3">
        <v>43624</v>
      </c>
      <c r="C482" s="3" t="str">
        <f t="shared" si="28"/>
        <v>Saturday</v>
      </c>
      <c r="D482" s="3" t="str">
        <f t="shared" si="29"/>
        <v>June</v>
      </c>
      <c r="E482" s="3" t="str">
        <f t="shared" si="30"/>
        <v>2019</v>
      </c>
      <c r="F482" s="2" t="s">
        <v>3194</v>
      </c>
      <c r="G482" t="s">
        <v>6156</v>
      </c>
      <c r="H482" s="2">
        <v>1</v>
      </c>
      <c r="I482" s="2" t="str">
        <f>_xlfn.XLOOKUP(F482,customers!A:A,customers!B:B)</f>
        <v>Ailey Brash</v>
      </c>
      <c r="J482" s="2" t="str">
        <f>_xlfn.XLOOKUP(F482,customers!A:A,customers!C:C)</f>
        <v>abrashda@plala.or.jp</v>
      </c>
      <c r="K482" s="2" t="str">
        <f>_xlfn.XLOOKUP(F482,customers!A:A,customers!F:F)</f>
        <v>Flushing</v>
      </c>
      <c r="L482" s="2" t="str">
        <f>_xlfn.XLOOKUP(F482,customers!A:A,customers!G:G)</f>
        <v>United States</v>
      </c>
      <c r="M482" t="str">
        <f>_xlfn.XLOOKUP(G482,products!A:A,products!B:B)</f>
        <v>Exc</v>
      </c>
      <c r="N482" t="str">
        <f>_xlfn.XLOOKUP(G482,products!A:A,products!C:C)</f>
        <v>M</v>
      </c>
      <c r="O482">
        <f>_xlfn.XLOOKUP(G482,products!A:A,products!D:D)</f>
        <v>0.2</v>
      </c>
      <c r="P482">
        <f>_xlfn.XLOOKUP(G482,products!A:A,products!E:E)</f>
        <v>4.125</v>
      </c>
      <c r="Q482">
        <f t="shared" si="31"/>
        <v>4.125</v>
      </c>
      <c r="R482" t="str" cm="1">
        <f t="array" ref="R482">_xlfn.IFS(Q482&lt;=50,"low sales",Q482&lt;=100,"medium sales",Q482&gt;100,"High sales")</f>
        <v>low sales</v>
      </c>
    </row>
    <row r="483" spans="1:18" x14ac:dyDescent="0.35">
      <c r="A483" s="2" t="s">
        <v>3208</v>
      </c>
      <c r="B483" s="3">
        <v>43747</v>
      </c>
      <c r="C483" s="3" t="str">
        <f t="shared" si="28"/>
        <v>Wednesday</v>
      </c>
      <c r="D483" s="3" t="str">
        <f t="shared" si="29"/>
        <v>October</v>
      </c>
      <c r="E483" s="3" t="str">
        <f t="shared" si="30"/>
        <v>2019</v>
      </c>
      <c r="F483" s="2" t="s">
        <v>3209</v>
      </c>
      <c r="G483" t="s">
        <v>6179</v>
      </c>
      <c r="H483" s="2">
        <v>2</v>
      </c>
      <c r="I483" s="2" t="str">
        <f>_xlfn.XLOOKUP(F483,customers!A:A,customers!B:B)</f>
        <v>Nanny Izhakov</v>
      </c>
      <c r="J483" s="2" t="str">
        <f>_xlfn.XLOOKUP(F483,customers!A:A,customers!C:C)</f>
        <v>nizhakovdd@aol.com</v>
      </c>
      <c r="K483" s="2" t="str">
        <f>_xlfn.XLOOKUP(F483,customers!A:A,customers!F:F)</f>
        <v>Seaton</v>
      </c>
      <c r="L483" s="2" t="str">
        <f>_xlfn.XLOOKUP(F483,customers!A:A,customers!G:G)</f>
        <v>United Kingdom</v>
      </c>
      <c r="M483" t="str">
        <f>_xlfn.XLOOKUP(G483,products!A:A,products!B:B)</f>
        <v>Rob</v>
      </c>
      <c r="N483" t="str">
        <f>_xlfn.XLOOKUP(G483,products!A:A,products!C:C)</f>
        <v>L</v>
      </c>
      <c r="O483">
        <f>_xlfn.XLOOKUP(G483,products!A:A,products!D:D)</f>
        <v>1</v>
      </c>
      <c r="P483">
        <f>_xlfn.XLOOKUP(G483,products!A:A,products!E:E)</f>
        <v>11.95</v>
      </c>
      <c r="Q483">
        <f t="shared" si="31"/>
        <v>23.9</v>
      </c>
      <c r="R483" t="str" cm="1">
        <f t="array" ref="R483">_xlfn.IFS(Q483&lt;=50,"low sales",Q483&lt;=100,"medium sales",Q483&gt;100,"High sales")</f>
        <v>low sales</v>
      </c>
    </row>
    <row r="484" spans="1:18" x14ac:dyDescent="0.35">
      <c r="A484" s="2" t="s">
        <v>3214</v>
      </c>
      <c r="B484" s="3">
        <v>44247</v>
      </c>
      <c r="C484" s="3" t="str">
        <f t="shared" si="28"/>
        <v>Saturday</v>
      </c>
      <c r="D484" s="3" t="str">
        <f t="shared" si="29"/>
        <v>February</v>
      </c>
      <c r="E484" s="3" t="str">
        <f t="shared" si="30"/>
        <v>2021</v>
      </c>
      <c r="F484" s="2" t="s">
        <v>3215</v>
      </c>
      <c r="G484" t="s">
        <v>6185</v>
      </c>
      <c r="H484" s="2">
        <v>5</v>
      </c>
      <c r="I484" s="2" t="str">
        <f>_xlfn.XLOOKUP(F484,customers!A:A,customers!B:B)</f>
        <v>Stanly Keets</v>
      </c>
      <c r="J484" s="2" t="str">
        <f>_xlfn.XLOOKUP(F484,customers!A:A,customers!C:C)</f>
        <v>skeetsde@answers.com</v>
      </c>
      <c r="K484" s="2" t="str">
        <f>_xlfn.XLOOKUP(F484,customers!A:A,customers!F:F)</f>
        <v>Alexandria</v>
      </c>
      <c r="L484" s="2" t="str">
        <f>_xlfn.XLOOKUP(F484,customers!A:A,customers!G:G)</f>
        <v>United States</v>
      </c>
      <c r="M484" t="str">
        <f>_xlfn.XLOOKUP(G484,products!A:A,products!B:B)</f>
        <v>Exc</v>
      </c>
      <c r="N484" t="str">
        <f>_xlfn.XLOOKUP(G484,products!A:A,products!C:C)</f>
        <v>D</v>
      </c>
      <c r="O484">
        <f>_xlfn.XLOOKUP(G484,products!A:A,products!D:D)</f>
        <v>2.5</v>
      </c>
      <c r="P484">
        <f>_xlfn.XLOOKUP(G484,products!A:A,products!E:E)</f>
        <v>27.945</v>
      </c>
      <c r="Q484">
        <f t="shared" si="31"/>
        <v>139.72499999999999</v>
      </c>
      <c r="R484" t="str" cm="1">
        <f t="array" ref="R484">_xlfn.IFS(Q484&lt;=50,"low sales",Q484&lt;=100,"medium sales",Q484&gt;100,"High sales")</f>
        <v>High sales</v>
      </c>
    </row>
    <row r="485" spans="1:18" x14ac:dyDescent="0.35">
      <c r="A485" s="2" t="s">
        <v>3220</v>
      </c>
      <c r="B485" s="3">
        <v>43790</v>
      </c>
      <c r="C485" s="3" t="str">
        <f t="shared" si="28"/>
        <v>Thursday</v>
      </c>
      <c r="D485" s="3" t="str">
        <f t="shared" si="29"/>
        <v>November</v>
      </c>
      <c r="E485" s="3" t="str">
        <f t="shared" si="30"/>
        <v>2019</v>
      </c>
      <c r="F485" s="2" t="s">
        <v>3221</v>
      </c>
      <c r="G485" t="s">
        <v>6165</v>
      </c>
      <c r="H485" s="2">
        <v>2</v>
      </c>
      <c r="I485" s="2" t="str">
        <f>_xlfn.XLOOKUP(F485,customers!A:A,customers!B:B)</f>
        <v>Orion Dyott</v>
      </c>
      <c r="J485" s="2">
        <f>_xlfn.XLOOKUP(F485,customers!A:A,customers!C:C)</f>
        <v>0</v>
      </c>
      <c r="K485" s="2" t="str">
        <f>_xlfn.XLOOKUP(F485,customers!A:A,customers!F:F)</f>
        <v>Salt Lake City</v>
      </c>
      <c r="L485" s="2" t="str">
        <f>_xlfn.XLOOKUP(F485,customers!A:A,customers!G:G)</f>
        <v>United States</v>
      </c>
      <c r="M485" t="str">
        <f>_xlfn.XLOOKUP(G485,products!A:A,products!B:B)</f>
        <v>Lib</v>
      </c>
      <c r="N485" t="str">
        <f>_xlfn.XLOOKUP(G485,products!A:A,products!C:C)</f>
        <v>D</v>
      </c>
      <c r="O485">
        <f>_xlfn.XLOOKUP(G485,products!A:A,products!D:D)</f>
        <v>2.5</v>
      </c>
      <c r="P485">
        <f>_xlfn.XLOOKUP(G485,products!A:A,products!E:E)</f>
        <v>29.784999999999997</v>
      </c>
      <c r="Q485">
        <f t="shared" si="31"/>
        <v>59.569999999999993</v>
      </c>
      <c r="R485" t="str" cm="1">
        <f t="array" ref="R485">_xlfn.IFS(Q485&lt;=50,"low sales",Q485&lt;=100,"medium sales",Q485&gt;100,"High sales")</f>
        <v>medium sales</v>
      </c>
    </row>
    <row r="486" spans="1:18" x14ac:dyDescent="0.35">
      <c r="A486" s="2" t="s">
        <v>3225</v>
      </c>
      <c r="B486" s="3">
        <v>44479</v>
      </c>
      <c r="C486" s="3" t="str">
        <f t="shared" si="28"/>
        <v>Sunday</v>
      </c>
      <c r="D486" s="3" t="str">
        <f t="shared" si="29"/>
        <v>October</v>
      </c>
      <c r="E486" s="3" t="str">
        <f t="shared" si="30"/>
        <v>2021</v>
      </c>
      <c r="F486" s="2" t="s">
        <v>3226</v>
      </c>
      <c r="G486" t="s">
        <v>6161</v>
      </c>
      <c r="H486" s="2">
        <v>6</v>
      </c>
      <c r="I486" s="2" t="str">
        <f>_xlfn.XLOOKUP(F486,customers!A:A,customers!B:B)</f>
        <v>Keefer Cake</v>
      </c>
      <c r="J486" s="2" t="str">
        <f>_xlfn.XLOOKUP(F486,customers!A:A,customers!C:C)</f>
        <v>kcakedg@huffingtonpost.com</v>
      </c>
      <c r="K486" s="2" t="str">
        <f>_xlfn.XLOOKUP(F486,customers!A:A,customers!F:F)</f>
        <v>San Jose</v>
      </c>
      <c r="L486" s="2" t="str">
        <f>_xlfn.XLOOKUP(F486,customers!A:A,customers!G:G)</f>
        <v>United States</v>
      </c>
      <c r="M486" t="str">
        <f>_xlfn.XLOOKUP(G486,products!A:A,products!B:B)</f>
        <v>Lib</v>
      </c>
      <c r="N486" t="str">
        <f>_xlfn.XLOOKUP(G486,products!A:A,products!C:C)</f>
        <v>L</v>
      </c>
      <c r="O486">
        <f>_xlfn.XLOOKUP(G486,products!A:A,products!D:D)</f>
        <v>0.5</v>
      </c>
      <c r="P486">
        <f>_xlfn.XLOOKUP(G486,products!A:A,products!E:E)</f>
        <v>9.51</v>
      </c>
      <c r="Q486">
        <f t="shared" si="31"/>
        <v>57.06</v>
      </c>
      <c r="R486" t="str" cm="1">
        <f t="array" ref="R486">_xlfn.IFS(Q486&lt;=50,"low sales",Q486&lt;=100,"medium sales",Q486&gt;100,"High sales")</f>
        <v>medium sales</v>
      </c>
    </row>
    <row r="487" spans="1:18" x14ac:dyDescent="0.35">
      <c r="A487" s="2" t="s">
        <v>3230</v>
      </c>
      <c r="B487" s="3">
        <v>44413</v>
      </c>
      <c r="C487" s="3" t="str">
        <f t="shared" si="28"/>
        <v>Thursday</v>
      </c>
      <c r="D487" s="3" t="str">
        <f t="shared" si="29"/>
        <v>August</v>
      </c>
      <c r="E487" s="3" t="str">
        <f t="shared" si="30"/>
        <v>2021</v>
      </c>
      <c r="F487" s="2" t="s">
        <v>3231</v>
      </c>
      <c r="G487" t="s">
        <v>6178</v>
      </c>
      <c r="H487" s="2">
        <v>6</v>
      </c>
      <c r="I487" s="2" t="str">
        <f>_xlfn.XLOOKUP(F487,customers!A:A,customers!B:B)</f>
        <v>Morna Hansed</v>
      </c>
      <c r="J487" s="2" t="str">
        <f>_xlfn.XLOOKUP(F487,customers!A:A,customers!C:C)</f>
        <v>mhanseddh@instagram.com</v>
      </c>
      <c r="K487" s="2" t="str">
        <f>_xlfn.XLOOKUP(F487,customers!A:A,customers!F:F)</f>
        <v>Tr谩 Mh贸r</v>
      </c>
      <c r="L487" s="2" t="str">
        <f>_xlfn.XLOOKUP(F487,customers!A:A,customers!G:G)</f>
        <v>Ireland</v>
      </c>
      <c r="M487" t="str">
        <f>_xlfn.XLOOKUP(G487,products!A:A,products!B:B)</f>
        <v>Rob</v>
      </c>
      <c r="N487" t="str">
        <f>_xlfn.XLOOKUP(G487,products!A:A,products!C:C)</f>
        <v>L</v>
      </c>
      <c r="O487">
        <f>_xlfn.XLOOKUP(G487,products!A:A,products!D:D)</f>
        <v>0.2</v>
      </c>
      <c r="P487">
        <f>_xlfn.XLOOKUP(G487,products!A:A,products!E:E)</f>
        <v>3.5849999999999995</v>
      </c>
      <c r="Q487">
        <f t="shared" si="31"/>
        <v>21.509999999999998</v>
      </c>
      <c r="R487" t="str" cm="1">
        <f t="array" ref="R487">_xlfn.IFS(Q487&lt;=50,"low sales",Q487&lt;=100,"medium sales",Q487&gt;100,"High sales")</f>
        <v>low sales</v>
      </c>
    </row>
    <row r="488" spans="1:18" x14ac:dyDescent="0.35">
      <c r="A488" s="2" t="s">
        <v>3236</v>
      </c>
      <c r="B488" s="3">
        <v>44043</v>
      </c>
      <c r="C488" s="3" t="str">
        <f t="shared" si="28"/>
        <v>Friday</v>
      </c>
      <c r="D488" s="3" t="str">
        <f t="shared" si="29"/>
        <v>July</v>
      </c>
      <c r="E488" s="3" t="str">
        <f t="shared" si="30"/>
        <v>2020</v>
      </c>
      <c r="F488" s="2" t="s">
        <v>3237</v>
      </c>
      <c r="G488" t="s">
        <v>6160</v>
      </c>
      <c r="H488" s="2">
        <v>6</v>
      </c>
      <c r="I488" s="2" t="str">
        <f>_xlfn.XLOOKUP(F488,customers!A:A,customers!B:B)</f>
        <v>Franny Kienlein</v>
      </c>
      <c r="J488" s="2" t="str">
        <f>_xlfn.XLOOKUP(F488,customers!A:A,customers!C:C)</f>
        <v>fkienleindi@trellian.com</v>
      </c>
      <c r="K488" s="2" t="str">
        <f>_xlfn.XLOOKUP(F488,customers!A:A,customers!F:F)</f>
        <v>Coolock</v>
      </c>
      <c r="L488" s="2" t="str">
        <f>_xlfn.XLOOKUP(F488,customers!A:A,customers!G:G)</f>
        <v>Ireland</v>
      </c>
      <c r="M488" t="str">
        <f>_xlfn.XLOOKUP(G488,products!A:A,products!B:B)</f>
        <v>Lib</v>
      </c>
      <c r="N488" t="str">
        <f>_xlfn.XLOOKUP(G488,products!A:A,products!C:C)</f>
        <v>M</v>
      </c>
      <c r="O488">
        <f>_xlfn.XLOOKUP(G488,products!A:A,products!D:D)</f>
        <v>0.5</v>
      </c>
      <c r="P488">
        <f>_xlfn.XLOOKUP(G488,products!A:A,products!E:E)</f>
        <v>8.73</v>
      </c>
      <c r="Q488">
        <f t="shared" si="31"/>
        <v>52.38</v>
      </c>
      <c r="R488" t="str" cm="1">
        <f t="array" ref="R488">_xlfn.IFS(Q488&lt;=50,"low sales",Q488&lt;=100,"medium sales",Q488&gt;100,"High sales")</f>
        <v>medium sales</v>
      </c>
    </row>
    <row r="489" spans="1:18" x14ac:dyDescent="0.35">
      <c r="A489" s="2" t="s">
        <v>3242</v>
      </c>
      <c r="B489" s="3">
        <v>44093</v>
      </c>
      <c r="C489" s="3" t="str">
        <f t="shared" si="28"/>
        <v>Saturday</v>
      </c>
      <c r="D489" s="3" t="str">
        <f t="shared" si="29"/>
        <v>September</v>
      </c>
      <c r="E489" s="3" t="str">
        <f t="shared" si="30"/>
        <v>2020</v>
      </c>
      <c r="F489" s="2" t="s">
        <v>3243</v>
      </c>
      <c r="G489" t="s">
        <v>6183</v>
      </c>
      <c r="H489" s="2">
        <v>6</v>
      </c>
      <c r="I489" s="2" t="str">
        <f>_xlfn.XLOOKUP(F489,customers!A:A,customers!B:B)</f>
        <v>Klarika Egglestone</v>
      </c>
      <c r="J489" s="2" t="str">
        <f>_xlfn.XLOOKUP(F489,customers!A:A,customers!C:C)</f>
        <v>kegglestonedj@sphinn.com</v>
      </c>
      <c r="K489" s="2" t="str">
        <f>_xlfn.XLOOKUP(F489,customers!A:A,customers!F:F)</f>
        <v>Coolock</v>
      </c>
      <c r="L489" s="2" t="str">
        <f>_xlfn.XLOOKUP(F489,customers!A:A,customers!G:G)</f>
        <v>Ireland</v>
      </c>
      <c r="M489" t="str">
        <f>_xlfn.XLOOKUP(G489,products!A:A,products!B:B)</f>
        <v>Exc</v>
      </c>
      <c r="N489" t="str">
        <f>_xlfn.XLOOKUP(G489,products!A:A,products!C:C)</f>
        <v>D</v>
      </c>
      <c r="O489">
        <f>_xlfn.XLOOKUP(G489,products!A:A,products!D:D)</f>
        <v>1</v>
      </c>
      <c r="P489">
        <f>_xlfn.XLOOKUP(G489,products!A:A,products!E:E)</f>
        <v>12.15</v>
      </c>
      <c r="Q489">
        <f t="shared" si="31"/>
        <v>72.900000000000006</v>
      </c>
      <c r="R489" t="str" cm="1">
        <f t="array" ref="R489">_xlfn.IFS(Q489&lt;=50,"low sales",Q489&lt;=100,"medium sales",Q489&gt;100,"High sales")</f>
        <v>medium sales</v>
      </c>
    </row>
    <row r="490" spans="1:18" x14ac:dyDescent="0.35">
      <c r="A490" s="2" t="s">
        <v>3248</v>
      </c>
      <c r="B490" s="3">
        <v>43954</v>
      </c>
      <c r="C490" s="3" t="str">
        <f t="shared" si="28"/>
        <v>Sunday</v>
      </c>
      <c r="D490" s="3" t="str">
        <f t="shared" si="29"/>
        <v>May</v>
      </c>
      <c r="E490" s="3" t="str">
        <f t="shared" si="30"/>
        <v>2020</v>
      </c>
      <c r="F490" s="2" t="s">
        <v>3249</v>
      </c>
      <c r="G490" t="s">
        <v>6174</v>
      </c>
      <c r="H490" s="2">
        <v>5</v>
      </c>
      <c r="I490" s="2" t="str">
        <f>_xlfn.XLOOKUP(F490,customers!A:A,customers!B:B)</f>
        <v>Becky Semkins</v>
      </c>
      <c r="J490" s="2" t="str">
        <f>_xlfn.XLOOKUP(F490,customers!A:A,customers!C:C)</f>
        <v>bsemkinsdk@unc.edu</v>
      </c>
      <c r="K490" s="2" t="str">
        <f>_xlfn.XLOOKUP(F490,customers!A:A,customers!F:F)</f>
        <v>Kinnegad</v>
      </c>
      <c r="L490" s="2" t="str">
        <f>_xlfn.XLOOKUP(F490,customers!A:A,customers!G:G)</f>
        <v>Ireland</v>
      </c>
      <c r="M490" t="str">
        <f>_xlfn.XLOOKUP(G490,products!A:A,products!B:B)</f>
        <v>Rob</v>
      </c>
      <c r="N490" t="str">
        <f>_xlfn.XLOOKUP(G490,products!A:A,products!C:C)</f>
        <v>M</v>
      </c>
      <c r="O490">
        <f>_xlfn.XLOOKUP(G490,products!A:A,products!D:D)</f>
        <v>0.2</v>
      </c>
      <c r="P490">
        <f>_xlfn.XLOOKUP(G490,products!A:A,products!E:E)</f>
        <v>2.9849999999999999</v>
      </c>
      <c r="Q490">
        <f t="shared" si="31"/>
        <v>14.924999999999999</v>
      </c>
      <c r="R490" t="str" cm="1">
        <f t="array" ref="R490">_xlfn.IFS(Q490&lt;=50,"low sales",Q490&lt;=100,"medium sales",Q490&gt;100,"High sales")</f>
        <v>low sales</v>
      </c>
    </row>
    <row r="491" spans="1:18" x14ac:dyDescent="0.35">
      <c r="A491" s="2" t="s">
        <v>3254</v>
      </c>
      <c r="B491" s="3">
        <v>43654</v>
      </c>
      <c r="C491" s="3" t="str">
        <f t="shared" si="28"/>
        <v>Monday</v>
      </c>
      <c r="D491" s="3" t="str">
        <f t="shared" si="29"/>
        <v>July</v>
      </c>
      <c r="E491" s="3" t="str">
        <f t="shared" si="30"/>
        <v>2019</v>
      </c>
      <c r="F491" s="2" t="s">
        <v>3255</v>
      </c>
      <c r="G491" t="s">
        <v>6170</v>
      </c>
      <c r="H491" s="2">
        <v>6</v>
      </c>
      <c r="I491" s="2" t="str">
        <f>_xlfn.XLOOKUP(F491,customers!A:A,customers!B:B)</f>
        <v>Sean Lorenzetti</v>
      </c>
      <c r="J491" s="2" t="str">
        <f>_xlfn.XLOOKUP(F491,customers!A:A,customers!C:C)</f>
        <v>slorenzettidl@is.gd</v>
      </c>
      <c r="K491" s="2" t="str">
        <f>_xlfn.XLOOKUP(F491,customers!A:A,customers!F:F)</f>
        <v>El Paso</v>
      </c>
      <c r="L491" s="2" t="str">
        <f>_xlfn.XLOOKUP(F491,customers!A:A,customers!G:G)</f>
        <v>United States</v>
      </c>
      <c r="M491" t="str">
        <f>_xlfn.XLOOKUP(G491,products!A:A,products!B:B)</f>
        <v>Lib</v>
      </c>
      <c r="N491" t="str">
        <f>_xlfn.XLOOKUP(G491,products!A:A,products!C:C)</f>
        <v>L</v>
      </c>
      <c r="O491">
        <f>_xlfn.XLOOKUP(G491,products!A:A,products!D:D)</f>
        <v>1</v>
      </c>
      <c r="P491">
        <f>_xlfn.XLOOKUP(G491,products!A:A,products!E:E)</f>
        <v>15.85</v>
      </c>
      <c r="Q491">
        <f t="shared" si="31"/>
        <v>95.1</v>
      </c>
      <c r="R491" t="str" cm="1">
        <f t="array" ref="R491">_xlfn.IFS(Q491&lt;=50,"low sales",Q491&lt;=100,"medium sales",Q491&gt;100,"High sales")</f>
        <v>medium sales</v>
      </c>
    </row>
    <row r="492" spans="1:18" x14ac:dyDescent="0.35">
      <c r="A492" s="2" t="s">
        <v>3260</v>
      </c>
      <c r="B492" s="3">
        <v>43764</v>
      </c>
      <c r="C492" s="3" t="str">
        <f t="shared" si="28"/>
        <v>Saturday</v>
      </c>
      <c r="D492" s="3" t="str">
        <f t="shared" si="29"/>
        <v>October</v>
      </c>
      <c r="E492" s="3" t="str">
        <f t="shared" si="30"/>
        <v>2019</v>
      </c>
      <c r="F492" s="2" t="s">
        <v>3261</v>
      </c>
      <c r="G492" t="s">
        <v>6169</v>
      </c>
      <c r="H492" s="2">
        <v>2</v>
      </c>
      <c r="I492" s="2" t="str">
        <f>_xlfn.XLOOKUP(F492,customers!A:A,customers!B:B)</f>
        <v>Bob Giannazzi</v>
      </c>
      <c r="J492" s="2" t="str">
        <f>_xlfn.XLOOKUP(F492,customers!A:A,customers!C:C)</f>
        <v>bgiannazzidm@apple.com</v>
      </c>
      <c r="K492" s="2" t="str">
        <f>_xlfn.XLOOKUP(F492,customers!A:A,customers!F:F)</f>
        <v>Fort Lauderdale</v>
      </c>
      <c r="L492" s="2" t="str">
        <f>_xlfn.XLOOKUP(F492,customers!A:A,customers!G:G)</f>
        <v>United States</v>
      </c>
      <c r="M492" t="str">
        <f>_xlfn.XLOOKUP(G492,products!A:A,products!B:B)</f>
        <v>Lib</v>
      </c>
      <c r="N492" t="str">
        <f>_xlfn.XLOOKUP(G492,products!A:A,products!C:C)</f>
        <v>D</v>
      </c>
      <c r="O492">
        <f>_xlfn.XLOOKUP(G492,products!A:A,products!D:D)</f>
        <v>0.5</v>
      </c>
      <c r="P492">
        <f>_xlfn.XLOOKUP(G492,products!A:A,products!E:E)</f>
        <v>7.77</v>
      </c>
      <c r="Q492">
        <f t="shared" si="31"/>
        <v>15.54</v>
      </c>
      <c r="R492" t="str" cm="1">
        <f t="array" ref="R492">_xlfn.IFS(Q492&lt;=50,"low sales",Q492&lt;=100,"medium sales",Q492&gt;100,"High sales")</f>
        <v>low sales</v>
      </c>
    </row>
    <row r="493" spans="1:18" x14ac:dyDescent="0.35">
      <c r="A493" s="2" t="s">
        <v>3266</v>
      </c>
      <c r="B493" s="3">
        <v>44101</v>
      </c>
      <c r="C493" s="3" t="str">
        <f t="shared" si="28"/>
        <v>Sunday</v>
      </c>
      <c r="D493" s="3" t="str">
        <f t="shared" si="29"/>
        <v>September</v>
      </c>
      <c r="E493" s="3" t="str">
        <f t="shared" si="30"/>
        <v>2020</v>
      </c>
      <c r="F493" s="2" t="s">
        <v>3267</v>
      </c>
      <c r="G493" t="s">
        <v>6150</v>
      </c>
      <c r="H493" s="2">
        <v>6</v>
      </c>
      <c r="I493" s="2" t="str">
        <f>_xlfn.XLOOKUP(F493,customers!A:A,customers!B:B)</f>
        <v>Kendra Backshell</v>
      </c>
      <c r="J493" s="2">
        <f>_xlfn.XLOOKUP(F493,customers!A:A,customers!C:C)</f>
        <v>0</v>
      </c>
      <c r="K493" s="2" t="str">
        <f>_xlfn.XLOOKUP(F493,customers!A:A,customers!F:F)</f>
        <v>Indianapolis</v>
      </c>
      <c r="L493" s="2" t="str">
        <f>_xlfn.XLOOKUP(F493,customers!A:A,customers!G:G)</f>
        <v>United States</v>
      </c>
      <c r="M493" t="str">
        <f>_xlfn.XLOOKUP(G493,products!A:A,products!B:B)</f>
        <v>Lib</v>
      </c>
      <c r="N493" t="str">
        <f>_xlfn.XLOOKUP(G493,products!A:A,products!C:C)</f>
        <v>D</v>
      </c>
      <c r="O493">
        <f>_xlfn.XLOOKUP(G493,products!A:A,products!D:D)</f>
        <v>0.2</v>
      </c>
      <c r="P493">
        <f>_xlfn.XLOOKUP(G493,products!A:A,products!E:E)</f>
        <v>3.8849999999999998</v>
      </c>
      <c r="Q493">
        <f t="shared" si="31"/>
        <v>23.31</v>
      </c>
      <c r="R493" t="str" cm="1">
        <f t="array" ref="R493">_xlfn.IFS(Q493&lt;=50,"low sales",Q493&lt;=100,"medium sales",Q493&gt;100,"High sales")</f>
        <v>low sales</v>
      </c>
    </row>
    <row r="494" spans="1:18" x14ac:dyDescent="0.35">
      <c r="A494" s="2" t="s">
        <v>3271</v>
      </c>
      <c r="B494" s="3">
        <v>44620</v>
      </c>
      <c r="C494" s="3" t="str">
        <f t="shared" si="28"/>
        <v>Monday</v>
      </c>
      <c r="D494" s="3" t="str">
        <f t="shared" si="29"/>
        <v>February</v>
      </c>
      <c r="E494" s="3" t="str">
        <f t="shared" si="30"/>
        <v>2022</v>
      </c>
      <c r="F494" s="2" t="s">
        <v>3272</v>
      </c>
      <c r="G494" t="s">
        <v>6156</v>
      </c>
      <c r="H494" s="2">
        <v>1</v>
      </c>
      <c r="I494" s="2" t="str">
        <f>_xlfn.XLOOKUP(F494,customers!A:A,customers!B:B)</f>
        <v>Uriah Lethbrig</v>
      </c>
      <c r="J494" s="2" t="str">
        <f>_xlfn.XLOOKUP(F494,customers!A:A,customers!C:C)</f>
        <v>ulethbrigdo@hc360.com</v>
      </c>
      <c r="K494" s="2" t="str">
        <f>_xlfn.XLOOKUP(F494,customers!A:A,customers!F:F)</f>
        <v>Milwaukee</v>
      </c>
      <c r="L494" s="2" t="str">
        <f>_xlfn.XLOOKUP(F494,customers!A:A,customers!G:G)</f>
        <v>United States</v>
      </c>
      <c r="M494" t="str">
        <f>_xlfn.XLOOKUP(G494,products!A:A,products!B:B)</f>
        <v>Exc</v>
      </c>
      <c r="N494" t="str">
        <f>_xlfn.XLOOKUP(G494,products!A:A,products!C:C)</f>
        <v>M</v>
      </c>
      <c r="O494">
        <f>_xlfn.XLOOKUP(G494,products!A:A,products!D:D)</f>
        <v>0.2</v>
      </c>
      <c r="P494">
        <f>_xlfn.XLOOKUP(G494,products!A:A,products!E:E)</f>
        <v>4.125</v>
      </c>
      <c r="Q494">
        <f t="shared" si="31"/>
        <v>4.125</v>
      </c>
      <c r="R494" t="str" cm="1">
        <f t="array" ref="R494">_xlfn.IFS(Q494&lt;=50,"low sales",Q494&lt;=100,"medium sales",Q494&gt;100,"High sales")</f>
        <v>low sales</v>
      </c>
    </row>
    <row r="495" spans="1:18" x14ac:dyDescent="0.35">
      <c r="A495" s="2" t="s">
        <v>3277</v>
      </c>
      <c r="B495" s="3">
        <v>44090</v>
      </c>
      <c r="C495" s="3" t="str">
        <f t="shared" si="28"/>
        <v>Wednesday</v>
      </c>
      <c r="D495" s="3" t="str">
        <f t="shared" si="29"/>
        <v>September</v>
      </c>
      <c r="E495" s="3" t="str">
        <f t="shared" si="30"/>
        <v>2020</v>
      </c>
      <c r="F495" s="2" t="s">
        <v>3278</v>
      </c>
      <c r="G495" t="s">
        <v>6146</v>
      </c>
      <c r="H495" s="2">
        <v>6</v>
      </c>
      <c r="I495" s="2" t="str">
        <f>_xlfn.XLOOKUP(F495,customers!A:A,customers!B:B)</f>
        <v>Sky Farnish</v>
      </c>
      <c r="J495" s="2" t="str">
        <f>_xlfn.XLOOKUP(F495,customers!A:A,customers!C:C)</f>
        <v>sfarnishdp@dmoz.org</v>
      </c>
      <c r="K495" s="2" t="str">
        <f>_xlfn.XLOOKUP(F495,customers!A:A,customers!F:F)</f>
        <v>Eaton</v>
      </c>
      <c r="L495" s="2" t="str">
        <f>_xlfn.XLOOKUP(F495,customers!A:A,customers!G:G)</f>
        <v>United Kingdom</v>
      </c>
      <c r="M495" t="str">
        <f>_xlfn.XLOOKUP(G495,products!A:A,products!B:B)</f>
        <v>Rob</v>
      </c>
      <c r="N495" t="str">
        <f>_xlfn.XLOOKUP(G495,products!A:A,products!C:C)</f>
        <v>M</v>
      </c>
      <c r="O495">
        <f>_xlfn.XLOOKUP(G495,products!A:A,products!D:D)</f>
        <v>0.5</v>
      </c>
      <c r="P495">
        <f>_xlfn.XLOOKUP(G495,products!A:A,products!E:E)</f>
        <v>5.97</v>
      </c>
      <c r="Q495">
        <f t="shared" si="31"/>
        <v>35.82</v>
      </c>
      <c r="R495" t="str" cm="1">
        <f t="array" ref="R495">_xlfn.IFS(Q495&lt;=50,"low sales",Q495&lt;=100,"medium sales",Q495&gt;100,"High sales")</f>
        <v>low sales</v>
      </c>
    </row>
    <row r="496" spans="1:18" x14ac:dyDescent="0.35">
      <c r="A496" s="2" t="s">
        <v>3283</v>
      </c>
      <c r="B496" s="3">
        <v>44132</v>
      </c>
      <c r="C496" s="3" t="str">
        <f t="shared" si="28"/>
        <v>Wednesday</v>
      </c>
      <c r="D496" s="3" t="str">
        <f t="shared" si="29"/>
        <v>October</v>
      </c>
      <c r="E496" s="3" t="str">
        <f t="shared" si="30"/>
        <v>2020</v>
      </c>
      <c r="F496" s="2" t="s">
        <v>3284</v>
      </c>
      <c r="G496" t="s">
        <v>6170</v>
      </c>
      <c r="H496" s="2">
        <v>2</v>
      </c>
      <c r="I496" s="2" t="str">
        <f>_xlfn.XLOOKUP(F496,customers!A:A,customers!B:B)</f>
        <v>Felicia Jecock</v>
      </c>
      <c r="J496" s="2" t="str">
        <f>_xlfn.XLOOKUP(F496,customers!A:A,customers!C:C)</f>
        <v>fjecockdq@unicef.org</v>
      </c>
      <c r="K496" s="2" t="str">
        <f>_xlfn.XLOOKUP(F496,customers!A:A,customers!F:F)</f>
        <v>Baton Rouge</v>
      </c>
      <c r="L496" s="2" t="str">
        <f>_xlfn.XLOOKUP(F496,customers!A:A,customers!G:G)</f>
        <v>United States</v>
      </c>
      <c r="M496" t="str">
        <f>_xlfn.XLOOKUP(G496,products!A:A,products!B:B)</f>
        <v>Lib</v>
      </c>
      <c r="N496" t="str">
        <f>_xlfn.XLOOKUP(G496,products!A:A,products!C:C)</f>
        <v>L</v>
      </c>
      <c r="O496">
        <f>_xlfn.XLOOKUP(G496,products!A:A,products!D:D)</f>
        <v>1</v>
      </c>
      <c r="P496">
        <f>_xlfn.XLOOKUP(G496,products!A:A,products!E:E)</f>
        <v>15.85</v>
      </c>
      <c r="Q496">
        <f t="shared" si="31"/>
        <v>31.7</v>
      </c>
      <c r="R496" t="str" cm="1">
        <f t="array" ref="R496">_xlfn.IFS(Q496&lt;=50,"low sales",Q496&lt;=100,"medium sales",Q496&gt;100,"High sales")</f>
        <v>low sales</v>
      </c>
    </row>
    <row r="497" spans="1:18" x14ac:dyDescent="0.35">
      <c r="A497" s="2" t="s">
        <v>3289</v>
      </c>
      <c r="B497" s="3">
        <v>43710</v>
      </c>
      <c r="C497" s="3" t="str">
        <f t="shared" si="28"/>
        <v>Monday</v>
      </c>
      <c r="D497" s="3" t="str">
        <f t="shared" si="29"/>
        <v>September</v>
      </c>
      <c r="E497" s="3" t="str">
        <f t="shared" si="30"/>
        <v>2019</v>
      </c>
      <c r="F497" s="2" t="s">
        <v>3290</v>
      </c>
      <c r="G497" t="s">
        <v>6170</v>
      </c>
      <c r="H497" s="2">
        <v>5</v>
      </c>
      <c r="I497" s="2" t="str">
        <f>_xlfn.XLOOKUP(F497,customers!A:A,customers!B:B)</f>
        <v>Currey MacAllister</v>
      </c>
      <c r="J497" s="2">
        <f>_xlfn.XLOOKUP(F497,customers!A:A,customers!C:C)</f>
        <v>0</v>
      </c>
      <c r="K497" s="2" t="str">
        <f>_xlfn.XLOOKUP(F497,customers!A:A,customers!F:F)</f>
        <v>Danbury</v>
      </c>
      <c r="L497" s="2" t="str">
        <f>_xlfn.XLOOKUP(F497,customers!A:A,customers!G:G)</f>
        <v>United States</v>
      </c>
      <c r="M497" t="str">
        <f>_xlfn.XLOOKUP(G497,products!A:A,products!B:B)</f>
        <v>Lib</v>
      </c>
      <c r="N497" t="str">
        <f>_xlfn.XLOOKUP(G497,products!A:A,products!C:C)</f>
        <v>L</v>
      </c>
      <c r="O497">
        <f>_xlfn.XLOOKUP(G497,products!A:A,products!D:D)</f>
        <v>1</v>
      </c>
      <c r="P497">
        <f>_xlfn.XLOOKUP(G497,products!A:A,products!E:E)</f>
        <v>15.85</v>
      </c>
      <c r="Q497">
        <f t="shared" si="31"/>
        <v>79.25</v>
      </c>
      <c r="R497" t="str" cm="1">
        <f t="array" ref="R497">_xlfn.IFS(Q497&lt;=50,"low sales",Q497&lt;=100,"medium sales",Q497&gt;100,"High sales")</f>
        <v>medium sales</v>
      </c>
    </row>
    <row r="498" spans="1:18" x14ac:dyDescent="0.35">
      <c r="A498" s="2" t="s">
        <v>3294</v>
      </c>
      <c r="B498" s="3">
        <v>44438</v>
      </c>
      <c r="C498" s="3" t="str">
        <f t="shared" si="28"/>
        <v>Monday</v>
      </c>
      <c r="D498" s="3" t="str">
        <f t="shared" si="29"/>
        <v>August</v>
      </c>
      <c r="E498" s="3" t="str">
        <f t="shared" si="30"/>
        <v>2021</v>
      </c>
      <c r="F498" s="2" t="s">
        <v>3295</v>
      </c>
      <c r="G498" t="s">
        <v>6153</v>
      </c>
      <c r="H498" s="2">
        <v>3</v>
      </c>
      <c r="I498" s="2" t="str">
        <f>_xlfn.XLOOKUP(F498,customers!A:A,customers!B:B)</f>
        <v>Hamlen Pallister</v>
      </c>
      <c r="J498" s="2" t="str">
        <f>_xlfn.XLOOKUP(F498,customers!A:A,customers!C:C)</f>
        <v>hpallisterds@ning.com</v>
      </c>
      <c r="K498" s="2" t="str">
        <f>_xlfn.XLOOKUP(F498,customers!A:A,customers!F:F)</f>
        <v>Pensacola</v>
      </c>
      <c r="L498" s="2" t="str">
        <f>_xlfn.XLOOKUP(F498,customers!A:A,customers!G:G)</f>
        <v>United States</v>
      </c>
      <c r="M498" t="str">
        <f>_xlfn.XLOOKUP(G498,products!A:A,products!B:B)</f>
        <v>Exc</v>
      </c>
      <c r="N498" t="str">
        <f>_xlfn.XLOOKUP(G498,products!A:A,products!C:C)</f>
        <v>D</v>
      </c>
      <c r="O498">
        <f>_xlfn.XLOOKUP(G498,products!A:A,products!D:D)</f>
        <v>0.2</v>
      </c>
      <c r="P498">
        <f>_xlfn.XLOOKUP(G498,products!A:A,products!E:E)</f>
        <v>3.645</v>
      </c>
      <c r="Q498">
        <f t="shared" si="31"/>
        <v>10.935</v>
      </c>
      <c r="R498" t="str" cm="1">
        <f t="array" ref="R498">_xlfn.IFS(Q498&lt;=50,"low sales",Q498&lt;=100,"medium sales",Q498&gt;100,"High sales")</f>
        <v>low sales</v>
      </c>
    </row>
    <row r="499" spans="1:18" x14ac:dyDescent="0.35">
      <c r="A499" s="2" t="s">
        <v>3300</v>
      </c>
      <c r="B499" s="3">
        <v>44351</v>
      </c>
      <c r="C499" s="3" t="str">
        <f t="shared" si="28"/>
        <v>Friday</v>
      </c>
      <c r="D499" s="3" t="str">
        <f t="shared" si="29"/>
        <v>June</v>
      </c>
      <c r="E499" s="3" t="str">
        <f t="shared" si="30"/>
        <v>2021</v>
      </c>
      <c r="F499" s="2" t="s">
        <v>3301</v>
      </c>
      <c r="G499" t="s">
        <v>6147</v>
      </c>
      <c r="H499" s="2">
        <v>4</v>
      </c>
      <c r="I499" s="2" t="str">
        <f>_xlfn.XLOOKUP(F499,customers!A:A,customers!B:B)</f>
        <v>Chantal Mersh</v>
      </c>
      <c r="J499" s="2" t="str">
        <f>_xlfn.XLOOKUP(F499,customers!A:A,customers!C:C)</f>
        <v>cmershdt@drupal.org</v>
      </c>
      <c r="K499" s="2" t="str">
        <f>_xlfn.XLOOKUP(F499,customers!A:A,customers!F:F)</f>
        <v>Milltown</v>
      </c>
      <c r="L499" s="2" t="str">
        <f>_xlfn.XLOOKUP(F499,customers!A:A,customers!G:G)</f>
        <v>Ireland</v>
      </c>
      <c r="M499" t="str">
        <f>_xlfn.XLOOKUP(G499,products!A:A,products!B:B)</f>
        <v>Ara</v>
      </c>
      <c r="N499" t="str">
        <f>_xlfn.XLOOKUP(G499,products!A:A,products!C:C)</f>
        <v>D</v>
      </c>
      <c r="O499">
        <f>_xlfn.XLOOKUP(G499,products!A:A,products!D:D)</f>
        <v>1</v>
      </c>
      <c r="P499">
        <f>_xlfn.XLOOKUP(G499,products!A:A,products!E:E)</f>
        <v>9.9499999999999993</v>
      </c>
      <c r="Q499">
        <f t="shared" si="31"/>
        <v>39.799999999999997</v>
      </c>
      <c r="R499" t="str" cm="1">
        <f t="array" ref="R499">_xlfn.IFS(Q499&lt;=50,"low sales",Q499&lt;=100,"medium sales",Q499&gt;100,"High sales")</f>
        <v>low sales</v>
      </c>
    </row>
    <row r="500" spans="1:18" x14ac:dyDescent="0.35">
      <c r="A500" s="2" t="s">
        <v>3307</v>
      </c>
      <c r="B500" s="3">
        <v>44159</v>
      </c>
      <c r="C500" s="3" t="str">
        <f t="shared" si="28"/>
        <v>Tuesday</v>
      </c>
      <c r="D500" s="3" t="str">
        <f t="shared" si="29"/>
        <v>November</v>
      </c>
      <c r="E500" s="3" t="str">
        <f t="shared" si="30"/>
        <v>2020</v>
      </c>
      <c r="F500" s="2" t="s">
        <v>3368</v>
      </c>
      <c r="G500" t="s">
        <v>6138</v>
      </c>
      <c r="H500" s="2">
        <v>5</v>
      </c>
      <c r="I500" s="2" t="str">
        <f>_xlfn.XLOOKUP(F500,customers!A:A,customers!B:B)</f>
        <v>Marja Urion</v>
      </c>
      <c r="J500" s="2" t="str">
        <f>_xlfn.XLOOKUP(F500,customers!A:A,customers!C:C)</f>
        <v>murione5@alexa.com</v>
      </c>
      <c r="K500" s="2" t="str">
        <f>_xlfn.XLOOKUP(F500,customers!A:A,customers!F:F)</f>
        <v>Virginia</v>
      </c>
      <c r="L500" s="2" t="str">
        <f>_xlfn.XLOOKUP(F500,customers!A:A,customers!G:G)</f>
        <v>Ireland</v>
      </c>
      <c r="M500" t="str">
        <f>_xlfn.XLOOKUP(G500,products!A:A,products!B:B)</f>
        <v>Rob</v>
      </c>
      <c r="N500" t="str">
        <f>_xlfn.XLOOKUP(G500,products!A:A,products!C:C)</f>
        <v>M</v>
      </c>
      <c r="O500">
        <f>_xlfn.XLOOKUP(G500,products!A:A,products!D:D)</f>
        <v>1</v>
      </c>
      <c r="P500">
        <f>_xlfn.XLOOKUP(G500,products!A:A,products!E:E)</f>
        <v>9.9499999999999993</v>
      </c>
      <c r="Q500">
        <f t="shared" si="31"/>
        <v>49.75</v>
      </c>
      <c r="R500" t="str" cm="1">
        <f t="array" ref="R500">_xlfn.IFS(Q500&lt;=50,"low sales",Q500&lt;=100,"medium sales",Q500&gt;100,"High sales")</f>
        <v>low sales</v>
      </c>
    </row>
    <row r="501" spans="1:18" x14ac:dyDescent="0.35">
      <c r="A501" s="2" t="s">
        <v>3313</v>
      </c>
      <c r="B501" s="3">
        <v>44003</v>
      </c>
      <c r="C501" s="3" t="str">
        <f t="shared" si="28"/>
        <v>Sunday</v>
      </c>
      <c r="D501" s="3" t="str">
        <f t="shared" si="29"/>
        <v>June</v>
      </c>
      <c r="E501" s="3" t="str">
        <f t="shared" si="30"/>
        <v>2020</v>
      </c>
      <c r="F501" s="2" t="s">
        <v>3314</v>
      </c>
      <c r="G501" t="s">
        <v>6163</v>
      </c>
      <c r="H501" s="2">
        <v>3</v>
      </c>
      <c r="I501" s="2" t="str">
        <f>_xlfn.XLOOKUP(F501,customers!A:A,customers!B:B)</f>
        <v>Malynda Purbrick</v>
      </c>
      <c r="J501" s="2">
        <f>_xlfn.XLOOKUP(F501,customers!A:A,customers!C:C)</f>
        <v>0</v>
      </c>
      <c r="K501" s="2" t="str">
        <f>_xlfn.XLOOKUP(F501,customers!A:A,customers!F:F)</f>
        <v>Balally</v>
      </c>
      <c r="L501" s="2" t="str">
        <f>_xlfn.XLOOKUP(F501,customers!A:A,customers!G:G)</f>
        <v>Ireland</v>
      </c>
      <c r="M501" t="str">
        <f>_xlfn.XLOOKUP(G501,products!A:A,products!B:B)</f>
        <v>Rob</v>
      </c>
      <c r="N501" t="str">
        <f>_xlfn.XLOOKUP(G501,products!A:A,products!C:C)</f>
        <v>D</v>
      </c>
      <c r="O501">
        <f>_xlfn.XLOOKUP(G501,products!A:A,products!D:D)</f>
        <v>0.2</v>
      </c>
      <c r="P501">
        <f>_xlfn.XLOOKUP(G501,products!A:A,products!E:E)</f>
        <v>2.6849999999999996</v>
      </c>
      <c r="Q501">
        <f t="shared" si="31"/>
        <v>8.0549999999999997</v>
      </c>
      <c r="R501" t="str" cm="1">
        <f t="array" ref="R501">_xlfn.IFS(Q501&lt;=50,"low sales",Q501&lt;=100,"medium sales",Q501&gt;100,"High sales")</f>
        <v>low sales</v>
      </c>
    </row>
    <row r="502" spans="1:18" x14ac:dyDescent="0.35">
      <c r="A502" s="2" t="s">
        <v>3318</v>
      </c>
      <c r="B502" s="3">
        <v>44025</v>
      </c>
      <c r="C502" s="3" t="str">
        <f t="shared" si="28"/>
        <v>Monday</v>
      </c>
      <c r="D502" s="3" t="str">
        <f t="shared" si="29"/>
        <v>July</v>
      </c>
      <c r="E502" s="3" t="str">
        <f t="shared" si="30"/>
        <v>2020</v>
      </c>
      <c r="F502" s="2" t="s">
        <v>3319</v>
      </c>
      <c r="G502" t="s">
        <v>6179</v>
      </c>
      <c r="H502" s="2">
        <v>4</v>
      </c>
      <c r="I502" s="2" t="str">
        <f>_xlfn.XLOOKUP(F502,customers!A:A,customers!B:B)</f>
        <v>Alf Housaman</v>
      </c>
      <c r="J502" s="2">
        <f>_xlfn.XLOOKUP(F502,customers!A:A,customers!C:C)</f>
        <v>0</v>
      </c>
      <c r="K502" s="2" t="str">
        <f>_xlfn.XLOOKUP(F502,customers!A:A,customers!F:F)</f>
        <v>Grand Rapids</v>
      </c>
      <c r="L502" s="2" t="str">
        <f>_xlfn.XLOOKUP(F502,customers!A:A,customers!G:G)</f>
        <v>United States</v>
      </c>
      <c r="M502" t="str">
        <f>_xlfn.XLOOKUP(G502,products!A:A,products!B:B)</f>
        <v>Rob</v>
      </c>
      <c r="N502" t="str">
        <f>_xlfn.XLOOKUP(G502,products!A:A,products!C:C)</f>
        <v>L</v>
      </c>
      <c r="O502">
        <f>_xlfn.XLOOKUP(G502,products!A:A,products!D:D)</f>
        <v>1</v>
      </c>
      <c r="P502">
        <f>_xlfn.XLOOKUP(G502,products!A:A,products!E:E)</f>
        <v>11.95</v>
      </c>
      <c r="Q502">
        <f t="shared" si="31"/>
        <v>47.8</v>
      </c>
      <c r="R502" t="str" cm="1">
        <f t="array" ref="R502">_xlfn.IFS(Q502&lt;=50,"low sales",Q502&lt;=100,"medium sales",Q502&gt;100,"High sales")</f>
        <v>low sales</v>
      </c>
    </row>
    <row r="503" spans="1:18" x14ac:dyDescent="0.35">
      <c r="A503" s="2" t="s">
        <v>3323</v>
      </c>
      <c r="B503" s="3">
        <v>43467</v>
      </c>
      <c r="C503" s="3" t="str">
        <f t="shared" si="28"/>
        <v>Wednesday</v>
      </c>
      <c r="D503" s="3" t="str">
        <f t="shared" si="29"/>
        <v>January</v>
      </c>
      <c r="E503" s="3" t="str">
        <f t="shared" si="30"/>
        <v>2019</v>
      </c>
      <c r="F503" s="2" t="s">
        <v>3324</v>
      </c>
      <c r="G503" t="s">
        <v>6174</v>
      </c>
      <c r="H503" s="2">
        <v>4</v>
      </c>
      <c r="I503" s="2" t="str">
        <f>_xlfn.XLOOKUP(F503,customers!A:A,customers!B:B)</f>
        <v>Gladi Ducker</v>
      </c>
      <c r="J503" s="2" t="str">
        <f>_xlfn.XLOOKUP(F503,customers!A:A,customers!C:C)</f>
        <v>gduckerdx@patch.com</v>
      </c>
      <c r="K503" s="2" t="str">
        <f>_xlfn.XLOOKUP(F503,customers!A:A,customers!F:F)</f>
        <v>Belfast</v>
      </c>
      <c r="L503" s="2" t="str">
        <f>_xlfn.XLOOKUP(F503,customers!A:A,customers!G:G)</f>
        <v>United Kingdom</v>
      </c>
      <c r="M503" t="str">
        <f>_xlfn.XLOOKUP(G503,products!A:A,products!B:B)</f>
        <v>Rob</v>
      </c>
      <c r="N503" t="str">
        <f>_xlfn.XLOOKUP(G503,products!A:A,products!C:C)</f>
        <v>M</v>
      </c>
      <c r="O503">
        <f>_xlfn.XLOOKUP(G503,products!A:A,products!D:D)</f>
        <v>0.2</v>
      </c>
      <c r="P503">
        <f>_xlfn.XLOOKUP(G503,products!A:A,products!E:E)</f>
        <v>2.9849999999999999</v>
      </c>
      <c r="Q503">
        <f t="shared" si="31"/>
        <v>11.94</v>
      </c>
      <c r="R503" t="str" cm="1">
        <f t="array" ref="R503">_xlfn.IFS(Q503&lt;=50,"low sales",Q503&lt;=100,"medium sales",Q503&gt;100,"High sales")</f>
        <v>low sales</v>
      </c>
    </row>
    <row r="504" spans="1:18" x14ac:dyDescent="0.35">
      <c r="A504" s="2" t="s">
        <v>3323</v>
      </c>
      <c r="B504" s="3">
        <v>43467</v>
      </c>
      <c r="C504" s="3" t="str">
        <f t="shared" si="28"/>
        <v>Wednesday</v>
      </c>
      <c r="D504" s="3" t="str">
        <f t="shared" si="29"/>
        <v>January</v>
      </c>
      <c r="E504" s="3" t="str">
        <f t="shared" si="30"/>
        <v>2019</v>
      </c>
      <c r="F504" s="2" t="s">
        <v>3324</v>
      </c>
      <c r="G504" t="s">
        <v>6156</v>
      </c>
      <c r="H504" s="2">
        <v>4</v>
      </c>
      <c r="I504" s="2" t="str">
        <f>_xlfn.XLOOKUP(F504,customers!A:A,customers!B:B)</f>
        <v>Gladi Ducker</v>
      </c>
      <c r="J504" s="2" t="str">
        <f>_xlfn.XLOOKUP(F504,customers!A:A,customers!C:C)</f>
        <v>gduckerdx@patch.com</v>
      </c>
      <c r="K504" s="2" t="str">
        <f>_xlfn.XLOOKUP(F504,customers!A:A,customers!F:F)</f>
        <v>Belfast</v>
      </c>
      <c r="L504" s="2" t="str">
        <f>_xlfn.XLOOKUP(F504,customers!A:A,customers!G:G)</f>
        <v>United Kingdom</v>
      </c>
      <c r="M504" t="str">
        <f>_xlfn.XLOOKUP(G504,products!A:A,products!B:B)</f>
        <v>Exc</v>
      </c>
      <c r="N504" t="str">
        <f>_xlfn.XLOOKUP(G504,products!A:A,products!C:C)</f>
        <v>M</v>
      </c>
      <c r="O504">
        <f>_xlfn.XLOOKUP(G504,products!A:A,products!D:D)</f>
        <v>0.2</v>
      </c>
      <c r="P504">
        <f>_xlfn.XLOOKUP(G504,products!A:A,products!E:E)</f>
        <v>4.125</v>
      </c>
      <c r="Q504">
        <f t="shared" si="31"/>
        <v>16.5</v>
      </c>
      <c r="R504" t="str" cm="1">
        <f t="array" ref="R504">_xlfn.IFS(Q504&lt;=50,"low sales",Q504&lt;=100,"medium sales",Q504&gt;100,"High sales")</f>
        <v>low sales</v>
      </c>
    </row>
    <row r="505" spans="1:18" x14ac:dyDescent="0.35">
      <c r="A505" s="2" t="s">
        <v>3323</v>
      </c>
      <c r="B505" s="3">
        <v>43467</v>
      </c>
      <c r="C505" s="3" t="str">
        <f t="shared" si="28"/>
        <v>Wednesday</v>
      </c>
      <c r="D505" s="3" t="str">
        <f t="shared" si="29"/>
        <v>January</v>
      </c>
      <c r="E505" s="3" t="str">
        <f t="shared" si="30"/>
        <v>2019</v>
      </c>
      <c r="F505" s="2" t="s">
        <v>3324</v>
      </c>
      <c r="G505" t="s">
        <v>6143</v>
      </c>
      <c r="H505" s="2">
        <v>4</v>
      </c>
      <c r="I505" s="2" t="str">
        <f>_xlfn.XLOOKUP(F505,customers!A:A,customers!B:B)</f>
        <v>Gladi Ducker</v>
      </c>
      <c r="J505" s="2" t="str">
        <f>_xlfn.XLOOKUP(F505,customers!A:A,customers!C:C)</f>
        <v>gduckerdx@patch.com</v>
      </c>
      <c r="K505" s="2" t="str">
        <f>_xlfn.XLOOKUP(F505,customers!A:A,customers!F:F)</f>
        <v>Belfast</v>
      </c>
      <c r="L505" s="2" t="str">
        <f>_xlfn.XLOOKUP(F505,customers!A:A,customers!G:G)</f>
        <v>United Kingdom</v>
      </c>
      <c r="M505" t="str">
        <f>_xlfn.XLOOKUP(G505,products!A:A,products!B:B)</f>
        <v>Lib</v>
      </c>
      <c r="N505" t="str">
        <f>_xlfn.XLOOKUP(G505,products!A:A,products!C:C)</f>
        <v>D</v>
      </c>
      <c r="O505">
        <f>_xlfn.XLOOKUP(G505,products!A:A,products!D:D)</f>
        <v>1</v>
      </c>
      <c r="P505">
        <f>_xlfn.XLOOKUP(G505,products!A:A,products!E:E)</f>
        <v>12.95</v>
      </c>
      <c r="Q505">
        <f t="shared" si="31"/>
        <v>51.8</v>
      </c>
      <c r="R505" t="str" cm="1">
        <f t="array" ref="R505">_xlfn.IFS(Q505&lt;=50,"low sales",Q505&lt;=100,"medium sales",Q505&gt;100,"High sales")</f>
        <v>medium sales</v>
      </c>
    </row>
    <row r="506" spans="1:18" x14ac:dyDescent="0.35">
      <c r="A506" s="2" t="s">
        <v>3323</v>
      </c>
      <c r="B506" s="3">
        <v>43467</v>
      </c>
      <c r="C506" s="3" t="str">
        <f t="shared" si="28"/>
        <v>Wednesday</v>
      </c>
      <c r="D506" s="3" t="str">
        <f t="shared" si="29"/>
        <v>January</v>
      </c>
      <c r="E506" s="3" t="str">
        <f t="shared" si="30"/>
        <v>2019</v>
      </c>
      <c r="F506" s="2" t="s">
        <v>3324</v>
      </c>
      <c r="G506" t="s">
        <v>6145</v>
      </c>
      <c r="H506" s="2">
        <v>3</v>
      </c>
      <c r="I506" s="2" t="str">
        <f>_xlfn.XLOOKUP(F506,customers!A:A,customers!B:B)</f>
        <v>Gladi Ducker</v>
      </c>
      <c r="J506" s="2" t="str">
        <f>_xlfn.XLOOKUP(F506,customers!A:A,customers!C:C)</f>
        <v>gduckerdx@patch.com</v>
      </c>
      <c r="K506" s="2" t="str">
        <f>_xlfn.XLOOKUP(F506,customers!A:A,customers!F:F)</f>
        <v>Belfast</v>
      </c>
      <c r="L506" s="2" t="str">
        <f>_xlfn.XLOOKUP(F506,customers!A:A,customers!G:G)</f>
        <v>United Kingdom</v>
      </c>
      <c r="M506" t="str">
        <f>_xlfn.XLOOKUP(G506,products!A:A,products!B:B)</f>
        <v>Lib</v>
      </c>
      <c r="N506" t="str">
        <f>_xlfn.XLOOKUP(G506,products!A:A,products!C:C)</f>
        <v>L</v>
      </c>
      <c r="O506">
        <f>_xlfn.XLOOKUP(G506,products!A:A,products!D:D)</f>
        <v>0.2</v>
      </c>
      <c r="P506">
        <f>_xlfn.XLOOKUP(G506,products!A:A,products!E:E)</f>
        <v>4.7549999999999999</v>
      </c>
      <c r="Q506">
        <f t="shared" si="31"/>
        <v>14.265000000000001</v>
      </c>
      <c r="R506" t="str" cm="1">
        <f t="array" ref="R506">_xlfn.IFS(Q506&lt;=50,"low sales",Q506&lt;=100,"medium sales",Q506&gt;100,"High sales")</f>
        <v>low sales</v>
      </c>
    </row>
    <row r="507" spans="1:18" x14ac:dyDescent="0.35">
      <c r="A507" s="2" t="s">
        <v>3343</v>
      </c>
      <c r="B507" s="3">
        <v>44609</v>
      </c>
      <c r="C507" s="3" t="str">
        <f t="shared" si="28"/>
        <v>Thursday</v>
      </c>
      <c r="D507" s="3" t="str">
        <f t="shared" si="29"/>
        <v>February</v>
      </c>
      <c r="E507" s="3" t="str">
        <f t="shared" si="30"/>
        <v>2022</v>
      </c>
      <c r="F507" s="2" t="s">
        <v>3344</v>
      </c>
      <c r="G507" t="s">
        <v>6159</v>
      </c>
      <c r="H507" s="2">
        <v>6</v>
      </c>
      <c r="I507" s="2" t="str">
        <f>_xlfn.XLOOKUP(F507,customers!A:A,customers!B:B)</f>
        <v>Wain Stearley</v>
      </c>
      <c r="J507" s="2" t="str">
        <f>_xlfn.XLOOKUP(F507,customers!A:A,customers!C:C)</f>
        <v>wstearleye1@census.gov</v>
      </c>
      <c r="K507" s="2" t="str">
        <f>_xlfn.XLOOKUP(F507,customers!A:A,customers!F:F)</f>
        <v>High Point</v>
      </c>
      <c r="L507" s="2" t="str">
        <f>_xlfn.XLOOKUP(F507,customers!A:A,customers!G:G)</f>
        <v>United States</v>
      </c>
      <c r="M507" t="str">
        <f>_xlfn.XLOOKUP(G507,products!A:A,products!B:B)</f>
        <v>Lib</v>
      </c>
      <c r="N507" t="str">
        <f>_xlfn.XLOOKUP(G507,products!A:A,products!C:C)</f>
        <v>M</v>
      </c>
      <c r="O507">
        <f>_xlfn.XLOOKUP(G507,products!A:A,products!D:D)</f>
        <v>0.2</v>
      </c>
      <c r="P507">
        <f>_xlfn.XLOOKUP(G507,products!A:A,products!E:E)</f>
        <v>4.3650000000000002</v>
      </c>
      <c r="Q507">
        <f t="shared" si="31"/>
        <v>26.19</v>
      </c>
      <c r="R507" t="str" cm="1">
        <f t="array" ref="R507">_xlfn.IFS(Q507&lt;=50,"low sales",Q507&lt;=100,"medium sales",Q507&gt;100,"High sales")</f>
        <v>low sales</v>
      </c>
    </row>
    <row r="508" spans="1:18" x14ac:dyDescent="0.35">
      <c r="A508" s="2" t="s">
        <v>3349</v>
      </c>
      <c r="B508" s="3">
        <v>44184</v>
      </c>
      <c r="C508" s="3" t="str">
        <f t="shared" si="28"/>
        <v>Saturday</v>
      </c>
      <c r="D508" s="3" t="str">
        <f t="shared" si="29"/>
        <v>December</v>
      </c>
      <c r="E508" s="3" t="str">
        <f t="shared" si="30"/>
        <v>2020</v>
      </c>
      <c r="F508" s="2" t="s">
        <v>3350</v>
      </c>
      <c r="G508" t="s">
        <v>6140</v>
      </c>
      <c r="H508" s="2">
        <v>2</v>
      </c>
      <c r="I508" s="2" t="str">
        <f>_xlfn.XLOOKUP(F508,customers!A:A,customers!B:B)</f>
        <v>Diane-marie Wincer</v>
      </c>
      <c r="J508" s="2" t="str">
        <f>_xlfn.XLOOKUP(F508,customers!A:A,customers!C:C)</f>
        <v>dwincere2@marriott.com</v>
      </c>
      <c r="K508" s="2" t="str">
        <f>_xlfn.XLOOKUP(F508,customers!A:A,customers!F:F)</f>
        <v>El Paso</v>
      </c>
      <c r="L508" s="2" t="str">
        <f>_xlfn.XLOOKUP(F508,customers!A:A,customers!G:G)</f>
        <v>United States</v>
      </c>
      <c r="M508" t="str">
        <f>_xlfn.XLOOKUP(G508,products!A:A,products!B:B)</f>
        <v>Ara</v>
      </c>
      <c r="N508" t="str">
        <f>_xlfn.XLOOKUP(G508,products!A:A,products!C:C)</f>
        <v>L</v>
      </c>
      <c r="O508">
        <f>_xlfn.XLOOKUP(G508,products!A:A,products!D:D)</f>
        <v>1</v>
      </c>
      <c r="P508">
        <f>_xlfn.XLOOKUP(G508,products!A:A,products!E:E)</f>
        <v>12.95</v>
      </c>
      <c r="Q508">
        <f t="shared" si="31"/>
        <v>25.9</v>
      </c>
      <c r="R508" t="str" cm="1">
        <f t="array" ref="R508">_xlfn.IFS(Q508&lt;=50,"low sales",Q508&lt;=100,"medium sales",Q508&gt;100,"High sales")</f>
        <v>low sales</v>
      </c>
    </row>
    <row r="509" spans="1:18" x14ac:dyDescent="0.35">
      <c r="A509" s="2" t="s">
        <v>3355</v>
      </c>
      <c r="B509" s="3">
        <v>43516</v>
      </c>
      <c r="C509" s="3" t="str">
        <f t="shared" si="28"/>
        <v>Wednesday</v>
      </c>
      <c r="D509" s="3" t="str">
        <f t="shared" si="29"/>
        <v>February</v>
      </c>
      <c r="E509" s="3" t="str">
        <f t="shared" si="30"/>
        <v>2019</v>
      </c>
      <c r="F509" s="2" t="s">
        <v>3356</v>
      </c>
      <c r="G509" t="s">
        <v>6182</v>
      </c>
      <c r="H509" s="2">
        <v>3</v>
      </c>
      <c r="I509" s="2" t="str">
        <f>_xlfn.XLOOKUP(F509,customers!A:A,customers!B:B)</f>
        <v>Perry Lyfield</v>
      </c>
      <c r="J509" s="2" t="str">
        <f>_xlfn.XLOOKUP(F509,customers!A:A,customers!C:C)</f>
        <v>plyfielde3@baidu.com</v>
      </c>
      <c r="K509" s="2" t="str">
        <f>_xlfn.XLOOKUP(F509,customers!A:A,customers!F:F)</f>
        <v>Cleveland</v>
      </c>
      <c r="L509" s="2" t="str">
        <f>_xlfn.XLOOKUP(F509,customers!A:A,customers!G:G)</f>
        <v>United States</v>
      </c>
      <c r="M509" t="str">
        <f>_xlfn.XLOOKUP(G509,products!A:A,products!B:B)</f>
        <v>Ara</v>
      </c>
      <c r="N509" t="str">
        <f>_xlfn.XLOOKUP(G509,products!A:A,products!C:C)</f>
        <v>L</v>
      </c>
      <c r="O509">
        <f>_xlfn.XLOOKUP(G509,products!A:A,products!D:D)</f>
        <v>2.5</v>
      </c>
      <c r="P509">
        <f>_xlfn.XLOOKUP(G509,products!A:A,products!E:E)</f>
        <v>29.784999999999997</v>
      </c>
      <c r="Q509">
        <f t="shared" si="31"/>
        <v>89.35499999999999</v>
      </c>
      <c r="R509" t="str" cm="1">
        <f t="array" ref="R509">_xlfn.IFS(Q509&lt;=50,"low sales",Q509&lt;=100,"medium sales",Q509&gt;100,"High sales")</f>
        <v>medium sales</v>
      </c>
    </row>
    <row r="510" spans="1:18" x14ac:dyDescent="0.35">
      <c r="A510" s="2" t="s">
        <v>3361</v>
      </c>
      <c r="B510" s="3">
        <v>44210</v>
      </c>
      <c r="C510" s="3" t="str">
        <f t="shared" si="28"/>
        <v>Thursday</v>
      </c>
      <c r="D510" s="3" t="str">
        <f t="shared" si="29"/>
        <v>January</v>
      </c>
      <c r="E510" s="3" t="str">
        <f t="shared" si="30"/>
        <v>2021</v>
      </c>
      <c r="F510" s="2" t="s">
        <v>3362</v>
      </c>
      <c r="G510" t="s">
        <v>6169</v>
      </c>
      <c r="H510" s="2">
        <v>6</v>
      </c>
      <c r="I510" s="2" t="str">
        <f>_xlfn.XLOOKUP(F510,customers!A:A,customers!B:B)</f>
        <v>Heall Perris</v>
      </c>
      <c r="J510" s="2" t="str">
        <f>_xlfn.XLOOKUP(F510,customers!A:A,customers!C:C)</f>
        <v>hperrise4@studiopress.com</v>
      </c>
      <c r="K510" s="2" t="str">
        <f>_xlfn.XLOOKUP(F510,customers!A:A,customers!F:F)</f>
        <v>Ballymahon</v>
      </c>
      <c r="L510" s="2" t="str">
        <f>_xlfn.XLOOKUP(F510,customers!A:A,customers!G:G)</f>
        <v>Ireland</v>
      </c>
      <c r="M510" t="str">
        <f>_xlfn.XLOOKUP(G510,products!A:A,products!B:B)</f>
        <v>Lib</v>
      </c>
      <c r="N510" t="str">
        <f>_xlfn.XLOOKUP(G510,products!A:A,products!C:C)</f>
        <v>D</v>
      </c>
      <c r="O510">
        <f>_xlfn.XLOOKUP(G510,products!A:A,products!D:D)</f>
        <v>0.5</v>
      </c>
      <c r="P510">
        <f>_xlfn.XLOOKUP(G510,products!A:A,products!E:E)</f>
        <v>7.77</v>
      </c>
      <c r="Q510">
        <f t="shared" si="31"/>
        <v>46.62</v>
      </c>
      <c r="R510" t="str" cm="1">
        <f t="array" ref="R510">_xlfn.IFS(Q510&lt;=50,"low sales",Q510&lt;=100,"medium sales",Q510&gt;100,"High sales")</f>
        <v>low sales</v>
      </c>
    </row>
    <row r="511" spans="1:18" x14ac:dyDescent="0.35">
      <c r="A511" s="2" t="s">
        <v>3367</v>
      </c>
      <c r="B511" s="3">
        <v>43785</v>
      </c>
      <c r="C511" s="3" t="str">
        <f t="shared" si="28"/>
        <v>Saturday</v>
      </c>
      <c r="D511" s="3" t="str">
        <f t="shared" si="29"/>
        <v>November</v>
      </c>
      <c r="E511" s="3" t="str">
        <f t="shared" si="30"/>
        <v>2019</v>
      </c>
      <c r="F511" s="2" t="s">
        <v>3368</v>
      </c>
      <c r="G511" t="s">
        <v>6147</v>
      </c>
      <c r="H511" s="2">
        <v>3</v>
      </c>
      <c r="I511" s="2" t="str">
        <f>_xlfn.XLOOKUP(F511,customers!A:A,customers!B:B)</f>
        <v>Marja Urion</v>
      </c>
      <c r="J511" s="2" t="str">
        <f>_xlfn.XLOOKUP(F511,customers!A:A,customers!C:C)</f>
        <v>murione5@alexa.com</v>
      </c>
      <c r="K511" s="2" t="str">
        <f>_xlfn.XLOOKUP(F511,customers!A:A,customers!F:F)</f>
        <v>Virginia</v>
      </c>
      <c r="L511" s="2" t="str">
        <f>_xlfn.XLOOKUP(F511,customers!A:A,customers!G:G)</f>
        <v>Ireland</v>
      </c>
      <c r="M511" t="str">
        <f>_xlfn.XLOOKUP(G511,products!A:A,products!B:B)</f>
        <v>Ara</v>
      </c>
      <c r="N511" t="str">
        <f>_xlfn.XLOOKUP(G511,products!A:A,products!C:C)</f>
        <v>D</v>
      </c>
      <c r="O511">
        <f>_xlfn.XLOOKUP(G511,products!A:A,products!D:D)</f>
        <v>1</v>
      </c>
      <c r="P511">
        <f>_xlfn.XLOOKUP(G511,products!A:A,products!E:E)</f>
        <v>9.9499999999999993</v>
      </c>
      <c r="Q511">
        <f t="shared" si="31"/>
        <v>29.849999999999998</v>
      </c>
      <c r="R511" t="str" cm="1">
        <f t="array" ref="R511">_xlfn.IFS(Q511&lt;=50,"low sales",Q511&lt;=100,"medium sales",Q511&gt;100,"High sales")</f>
        <v>low sales</v>
      </c>
    </row>
    <row r="512" spans="1:18" x14ac:dyDescent="0.35">
      <c r="A512" s="2" t="s">
        <v>3373</v>
      </c>
      <c r="B512" s="3">
        <v>43803</v>
      </c>
      <c r="C512" s="3" t="str">
        <f t="shared" si="28"/>
        <v>Wednesday</v>
      </c>
      <c r="D512" s="3" t="str">
        <f t="shared" si="29"/>
        <v>December</v>
      </c>
      <c r="E512" s="3" t="str">
        <f t="shared" si="30"/>
        <v>2019</v>
      </c>
      <c r="F512" s="2" t="s">
        <v>3374</v>
      </c>
      <c r="G512" t="s">
        <v>6178</v>
      </c>
      <c r="H512" s="2">
        <v>3</v>
      </c>
      <c r="I512" s="2" t="str">
        <f>_xlfn.XLOOKUP(F512,customers!A:A,customers!B:B)</f>
        <v>Camellia Kid</v>
      </c>
      <c r="J512" s="2" t="str">
        <f>_xlfn.XLOOKUP(F512,customers!A:A,customers!C:C)</f>
        <v>ckide6@narod.ru</v>
      </c>
      <c r="K512" s="2" t="str">
        <f>_xlfn.XLOOKUP(F512,customers!A:A,customers!F:F)</f>
        <v>Whitegate</v>
      </c>
      <c r="L512" s="2" t="str">
        <f>_xlfn.XLOOKUP(F512,customers!A:A,customers!G:G)</f>
        <v>Ireland</v>
      </c>
      <c r="M512" t="str">
        <f>_xlfn.XLOOKUP(G512,products!A:A,products!B:B)</f>
        <v>Rob</v>
      </c>
      <c r="N512" t="str">
        <f>_xlfn.XLOOKUP(G512,products!A:A,products!C:C)</f>
        <v>L</v>
      </c>
      <c r="O512">
        <f>_xlfn.XLOOKUP(G512,products!A:A,products!D:D)</f>
        <v>0.2</v>
      </c>
      <c r="P512">
        <f>_xlfn.XLOOKUP(G512,products!A:A,products!E:E)</f>
        <v>3.5849999999999995</v>
      </c>
      <c r="Q512">
        <f t="shared" si="31"/>
        <v>10.754999999999999</v>
      </c>
      <c r="R512" t="str" cm="1">
        <f t="array" ref="R512">_xlfn.IFS(Q512&lt;=50,"low sales",Q512&lt;=100,"medium sales",Q512&gt;100,"High sales")</f>
        <v>low sales</v>
      </c>
    </row>
    <row r="513" spans="1:18" x14ac:dyDescent="0.35">
      <c r="A513" s="2" t="s">
        <v>3379</v>
      </c>
      <c r="B513" s="3">
        <v>44043</v>
      </c>
      <c r="C513" s="3" t="str">
        <f t="shared" si="28"/>
        <v>Friday</v>
      </c>
      <c r="D513" s="3" t="str">
        <f t="shared" si="29"/>
        <v>July</v>
      </c>
      <c r="E513" s="3" t="str">
        <f t="shared" si="30"/>
        <v>2020</v>
      </c>
      <c r="F513" s="2" t="s">
        <v>3380</v>
      </c>
      <c r="G513" t="s">
        <v>6152</v>
      </c>
      <c r="H513" s="2">
        <v>4</v>
      </c>
      <c r="I513" s="2" t="str">
        <f>_xlfn.XLOOKUP(F513,customers!A:A,customers!B:B)</f>
        <v>Carolann Beine</v>
      </c>
      <c r="J513" s="2" t="str">
        <f>_xlfn.XLOOKUP(F513,customers!A:A,customers!C:C)</f>
        <v>cbeinee7@xinhuanet.com</v>
      </c>
      <c r="K513" s="2" t="str">
        <f>_xlfn.XLOOKUP(F513,customers!A:A,customers!F:F)</f>
        <v>Birmingham</v>
      </c>
      <c r="L513" s="2" t="str">
        <f>_xlfn.XLOOKUP(F513,customers!A:A,customers!G:G)</f>
        <v>United States</v>
      </c>
      <c r="M513" t="str">
        <f>_xlfn.XLOOKUP(G513,products!A:A,products!B:B)</f>
        <v>Ara</v>
      </c>
      <c r="N513" t="str">
        <f>_xlfn.XLOOKUP(G513,products!A:A,products!C:C)</f>
        <v>M</v>
      </c>
      <c r="O513">
        <f>_xlfn.XLOOKUP(G513,products!A:A,products!D:D)</f>
        <v>0.2</v>
      </c>
      <c r="P513">
        <f>_xlfn.XLOOKUP(G513,products!A:A,products!E:E)</f>
        <v>3.375</v>
      </c>
      <c r="Q513">
        <f t="shared" si="31"/>
        <v>13.5</v>
      </c>
      <c r="R513" t="str" cm="1">
        <f t="array" ref="R513">_xlfn.IFS(Q513&lt;=50,"low sales",Q513&lt;=100,"medium sales",Q513&gt;100,"High sales")</f>
        <v>low sales</v>
      </c>
    </row>
    <row r="514" spans="1:18" x14ac:dyDescent="0.35">
      <c r="A514" s="2" t="s">
        <v>3385</v>
      </c>
      <c r="B514" s="3">
        <v>43535</v>
      </c>
      <c r="C514" s="3" t="str">
        <f t="shared" si="28"/>
        <v>Monday</v>
      </c>
      <c r="D514" s="3" t="str">
        <f t="shared" si="29"/>
        <v>March</v>
      </c>
      <c r="E514" s="3" t="str">
        <f t="shared" si="30"/>
        <v>2019</v>
      </c>
      <c r="F514" s="2" t="s">
        <v>3386</v>
      </c>
      <c r="G514" t="s">
        <v>6170</v>
      </c>
      <c r="H514" s="2">
        <v>3</v>
      </c>
      <c r="I514" s="2" t="str">
        <f>_xlfn.XLOOKUP(F514,customers!A:A,customers!B:B)</f>
        <v>Celia Bakeup</v>
      </c>
      <c r="J514" s="2" t="str">
        <f>_xlfn.XLOOKUP(F514,customers!A:A,customers!C:C)</f>
        <v>cbakeupe8@globo.com</v>
      </c>
      <c r="K514" s="2" t="str">
        <f>_xlfn.XLOOKUP(F514,customers!A:A,customers!F:F)</f>
        <v>Saint Cloud</v>
      </c>
      <c r="L514" s="2" t="str">
        <f>_xlfn.XLOOKUP(F514,customers!A:A,customers!G:G)</f>
        <v>United States</v>
      </c>
      <c r="M514" t="str">
        <f>_xlfn.XLOOKUP(G514,products!A:A,products!B:B)</f>
        <v>Lib</v>
      </c>
      <c r="N514" t="str">
        <f>_xlfn.XLOOKUP(G514,products!A:A,products!C:C)</f>
        <v>L</v>
      </c>
      <c r="O514">
        <f>_xlfn.XLOOKUP(G514,products!A:A,products!D:D)</f>
        <v>1</v>
      </c>
      <c r="P514">
        <f>_xlfn.XLOOKUP(G514,products!A:A,products!E:E)</f>
        <v>15.85</v>
      </c>
      <c r="Q514">
        <f t="shared" si="31"/>
        <v>47.55</v>
      </c>
      <c r="R514" t="str" cm="1">
        <f t="array" ref="R514">_xlfn.IFS(Q514&lt;=50,"low sales",Q514&lt;=100,"medium sales",Q514&gt;100,"High sales")</f>
        <v>low sales</v>
      </c>
    </row>
    <row r="515" spans="1:18" x14ac:dyDescent="0.35">
      <c r="A515" s="2" t="s">
        <v>3391</v>
      </c>
      <c r="B515" s="3">
        <v>44691</v>
      </c>
      <c r="C515" s="3" t="str">
        <f t="shared" ref="C515:C578" si="32">TEXT(B515,"DDDD")</f>
        <v>Tuesday</v>
      </c>
      <c r="D515" s="3" t="str">
        <f t="shared" ref="D515:D578" si="33">TEXT(B515,"MMMM")</f>
        <v>May</v>
      </c>
      <c r="E515" s="3" t="str">
        <f t="shared" ref="E515:E578" si="34">TEXT(B515,"YYYY")</f>
        <v>2022</v>
      </c>
      <c r="F515" s="2" t="s">
        <v>3392</v>
      </c>
      <c r="G515" t="s">
        <v>6170</v>
      </c>
      <c r="H515" s="2">
        <v>5</v>
      </c>
      <c r="I515" s="2" t="str">
        <f>_xlfn.XLOOKUP(F515,customers!A:A,customers!B:B)</f>
        <v>Nataniel Helkin</v>
      </c>
      <c r="J515" s="2" t="str">
        <f>_xlfn.XLOOKUP(F515,customers!A:A,customers!C:C)</f>
        <v>nhelkine9@example.com</v>
      </c>
      <c r="K515" s="2" t="str">
        <f>_xlfn.XLOOKUP(F515,customers!A:A,customers!F:F)</f>
        <v>Philadelphia</v>
      </c>
      <c r="L515" s="2" t="str">
        <f>_xlfn.XLOOKUP(F515,customers!A:A,customers!G:G)</f>
        <v>United States</v>
      </c>
      <c r="M515" t="str">
        <f>_xlfn.XLOOKUP(G515,products!A:A,products!B:B)</f>
        <v>Lib</v>
      </c>
      <c r="N515" t="str">
        <f>_xlfn.XLOOKUP(G515,products!A:A,products!C:C)</f>
        <v>L</v>
      </c>
      <c r="O515">
        <f>_xlfn.XLOOKUP(G515,products!A:A,products!D:D)</f>
        <v>1</v>
      </c>
      <c r="P515">
        <f>_xlfn.XLOOKUP(G515,products!A:A,products!E:E)</f>
        <v>15.85</v>
      </c>
      <c r="Q515">
        <f t="shared" ref="Q515:Q578" si="35">P515*H515</f>
        <v>79.25</v>
      </c>
      <c r="R515" t="str" cm="1">
        <f t="array" ref="R515">_xlfn.IFS(Q515&lt;=50,"low sales",Q515&lt;=100,"medium sales",Q515&gt;100,"High sales")</f>
        <v>medium sales</v>
      </c>
    </row>
    <row r="516" spans="1:18" x14ac:dyDescent="0.35">
      <c r="A516" s="2" t="s">
        <v>3396</v>
      </c>
      <c r="B516" s="3">
        <v>44555</v>
      </c>
      <c r="C516" s="3" t="str">
        <f t="shared" si="32"/>
        <v>Saturday</v>
      </c>
      <c r="D516" s="3" t="str">
        <f t="shared" si="33"/>
        <v>December</v>
      </c>
      <c r="E516" s="3" t="str">
        <f t="shared" si="34"/>
        <v>2021</v>
      </c>
      <c r="F516" s="2" t="s">
        <v>3397</v>
      </c>
      <c r="G516" t="s">
        <v>6159</v>
      </c>
      <c r="H516" s="2">
        <v>6</v>
      </c>
      <c r="I516" s="2" t="str">
        <f>_xlfn.XLOOKUP(F516,customers!A:A,customers!B:B)</f>
        <v>Pippo Witherington</v>
      </c>
      <c r="J516" s="2" t="str">
        <f>_xlfn.XLOOKUP(F516,customers!A:A,customers!C:C)</f>
        <v>pwitheringtonea@networkadvertising.org</v>
      </c>
      <c r="K516" s="2" t="str">
        <f>_xlfn.XLOOKUP(F516,customers!A:A,customers!F:F)</f>
        <v>Detroit</v>
      </c>
      <c r="L516" s="2" t="str">
        <f>_xlfn.XLOOKUP(F516,customers!A:A,customers!G:G)</f>
        <v>United States</v>
      </c>
      <c r="M516" t="str">
        <f>_xlfn.XLOOKUP(G516,products!A:A,products!B:B)</f>
        <v>Lib</v>
      </c>
      <c r="N516" t="str">
        <f>_xlfn.XLOOKUP(G516,products!A:A,products!C:C)</f>
        <v>M</v>
      </c>
      <c r="O516">
        <f>_xlfn.XLOOKUP(G516,products!A:A,products!D:D)</f>
        <v>0.2</v>
      </c>
      <c r="P516">
        <f>_xlfn.XLOOKUP(G516,products!A:A,products!E:E)</f>
        <v>4.3650000000000002</v>
      </c>
      <c r="Q516">
        <f t="shared" si="35"/>
        <v>26.19</v>
      </c>
      <c r="R516" t="str" cm="1">
        <f t="array" ref="R516">_xlfn.IFS(Q516&lt;=50,"low sales",Q516&lt;=100,"medium sales",Q516&gt;100,"High sales")</f>
        <v>low sales</v>
      </c>
    </row>
    <row r="517" spans="1:18" x14ac:dyDescent="0.35">
      <c r="A517" s="2" t="s">
        <v>3402</v>
      </c>
      <c r="B517" s="3">
        <v>44673</v>
      </c>
      <c r="C517" s="3" t="str">
        <f t="shared" si="32"/>
        <v>Friday</v>
      </c>
      <c r="D517" s="3" t="str">
        <f t="shared" si="33"/>
        <v>April</v>
      </c>
      <c r="E517" s="3" t="str">
        <f t="shared" si="34"/>
        <v>2022</v>
      </c>
      <c r="F517" s="2" t="s">
        <v>3403</v>
      </c>
      <c r="G517" t="s">
        <v>6173</v>
      </c>
      <c r="H517" s="2">
        <v>3</v>
      </c>
      <c r="I517" s="2" t="str">
        <f>_xlfn.XLOOKUP(F517,customers!A:A,customers!B:B)</f>
        <v>Tildie Tilzey</v>
      </c>
      <c r="J517" s="2" t="str">
        <f>_xlfn.XLOOKUP(F517,customers!A:A,customers!C:C)</f>
        <v>ttilzeyeb@hostgator.com</v>
      </c>
      <c r="K517" s="2" t="str">
        <f>_xlfn.XLOOKUP(F517,customers!A:A,customers!F:F)</f>
        <v>Saint Louis</v>
      </c>
      <c r="L517" s="2" t="str">
        <f>_xlfn.XLOOKUP(F517,customers!A:A,customers!G:G)</f>
        <v>United States</v>
      </c>
      <c r="M517" t="str">
        <f>_xlfn.XLOOKUP(G517,products!A:A,products!B:B)</f>
        <v>Rob</v>
      </c>
      <c r="N517" t="str">
        <f>_xlfn.XLOOKUP(G517,products!A:A,products!C:C)</f>
        <v>L</v>
      </c>
      <c r="O517">
        <f>_xlfn.XLOOKUP(G517,products!A:A,products!D:D)</f>
        <v>0.5</v>
      </c>
      <c r="P517">
        <f>_xlfn.XLOOKUP(G517,products!A:A,products!E:E)</f>
        <v>7.169999999999999</v>
      </c>
      <c r="Q517">
        <f t="shared" si="35"/>
        <v>21.509999999999998</v>
      </c>
      <c r="R517" t="str" cm="1">
        <f t="array" ref="R517">_xlfn.IFS(Q517&lt;=50,"low sales",Q517&lt;=100,"medium sales",Q517&gt;100,"High sales")</f>
        <v>low sales</v>
      </c>
    </row>
    <row r="518" spans="1:18" x14ac:dyDescent="0.35">
      <c r="A518" s="2" t="s">
        <v>3408</v>
      </c>
      <c r="B518" s="3">
        <v>44723</v>
      </c>
      <c r="C518" s="3" t="str">
        <f t="shared" si="32"/>
        <v>Saturday</v>
      </c>
      <c r="D518" s="3" t="str">
        <f t="shared" si="33"/>
        <v>June</v>
      </c>
      <c r="E518" s="3" t="str">
        <f t="shared" si="34"/>
        <v>2022</v>
      </c>
      <c r="F518" s="2" t="s">
        <v>3409</v>
      </c>
      <c r="G518" t="s">
        <v>6149</v>
      </c>
      <c r="H518" s="2">
        <v>5</v>
      </c>
      <c r="I518" s="2" t="str">
        <f>_xlfn.XLOOKUP(F518,customers!A:A,customers!B:B)</f>
        <v>Cindra Burling</v>
      </c>
      <c r="J518" s="2">
        <f>_xlfn.XLOOKUP(F518,customers!A:A,customers!C:C)</f>
        <v>0</v>
      </c>
      <c r="K518" s="2" t="str">
        <f>_xlfn.XLOOKUP(F518,customers!A:A,customers!F:F)</f>
        <v>Schenectady</v>
      </c>
      <c r="L518" s="2" t="str">
        <f>_xlfn.XLOOKUP(F518,customers!A:A,customers!G:G)</f>
        <v>United States</v>
      </c>
      <c r="M518" t="str">
        <f>_xlfn.XLOOKUP(G518,products!A:A,products!B:B)</f>
        <v>Rob</v>
      </c>
      <c r="N518" t="str">
        <f>_xlfn.XLOOKUP(G518,products!A:A,products!C:C)</f>
        <v>D</v>
      </c>
      <c r="O518">
        <f>_xlfn.XLOOKUP(G518,products!A:A,products!D:D)</f>
        <v>2.5</v>
      </c>
      <c r="P518">
        <f>_xlfn.XLOOKUP(G518,products!A:A,products!E:E)</f>
        <v>20.584999999999997</v>
      </c>
      <c r="Q518">
        <f t="shared" si="35"/>
        <v>102.92499999999998</v>
      </c>
      <c r="R518" t="str" cm="1">
        <f t="array" ref="R518">_xlfn.IFS(Q518&lt;=50,"low sales",Q518&lt;=100,"medium sales",Q518&gt;100,"High sales")</f>
        <v>High sales</v>
      </c>
    </row>
    <row r="519" spans="1:18" x14ac:dyDescent="0.35">
      <c r="A519" s="2" t="s">
        <v>3413</v>
      </c>
      <c r="B519" s="3">
        <v>44678</v>
      </c>
      <c r="C519" s="3" t="str">
        <f t="shared" si="32"/>
        <v>Wednesday</v>
      </c>
      <c r="D519" s="3" t="str">
        <f t="shared" si="33"/>
        <v>April</v>
      </c>
      <c r="E519" s="3" t="str">
        <f t="shared" si="34"/>
        <v>2022</v>
      </c>
      <c r="F519" s="2" t="s">
        <v>3414</v>
      </c>
      <c r="G519" t="s">
        <v>6150</v>
      </c>
      <c r="H519" s="2">
        <v>2</v>
      </c>
      <c r="I519" s="2" t="str">
        <f>_xlfn.XLOOKUP(F519,customers!A:A,customers!B:B)</f>
        <v>Channa Belamy</v>
      </c>
      <c r="J519" s="2">
        <f>_xlfn.XLOOKUP(F519,customers!A:A,customers!C:C)</f>
        <v>0</v>
      </c>
      <c r="K519" s="2" t="str">
        <f>_xlfn.XLOOKUP(F519,customers!A:A,customers!F:F)</f>
        <v>Lakeland</v>
      </c>
      <c r="L519" s="2" t="str">
        <f>_xlfn.XLOOKUP(F519,customers!A:A,customers!G:G)</f>
        <v>United States</v>
      </c>
      <c r="M519" t="str">
        <f>_xlfn.XLOOKUP(G519,products!A:A,products!B:B)</f>
        <v>Lib</v>
      </c>
      <c r="N519" t="str">
        <f>_xlfn.XLOOKUP(G519,products!A:A,products!C:C)</f>
        <v>D</v>
      </c>
      <c r="O519">
        <f>_xlfn.XLOOKUP(G519,products!A:A,products!D:D)</f>
        <v>0.2</v>
      </c>
      <c r="P519">
        <f>_xlfn.XLOOKUP(G519,products!A:A,products!E:E)</f>
        <v>3.8849999999999998</v>
      </c>
      <c r="Q519">
        <f t="shared" si="35"/>
        <v>7.77</v>
      </c>
      <c r="R519" t="str" cm="1">
        <f t="array" ref="R519">_xlfn.IFS(Q519&lt;=50,"low sales",Q519&lt;=100,"medium sales",Q519&gt;100,"High sales")</f>
        <v>low sales</v>
      </c>
    </row>
    <row r="520" spans="1:18" x14ac:dyDescent="0.35">
      <c r="A520" s="2" t="s">
        <v>3418</v>
      </c>
      <c r="B520" s="3">
        <v>44194</v>
      </c>
      <c r="C520" s="3" t="str">
        <f t="shared" si="32"/>
        <v>Tuesday</v>
      </c>
      <c r="D520" s="3" t="str">
        <f t="shared" si="33"/>
        <v>December</v>
      </c>
      <c r="E520" s="3" t="str">
        <f t="shared" si="34"/>
        <v>2020</v>
      </c>
      <c r="F520" s="2" t="s">
        <v>3419</v>
      </c>
      <c r="G520" t="s">
        <v>6185</v>
      </c>
      <c r="H520" s="2">
        <v>5</v>
      </c>
      <c r="I520" s="2" t="str">
        <f>_xlfn.XLOOKUP(F520,customers!A:A,customers!B:B)</f>
        <v>Karl Imorts</v>
      </c>
      <c r="J520" s="2" t="str">
        <f>_xlfn.XLOOKUP(F520,customers!A:A,customers!C:C)</f>
        <v>kimortsee@alexa.com</v>
      </c>
      <c r="K520" s="2" t="str">
        <f>_xlfn.XLOOKUP(F520,customers!A:A,customers!F:F)</f>
        <v>Melbourne</v>
      </c>
      <c r="L520" s="2" t="str">
        <f>_xlfn.XLOOKUP(F520,customers!A:A,customers!G:G)</f>
        <v>United States</v>
      </c>
      <c r="M520" t="str">
        <f>_xlfn.XLOOKUP(G520,products!A:A,products!B:B)</f>
        <v>Exc</v>
      </c>
      <c r="N520" t="str">
        <f>_xlfn.XLOOKUP(G520,products!A:A,products!C:C)</f>
        <v>D</v>
      </c>
      <c r="O520">
        <f>_xlfn.XLOOKUP(G520,products!A:A,products!D:D)</f>
        <v>2.5</v>
      </c>
      <c r="P520">
        <f>_xlfn.XLOOKUP(G520,products!A:A,products!E:E)</f>
        <v>27.945</v>
      </c>
      <c r="Q520">
        <f t="shared" si="35"/>
        <v>139.72499999999999</v>
      </c>
      <c r="R520" t="str" cm="1">
        <f t="array" ref="R520">_xlfn.IFS(Q520&lt;=50,"low sales",Q520&lt;=100,"medium sales",Q520&gt;100,"High sales")</f>
        <v>High sales</v>
      </c>
    </row>
    <row r="521" spans="1:18" x14ac:dyDescent="0.35">
      <c r="A521" s="2" t="s">
        <v>3424</v>
      </c>
      <c r="B521" s="3">
        <v>44026</v>
      </c>
      <c r="C521" s="3" t="str">
        <f t="shared" si="32"/>
        <v>Tuesday</v>
      </c>
      <c r="D521" s="3" t="str">
        <f t="shared" si="33"/>
        <v>July</v>
      </c>
      <c r="E521" s="3" t="str">
        <f t="shared" si="34"/>
        <v>2020</v>
      </c>
      <c r="F521" s="2" t="s">
        <v>3368</v>
      </c>
      <c r="G521" t="s">
        <v>6158</v>
      </c>
      <c r="H521" s="2">
        <v>2</v>
      </c>
      <c r="I521" s="2" t="str">
        <f>_xlfn.XLOOKUP(F521,customers!A:A,customers!B:B)</f>
        <v>Marja Urion</v>
      </c>
      <c r="J521" s="2" t="str">
        <f>_xlfn.XLOOKUP(F521,customers!A:A,customers!C:C)</f>
        <v>murione5@alexa.com</v>
      </c>
      <c r="K521" s="2" t="str">
        <f>_xlfn.XLOOKUP(F521,customers!A:A,customers!F:F)</f>
        <v>Virginia</v>
      </c>
      <c r="L521" s="2" t="str">
        <f>_xlfn.XLOOKUP(F521,customers!A:A,customers!G:G)</f>
        <v>Ireland</v>
      </c>
      <c r="M521" t="str">
        <f>_xlfn.XLOOKUP(G521,products!A:A,products!B:B)</f>
        <v>Ara</v>
      </c>
      <c r="N521" t="str">
        <f>_xlfn.XLOOKUP(G521,products!A:A,products!C:C)</f>
        <v>D</v>
      </c>
      <c r="O521">
        <f>_xlfn.XLOOKUP(G521,products!A:A,products!D:D)</f>
        <v>0.5</v>
      </c>
      <c r="P521">
        <f>_xlfn.XLOOKUP(G521,products!A:A,products!E:E)</f>
        <v>5.97</v>
      </c>
      <c r="Q521">
        <f t="shared" si="35"/>
        <v>11.94</v>
      </c>
      <c r="R521" t="str" cm="1">
        <f t="array" ref="R521">_xlfn.IFS(Q521&lt;=50,"low sales",Q521&lt;=100,"medium sales",Q521&gt;100,"High sales")</f>
        <v>low sales</v>
      </c>
    </row>
    <row r="522" spans="1:18" x14ac:dyDescent="0.35">
      <c r="A522" s="2" t="s">
        <v>3430</v>
      </c>
      <c r="B522" s="3">
        <v>44446</v>
      </c>
      <c r="C522" s="3" t="str">
        <f t="shared" si="32"/>
        <v>Tuesday</v>
      </c>
      <c r="D522" s="3" t="str">
        <f t="shared" si="33"/>
        <v>September</v>
      </c>
      <c r="E522" s="3" t="str">
        <f t="shared" si="34"/>
        <v>2021</v>
      </c>
      <c r="F522" s="2" t="s">
        <v>3431</v>
      </c>
      <c r="G522" t="s">
        <v>6150</v>
      </c>
      <c r="H522" s="2">
        <v>1</v>
      </c>
      <c r="I522" s="2" t="str">
        <f>_xlfn.XLOOKUP(F522,customers!A:A,customers!B:B)</f>
        <v>Mag Armistead</v>
      </c>
      <c r="J522" s="2" t="str">
        <f>_xlfn.XLOOKUP(F522,customers!A:A,customers!C:C)</f>
        <v>marmisteadeg@blogtalkradio.com</v>
      </c>
      <c r="K522" s="2" t="str">
        <f>_xlfn.XLOOKUP(F522,customers!A:A,customers!F:F)</f>
        <v>New Orleans</v>
      </c>
      <c r="L522" s="2" t="str">
        <f>_xlfn.XLOOKUP(F522,customers!A:A,customers!G:G)</f>
        <v>United States</v>
      </c>
      <c r="M522" t="str">
        <f>_xlfn.XLOOKUP(G522,products!A:A,products!B:B)</f>
        <v>Lib</v>
      </c>
      <c r="N522" t="str">
        <f>_xlfn.XLOOKUP(G522,products!A:A,products!C:C)</f>
        <v>D</v>
      </c>
      <c r="O522">
        <f>_xlfn.XLOOKUP(G522,products!A:A,products!D:D)</f>
        <v>0.2</v>
      </c>
      <c r="P522">
        <f>_xlfn.XLOOKUP(G522,products!A:A,products!E:E)</f>
        <v>3.8849999999999998</v>
      </c>
      <c r="Q522">
        <f t="shared" si="35"/>
        <v>3.8849999999999998</v>
      </c>
      <c r="R522" t="str" cm="1">
        <f t="array" ref="R522">_xlfn.IFS(Q522&lt;=50,"low sales",Q522&lt;=100,"medium sales",Q522&gt;100,"High sales")</f>
        <v>low sales</v>
      </c>
    </row>
    <row r="523" spans="1:18" x14ac:dyDescent="0.35">
      <c r="A523" s="2" t="s">
        <v>3430</v>
      </c>
      <c r="B523" s="3">
        <v>44446</v>
      </c>
      <c r="C523" s="3" t="str">
        <f t="shared" si="32"/>
        <v>Tuesday</v>
      </c>
      <c r="D523" s="3" t="str">
        <f t="shared" si="33"/>
        <v>September</v>
      </c>
      <c r="E523" s="3" t="str">
        <f t="shared" si="34"/>
        <v>2021</v>
      </c>
      <c r="F523" s="2" t="s">
        <v>3431</v>
      </c>
      <c r="G523" t="s">
        <v>6138</v>
      </c>
      <c r="H523" s="2">
        <v>4</v>
      </c>
      <c r="I523" s="2" t="str">
        <f>_xlfn.XLOOKUP(F523,customers!A:A,customers!B:B)</f>
        <v>Mag Armistead</v>
      </c>
      <c r="J523" s="2" t="str">
        <f>_xlfn.XLOOKUP(F523,customers!A:A,customers!C:C)</f>
        <v>marmisteadeg@blogtalkradio.com</v>
      </c>
      <c r="K523" s="2" t="str">
        <f>_xlfn.XLOOKUP(F523,customers!A:A,customers!F:F)</f>
        <v>New Orleans</v>
      </c>
      <c r="L523" s="2" t="str">
        <f>_xlfn.XLOOKUP(F523,customers!A:A,customers!G:G)</f>
        <v>United States</v>
      </c>
      <c r="M523" t="str">
        <f>_xlfn.XLOOKUP(G523,products!A:A,products!B:B)</f>
        <v>Rob</v>
      </c>
      <c r="N523" t="str">
        <f>_xlfn.XLOOKUP(G523,products!A:A,products!C:C)</f>
        <v>M</v>
      </c>
      <c r="O523">
        <f>_xlfn.XLOOKUP(G523,products!A:A,products!D:D)</f>
        <v>1</v>
      </c>
      <c r="P523">
        <f>_xlfn.XLOOKUP(G523,products!A:A,products!E:E)</f>
        <v>9.9499999999999993</v>
      </c>
      <c r="Q523">
        <f t="shared" si="35"/>
        <v>39.799999999999997</v>
      </c>
      <c r="R523" t="str" cm="1">
        <f t="array" ref="R523">_xlfn.IFS(Q523&lt;=50,"low sales",Q523&lt;=100,"medium sales",Q523&gt;100,"High sales")</f>
        <v>low sales</v>
      </c>
    </row>
    <row r="524" spans="1:18" x14ac:dyDescent="0.35">
      <c r="A524" s="2" t="s">
        <v>3441</v>
      </c>
      <c r="B524" s="3">
        <v>43625</v>
      </c>
      <c r="C524" s="3" t="str">
        <f t="shared" si="32"/>
        <v>Sunday</v>
      </c>
      <c r="D524" s="3" t="str">
        <f t="shared" si="33"/>
        <v>June</v>
      </c>
      <c r="E524" s="3" t="str">
        <f t="shared" si="34"/>
        <v>2019</v>
      </c>
      <c r="F524" s="2" t="s">
        <v>3442</v>
      </c>
      <c r="G524" t="s">
        <v>6146</v>
      </c>
      <c r="H524" s="2">
        <v>5</v>
      </c>
      <c r="I524" s="2" t="str">
        <f>_xlfn.XLOOKUP(F524,customers!A:A,customers!B:B)</f>
        <v>Vasili Upstone</v>
      </c>
      <c r="J524" s="2" t="str">
        <f>_xlfn.XLOOKUP(F524,customers!A:A,customers!C:C)</f>
        <v>vupstoneei@google.pl</v>
      </c>
      <c r="K524" s="2" t="str">
        <f>_xlfn.XLOOKUP(F524,customers!A:A,customers!F:F)</f>
        <v>Topeka</v>
      </c>
      <c r="L524" s="2" t="str">
        <f>_xlfn.XLOOKUP(F524,customers!A:A,customers!G:G)</f>
        <v>United States</v>
      </c>
      <c r="M524" t="str">
        <f>_xlfn.XLOOKUP(G524,products!A:A,products!B:B)</f>
        <v>Rob</v>
      </c>
      <c r="N524" t="str">
        <f>_xlfn.XLOOKUP(G524,products!A:A,products!C:C)</f>
        <v>M</v>
      </c>
      <c r="O524">
        <f>_xlfn.XLOOKUP(G524,products!A:A,products!D:D)</f>
        <v>0.5</v>
      </c>
      <c r="P524">
        <f>_xlfn.XLOOKUP(G524,products!A:A,products!E:E)</f>
        <v>5.97</v>
      </c>
      <c r="Q524">
        <f t="shared" si="35"/>
        <v>29.849999999999998</v>
      </c>
      <c r="R524" t="str" cm="1">
        <f t="array" ref="R524">_xlfn.IFS(Q524&lt;=50,"low sales",Q524&lt;=100,"medium sales",Q524&gt;100,"High sales")</f>
        <v>low sales</v>
      </c>
    </row>
    <row r="525" spans="1:18" x14ac:dyDescent="0.35">
      <c r="A525" s="2" t="s">
        <v>3447</v>
      </c>
      <c r="B525" s="3">
        <v>44129</v>
      </c>
      <c r="C525" s="3" t="str">
        <f t="shared" si="32"/>
        <v>Sunday</v>
      </c>
      <c r="D525" s="3" t="str">
        <f t="shared" si="33"/>
        <v>October</v>
      </c>
      <c r="E525" s="3" t="str">
        <f t="shared" si="34"/>
        <v>2020</v>
      </c>
      <c r="F525" s="2" t="s">
        <v>3448</v>
      </c>
      <c r="G525" t="s">
        <v>6165</v>
      </c>
      <c r="H525" s="2">
        <v>1</v>
      </c>
      <c r="I525" s="2" t="str">
        <f>_xlfn.XLOOKUP(F525,customers!A:A,customers!B:B)</f>
        <v>Berty Beelby</v>
      </c>
      <c r="J525" s="2" t="str">
        <f>_xlfn.XLOOKUP(F525,customers!A:A,customers!C:C)</f>
        <v>bbeelbyej@rediff.com</v>
      </c>
      <c r="K525" s="2" t="str">
        <f>_xlfn.XLOOKUP(F525,customers!A:A,customers!F:F)</f>
        <v>Lucan</v>
      </c>
      <c r="L525" s="2" t="str">
        <f>_xlfn.XLOOKUP(F525,customers!A:A,customers!G:G)</f>
        <v>Ireland</v>
      </c>
      <c r="M525" t="str">
        <f>_xlfn.XLOOKUP(G525,products!A:A,products!B:B)</f>
        <v>Lib</v>
      </c>
      <c r="N525" t="str">
        <f>_xlfn.XLOOKUP(G525,products!A:A,products!C:C)</f>
        <v>D</v>
      </c>
      <c r="O525">
        <f>_xlfn.XLOOKUP(G525,products!A:A,products!D:D)</f>
        <v>2.5</v>
      </c>
      <c r="P525">
        <f>_xlfn.XLOOKUP(G525,products!A:A,products!E:E)</f>
        <v>29.784999999999997</v>
      </c>
      <c r="Q525">
        <f t="shared" si="35"/>
        <v>29.784999999999997</v>
      </c>
      <c r="R525" t="str" cm="1">
        <f t="array" ref="R525">_xlfn.IFS(Q525&lt;=50,"low sales",Q525&lt;=100,"medium sales",Q525&gt;100,"High sales")</f>
        <v>low sales</v>
      </c>
    </row>
    <row r="526" spans="1:18" x14ac:dyDescent="0.35">
      <c r="A526" s="2" t="s">
        <v>3453</v>
      </c>
      <c r="B526" s="3">
        <v>44255</v>
      </c>
      <c r="C526" s="3" t="str">
        <f t="shared" si="32"/>
        <v>Sunday</v>
      </c>
      <c r="D526" s="3" t="str">
        <f t="shared" si="33"/>
        <v>February</v>
      </c>
      <c r="E526" s="3" t="str">
        <f t="shared" si="34"/>
        <v>2021</v>
      </c>
      <c r="F526" s="2" t="s">
        <v>3454</v>
      </c>
      <c r="G526" t="s">
        <v>6164</v>
      </c>
      <c r="H526" s="2">
        <v>2</v>
      </c>
      <c r="I526" s="2" t="str">
        <f>_xlfn.XLOOKUP(F526,customers!A:A,customers!B:B)</f>
        <v>Erny Stenyng</v>
      </c>
      <c r="J526" s="2">
        <f>_xlfn.XLOOKUP(F526,customers!A:A,customers!C:C)</f>
        <v>0</v>
      </c>
      <c r="K526" s="2" t="str">
        <f>_xlfn.XLOOKUP(F526,customers!A:A,customers!F:F)</f>
        <v>Springfield</v>
      </c>
      <c r="L526" s="2" t="str">
        <f>_xlfn.XLOOKUP(F526,customers!A:A,customers!G:G)</f>
        <v>United States</v>
      </c>
      <c r="M526" t="str">
        <f>_xlfn.XLOOKUP(G526,products!A:A,products!B:B)</f>
        <v>Lib</v>
      </c>
      <c r="N526" t="str">
        <f>_xlfn.XLOOKUP(G526,products!A:A,products!C:C)</f>
        <v>L</v>
      </c>
      <c r="O526">
        <f>_xlfn.XLOOKUP(G526,products!A:A,products!D:D)</f>
        <v>2.5</v>
      </c>
      <c r="P526">
        <f>_xlfn.XLOOKUP(G526,products!A:A,products!E:E)</f>
        <v>36.454999999999998</v>
      </c>
      <c r="Q526">
        <f t="shared" si="35"/>
        <v>72.91</v>
      </c>
      <c r="R526" t="str" cm="1">
        <f t="array" ref="R526">_xlfn.IFS(Q526&lt;=50,"low sales",Q526&lt;=100,"medium sales",Q526&gt;100,"High sales")</f>
        <v>medium sales</v>
      </c>
    </row>
    <row r="527" spans="1:18" x14ac:dyDescent="0.35">
      <c r="A527" s="2" t="s">
        <v>3458</v>
      </c>
      <c r="B527" s="3">
        <v>44038</v>
      </c>
      <c r="C527" s="3" t="str">
        <f t="shared" si="32"/>
        <v>Sunday</v>
      </c>
      <c r="D527" s="3" t="str">
        <f t="shared" si="33"/>
        <v>July</v>
      </c>
      <c r="E527" s="3" t="str">
        <f t="shared" si="34"/>
        <v>2020</v>
      </c>
      <c r="F527" s="2" t="s">
        <v>3459</v>
      </c>
      <c r="G527" t="s">
        <v>6163</v>
      </c>
      <c r="H527" s="2">
        <v>5</v>
      </c>
      <c r="I527" s="2" t="str">
        <f>_xlfn.XLOOKUP(F527,customers!A:A,customers!B:B)</f>
        <v>Edin Yantsurev</v>
      </c>
      <c r="J527" s="2">
        <f>_xlfn.XLOOKUP(F527,customers!A:A,customers!C:C)</f>
        <v>0</v>
      </c>
      <c r="K527" s="2" t="str">
        <f>_xlfn.XLOOKUP(F527,customers!A:A,customers!F:F)</f>
        <v>Camden</v>
      </c>
      <c r="L527" s="2" t="str">
        <f>_xlfn.XLOOKUP(F527,customers!A:A,customers!G:G)</f>
        <v>United States</v>
      </c>
      <c r="M527" t="str">
        <f>_xlfn.XLOOKUP(G527,products!A:A,products!B:B)</f>
        <v>Rob</v>
      </c>
      <c r="N527" t="str">
        <f>_xlfn.XLOOKUP(G527,products!A:A,products!C:C)</f>
        <v>D</v>
      </c>
      <c r="O527">
        <f>_xlfn.XLOOKUP(G527,products!A:A,products!D:D)</f>
        <v>0.2</v>
      </c>
      <c r="P527">
        <f>_xlfn.XLOOKUP(G527,products!A:A,products!E:E)</f>
        <v>2.6849999999999996</v>
      </c>
      <c r="Q527">
        <f t="shared" si="35"/>
        <v>13.424999999999997</v>
      </c>
      <c r="R527" t="str" cm="1">
        <f t="array" ref="R527">_xlfn.IFS(Q527&lt;=50,"low sales",Q527&lt;=100,"medium sales",Q527&gt;100,"High sales")</f>
        <v>low sales</v>
      </c>
    </row>
    <row r="528" spans="1:18" x14ac:dyDescent="0.35">
      <c r="A528" s="2" t="s">
        <v>3463</v>
      </c>
      <c r="B528" s="3">
        <v>44717</v>
      </c>
      <c r="C528" s="3" t="str">
        <f t="shared" si="32"/>
        <v>Sunday</v>
      </c>
      <c r="D528" s="3" t="str">
        <f t="shared" si="33"/>
        <v>June</v>
      </c>
      <c r="E528" s="3" t="str">
        <f t="shared" si="34"/>
        <v>2022</v>
      </c>
      <c r="F528" s="2" t="s">
        <v>3464</v>
      </c>
      <c r="G528" t="s">
        <v>6166</v>
      </c>
      <c r="H528" s="2">
        <v>4</v>
      </c>
      <c r="I528" s="2" t="str">
        <f>_xlfn.XLOOKUP(F528,customers!A:A,customers!B:B)</f>
        <v>Webb Speechly</v>
      </c>
      <c r="J528" s="2" t="str">
        <f>_xlfn.XLOOKUP(F528,customers!A:A,customers!C:C)</f>
        <v>wspeechlyem@amazon.com</v>
      </c>
      <c r="K528" s="2" t="str">
        <f>_xlfn.XLOOKUP(F528,customers!A:A,customers!F:F)</f>
        <v>Seattle</v>
      </c>
      <c r="L528" s="2" t="str">
        <f>_xlfn.XLOOKUP(F528,customers!A:A,customers!G:G)</f>
        <v>United States</v>
      </c>
      <c r="M528" t="str">
        <f>_xlfn.XLOOKUP(G528,products!A:A,products!B:B)</f>
        <v>Exc</v>
      </c>
      <c r="N528" t="str">
        <f>_xlfn.XLOOKUP(G528,products!A:A,products!C:C)</f>
        <v>M</v>
      </c>
      <c r="O528">
        <f>_xlfn.XLOOKUP(G528,products!A:A,products!D:D)</f>
        <v>2.5</v>
      </c>
      <c r="P528">
        <f>_xlfn.XLOOKUP(G528,products!A:A,products!E:E)</f>
        <v>31.624999999999996</v>
      </c>
      <c r="Q528">
        <f t="shared" si="35"/>
        <v>126.49999999999999</v>
      </c>
      <c r="R528" t="str" cm="1">
        <f t="array" ref="R528">_xlfn.IFS(Q528&lt;=50,"low sales",Q528&lt;=100,"medium sales",Q528&gt;100,"High sales")</f>
        <v>High sales</v>
      </c>
    </row>
    <row r="529" spans="1:18" x14ac:dyDescent="0.35">
      <c r="A529" s="2" t="s">
        <v>3469</v>
      </c>
      <c r="B529" s="3">
        <v>43517</v>
      </c>
      <c r="C529" s="3" t="str">
        <f t="shared" si="32"/>
        <v>Thursday</v>
      </c>
      <c r="D529" s="3" t="str">
        <f t="shared" si="33"/>
        <v>February</v>
      </c>
      <c r="E529" s="3" t="str">
        <f t="shared" si="34"/>
        <v>2019</v>
      </c>
      <c r="F529" s="2" t="s">
        <v>3470</v>
      </c>
      <c r="G529" t="s">
        <v>6139</v>
      </c>
      <c r="H529" s="2">
        <v>5</v>
      </c>
      <c r="I529" s="2" t="str">
        <f>_xlfn.XLOOKUP(F529,customers!A:A,customers!B:B)</f>
        <v>Irvine Phillpot</v>
      </c>
      <c r="J529" s="2" t="str">
        <f>_xlfn.XLOOKUP(F529,customers!A:A,customers!C:C)</f>
        <v>iphillpoten@buzzfeed.com</v>
      </c>
      <c r="K529" s="2" t="str">
        <f>_xlfn.XLOOKUP(F529,customers!A:A,customers!F:F)</f>
        <v>Wootton</v>
      </c>
      <c r="L529" s="2" t="str">
        <f>_xlfn.XLOOKUP(F529,customers!A:A,customers!G:G)</f>
        <v>United Kingdom</v>
      </c>
      <c r="M529" t="str">
        <f>_xlfn.XLOOKUP(G529,products!A:A,products!B:B)</f>
        <v>Exc</v>
      </c>
      <c r="N529" t="str">
        <f>_xlfn.XLOOKUP(G529,products!A:A,products!C:C)</f>
        <v>M</v>
      </c>
      <c r="O529">
        <f>_xlfn.XLOOKUP(G529,products!A:A,products!D:D)</f>
        <v>0.5</v>
      </c>
      <c r="P529">
        <f>_xlfn.XLOOKUP(G529,products!A:A,products!E:E)</f>
        <v>8.25</v>
      </c>
      <c r="Q529">
        <f t="shared" si="35"/>
        <v>41.25</v>
      </c>
      <c r="R529" t="str" cm="1">
        <f t="array" ref="R529">_xlfn.IFS(Q529&lt;=50,"low sales",Q529&lt;=100,"medium sales",Q529&gt;100,"High sales")</f>
        <v>low sales</v>
      </c>
    </row>
    <row r="530" spans="1:18" x14ac:dyDescent="0.35">
      <c r="A530" s="2" t="s">
        <v>3475</v>
      </c>
      <c r="B530" s="3">
        <v>43926</v>
      </c>
      <c r="C530" s="3" t="str">
        <f t="shared" si="32"/>
        <v>Sunday</v>
      </c>
      <c r="D530" s="3" t="str">
        <f t="shared" si="33"/>
        <v>April</v>
      </c>
      <c r="E530" s="3" t="str">
        <f t="shared" si="34"/>
        <v>2020</v>
      </c>
      <c r="F530" s="2" t="s">
        <v>3476</v>
      </c>
      <c r="G530" t="s">
        <v>6176</v>
      </c>
      <c r="H530" s="2">
        <v>6</v>
      </c>
      <c r="I530" s="2" t="str">
        <f>_xlfn.XLOOKUP(F530,customers!A:A,customers!B:B)</f>
        <v>Lem Pennacci</v>
      </c>
      <c r="J530" s="2" t="str">
        <f>_xlfn.XLOOKUP(F530,customers!A:A,customers!C:C)</f>
        <v>lpennaccieo@statcounter.com</v>
      </c>
      <c r="K530" s="2" t="str">
        <f>_xlfn.XLOOKUP(F530,customers!A:A,customers!F:F)</f>
        <v>Waco</v>
      </c>
      <c r="L530" s="2" t="str">
        <f>_xlfn.XLOOKUP(F530,customers!A:A,customers!G:G)</f>
        <v>United States</v>
      </c>
      <c r="M530" t="str">
        <f>_xlfn.XLOOKUP(G530,products!A:A,products!B:B)</f>
        <v>Exc</v>
      </c>
      <c r="N530" t="str">
        <f>_xlfn.XLOOKUP(G530,products!A:A,products!C:C)</f>
        <v>L</v>
      </c>
      <c r="O530">
        <f>_xlfn.XLOOKUP(G530,products!A:A,products!D:D)</f>
        <v>0.5</v>
      </c>
      <c r="P530">
        <f>_xlfn.XLOOKUP(G530,products!A:A,products!E:E)</f>
        <v>8.91</v>
      </c>
      <c r="Q530">
        <f t="shared" si="35"/>
        <v>53.46</v>
      </c>
      <c r="R530" t="str" cm="1">
        <f t="array" ref="R530">_xlfn.IFS(Q530&lt;=50,"low sales",Q530&lt;=100,"medium sales",Q530&gt;100,"High sales")</f>
        <v>medium sales</v>
      </c>
    </row>
    <row r="531" spans="1:18" x14ac:dyDescent="0.35">
      <c r="A531" s="2" t="s">
        <v>3481</v>
      </c>
      <c r="B531" s="3">
        <v>43475</v>
      </c>
      <c r="C531" s="3" t="str">
        <f t="shared" si="32"/>
        <v>Thursday</v>
      </c>
      <c r="D531" s="3" t="str">
        <f t="shared" si="33"/>
        <v>January</v>
      </c>
      <c r="E531" s="3" t="str">
        <f t="shared" si="34"/>
        <v>2019</v>
      </c>
      <c r="F531" s="2" t="s">
        <v>3482</v>
      </c>
      <c r="G531" t="s">
        <v>6138</v>
      </c>
      <c r="H531" s="2">
        <v>6</v>
      </c>
      <c r="I531" s="2" t="str">
        <f>_xlfn.XLOOKUP(F531,customers!A:A,customers!B:B)</f>
        <v>Starr Arpin</v>
      </c>
      <c r="J531" s="2" t="str">
        <f>_xlfn.XLOOKUP(F531,customers!A:A,customers!C:C)</f>
        <v>sarpinep@moonfruit.com</v>
      </c>
      <c r="K531" s="2" t="str">
        <f>_xlfn.XLOOKUP(F531,customers!A:A,customers!F:F)</f>
        <v>Richmond</v>
      </c>
      <c r="L531" s="2" t="str">
        <f>_xlfn.XLOOKUP(F531,customers!A:A,customers!G:G)</f>
        <v>United States</v>
      </c>
      <c r="M531" t="str">
        <f>_xlfn.XLOOKUP(G531,products!A:A,products!B:B)</f>
        <v>Rob</v>
      </c>
      <c r="N531" t="str">
        <f>_xlfn.XLOOKUP(G531,products!A:A,products!C:C)</f>
        <v>M</v>
      </c>
      <c r="O531">
        <f>_xlfn.XLOOKUP(G531,products!A:A,products!D:D)</f>
        <v>1</v>
      </c>
      <c r="P531">
        <f>_xlfn.XLOOKUP(G531,products!A:A,products!E:E)</f>
        <v>9.9499999999999993</v>
      </c>
      <c r="Q531">
        <f t="shared" si="35"/>
        <v>59.699999999999996</v>
      </c>
      <c r="R531" t="str" cm="1">
        <f t="array" ref="R531">_xlfn.IFS(Q531&lt;=50,"low sales",Q531&lt;=100,"medium sales",Q531&gt;100,"High sales")</f>
        <v>medium sales</v>
      </c>
    </row>
    <row r="532" spans="1:18" x14ac:dyDescent="0.35">
      <c r="A532" s="2" t="s">
        <v>3487</v>
      </c>
      <c r="B532" s="3">
        <v>44663</v>
      </c>
      <c r="C532" s="3" t="str">
        <f t="shared" si="32"/>
        <v>Tuesday</v>
      </c>
      <c r="D532" s="3" t="str">
        <f t="shared" si="33"/>
        <v>April</v>
      </c>
      <c r="E532" s="3" t="str">
        <f t="shared" si="34"/>
        <v>2022</v>
      </c>
      <c r="F532" s="2" t="s">
        <v>3488</v>
      </c>
      <c r="G532" t="s">
        <v>6138</v>
      </c>
      <c r="H532" s="2">
        <v>6</v>
      </c>
      <c r="I532" s="2" t="str">
        <f>_xlfn.XLOOKUP(F532,customers!A:A,customers!B:B)</f>
        <v>Donny Fries</v>
      </c>
      <c r="J532" s="2" t="str">
        <f>_xlfn.XLOOKUP(F532,customers!A:A,customers!C:C)</f>
        <v>dfrieseq@cargocollective.com</v>
      </c>
      <c r="K532" s="2" t="str">
        <f>_xlfn.XLOOKUP(F532,customers!A:A,customers!F:F)</f>
        <v>Toledo</v>
      </c>
      <c r="L532" s="2" t="str">
        <f>_xlfn.XLOOKUP(F532,customers!A:A,customers!G:G)</f>
        <v>United States</v>
      </c>
      <c r="M532" t="str">
        <f>_xlfn.XLOOKUP(G532,products!A:A,products!B:B)</f>
        <v>Rob</v>
      </c>
      <c r="N532" t="str">
        <f>_xlfn.XLOOKUP(G532,products!A:A,products!C:C)</f>
        <v>M</v>
      </c>
      <c r="O532">
        <f>_xlfn.XLOOKUP(G532,products!A:A,products!D:D)</f>
        <v>1</v>
      </c>
      <c r="P532">
        <f>_xlfn.XLOOKUP(G532,products!A:A,products!E:E)</f>
        <v>9.9499999999999993</v>
      </c>
      <c r="Q532">
        <f t="shared" si="35"/>
        <v>59.699999999999996</v>
      </c>
      <c r="R532" t="str" cm="1">
        <f t="array" ref="R532">_xlfn.IFS(Q532&lt;=50,"low sales",Q532&lt;=100,"medium sales",Q532&gt;100,"High sales")</f>
        <v>medium sales</v>
      </c>
    </row>
    <row r="533" spans="1:18" x14ac:dyDescent="0.35">
      <c r="A533" s="2" t="s">
        <v>3493</v>
      </c>
      <c r="B533" s="3">
        <v>44591</v>
      </c>
      <c r="C533" s="3" t="str">
        <f t="shared" si="32"/>
        <v>Sunday</v>
      </c>
      <c r="D533" s="3" t="str">
        <f t="shared" si="33"/>
        <v>January</v>
      </c>
      <c r="E533" s="3" t="str">
        <f t="shared" si="34"/>
        <v>2022</v>
      </c>
      <c r="F533" s="2" t="s">
        <v>3494</v>
      </c>
      <c r="G533" t="s">
        <v>6177</v>
      </c>
      <c r="H533" s="2">
        <v>5</v>
      </c>
      <c r="I533" s="2" t="str">
        <f>_xlfn.XLOOKUP(F533,customers!A:A,customers!B:B)</f>
        <v>Rana Sharer</v>
      </c>
      <c r="J533" s="2" t="str">
        <f>_xlfn.XLOOKUP(F533,customers!A:A,customers!C:C)</f>
        <v>rsharerer@flavors.me</v>
      </c>
      <c r="K533" s="2" t="str">
        <f>_xlfn.XLOOKUP(F533,customers!A:A,customers!F:F)</f>
        <v>Huntington</v>
      </c>
      <c r="L533" s="2" t="str">
        <f>_xlfn.XLOOKUP(F533,customers!A:A,customers!G:G)</f>
        <v>United States</v>
      </c>
      <c r="M533" t="str">
        <f>_xlfn.XLOOKUP(G533,products!A:A,products!B:B)</f>
        <v>Rob</v>
      </c>
      <c r="N533" t="str">
        <f>_xlfn.XLOOKUP(G533,products!A:A,products!C:C)</f>
        <v>D</v>
      </c>
      <c r="O533">
        <f>_xlfn.XLOOKUP(G533,products!A:A,products!D:D)</f>
        <v>1</v>
      </c>
      <c r="P533">
        <f>_xlfn.XLOOKUP(G533,products!A:A,products!E:E)</f>
        <v>8.9499999999999993</v>
      </c>
      <c r="Q533">
        <f t="shared" si="35"/>
        <v>44.75</v>
      </c>
      <c r="R533" t="str" cm="1">
        <f t="array" ref="R533">_xlfn.IFS(Q533&lt;=50,"low sales",Q533&lt;=100,"medium sales",Q533&gt;100,"High sales")</f>
        <v>low sales</v>
      </c>
    </row>
    <row r="534" spans="1:18" x14ac:dyDescent="0.35">
      <c r="A534" s="2" t="s">
        <v>3499</v>
      </c>
      <c r="B534" s="3">
        <v>44330</v>
      </c>
      <c r="C534" s="3" t="str">
        <f t="shared" si="32"/>
        <v>Friday</v>
      </c>
      <c r="D534" s="3" t="str">
        <f t="shared" si="33"/>
        <v>May</v>
      </c>
      <c r="E534" s="3" t="str">
        <f t="shared" si="34"/>
        <v>2021</v>
      </c>
      <c r="F534" s="2" t="s">
        <v>3500</v>
      </c>
      <c r="G534" t="s">
        <v>6139</v>
      </c>
      <c r="H534" s="2">
        <v>2</v>
      </c>
      <c r="I534" s="2" t="str">
        <f>_xlfn.XLOOKUP(F534,customers!A:A,customers!B:B)</f>
        <v>Nannie Naseby</v>
      </c>
      <c r="J534" s="2" t="str">
        <f>_xlfn.XLOOKUP(F534,customers!A:A,customers!C:C)</f>
        <v>nnasebyes@umich.edu</v>
      </c>
      <c r="K534" s="2" t="str">
        <f>_xlfn.XLOOKUP(F534,customers!A:A,customers!F:F)</f>
        <v>Winter Haven</v>
      </c>
      <c r="L534" s="2" t="str">
        <f>_xlfn.XLOOKUP(F534,customers!A:A,customers!G:G)</f>
        <v>United States</v>
      </c>
      <c r="M534" t="str">
        <f>_xlfn.XLOOKUP(G534,products!A:A,products!B:B)</f>
        <v>Exc</v>
      </c>
      <c r="N534" t="str">
        <f>_xlfn.XLOOKUP(G534,products!A:A,products!C:C)</f>
        <v>M</v>
      </c>
      <c r="O534">
        <f>_xlfn.XLOOKUP(G534,products!A:A,products!D:D)</f>
        <v>0.5</v>
      </c>
      <c r="P534">
        <f>_xlfn.XLOOKUP(G534,products!A:A,products!E:E)</f>
        <v>8.25</v>
      </c>
      <c r="Q534">
        <f t="shared" si="35"/>
        <v>16.5</v>
      </c>
      <c r="R534" t="str" cm="1">
        <f t="array" ref="R534">_xlfn.IFS(Q534&lt;=50,"low sales",Q534&lt;=100,"medium sales",Q534&gt;100,"High sales")</f>
        <v>low sales</v>
      </c>
    </row>
    <row r="535" spans="1:18" x14ac:dyDescent="0.35">
      <c r="A535" s="2" t="s">
        <v>3505</v>
      </c>
      <c r="B535" s="3">
        <v>44724</v>
      </c>
      <c r="C535" s="3" t="str">
        <f t="shared" si="32"/>
        <v>Sunday</v>
      </c>
      <c r="D535" s="3" t="str">
        <f t="shared" si="33"/>
        <v>June</v>
      </c>
      <c r="E535" s="3" t="str">
        <f t="shared" si="34"/>
        <v>2022</v>
      </c>
      <c r="F535" s="2" t="s">
        <v>3506</v>
      </c>
      <c r="G535" t="s">
        <v>6172</v>
      </c>
      <c r="H535" s="2">
        <v>4</v>
      </c>
      <c r="I535" s="2" t="str">
        <f>_xlfn.XLOOKUP(F535,customers!A:A,customers!B:B)</f>
        <v>Rea Offell</v>
      </c>
      <c r="J535" s="2">
        <f>_xlfn.XLOOKUP(F535,customers!A:A,customers!C:C)</f>
        <v>0</v>
      </c>
      <c r="K535" s="2" t="str">
        <f>_xlfn.XLOOKUP(F535,customers!A:A,customers!F:F)</f>
        <v>Dallas</v>
      </c>
      <c r="L535" s="2" t="str">
        <f>_xlfn.XLOOKUP(F535,customers!A:A,customers!G:G)</f>
        <v>United States</v>
      </c>
      <c r="M535" t="str">
        <f>_xlfn.XLOOKUP(G535,products!A:A,products!B:B)</f>
        <v>Rob</v>
      </c>
      <c r="N535" t="str">
        <f>_xlfn.XLOOKUP(G535,products!A:A,products!C:C)</f>
        <v>D</v>
      </c>
      <c r="O535">
        <f>_xlfn.XLOOKUP(G535,products!A:A,products!D:D)</f>
        <v>0.5</v>
      </c>
      <c r="P535">
        <f>_xlfn.XLOOKUP(G535,products!A:A,products!E:E)</f>
        <v>5.3699999999999992</v>
      </c>
      <c r="Q535">
        <f t="shared" si="35"/>
        <v>21.479999999999997</v>
      </c>
      <c r="R535" t="str" cm="1">
        <f t="array" ref="R535">_xlfn.IFS(Q535&lt;=50,"low sales",Q535&lt;=100,"medium sales",Q535&gt;100,"High sales")</f>
        <v>low sales</v>
      </c>
    </row>
    <row r="536" spans="1:18" x14ac:dyDescent="0.35">
      <c r="A536" s="2" t="s">
        <v>3510</v>
      </c>
      <c r="B536" s="3">
        <v>44563</v>
      </c>
      <c r="C536" s="3" t="str">
        <f t="shared" si="32"/>
        <v>Sunday</v>
      </c>
      <c r="D536" s="3" t="str">
        <f t="shared" si="33"/>
        <v>January</v>
      </c>
      <c r="E536" s="3" t="str">
        <f t="shared" si="34"/>
        <v>2022</v>
      </c>
      <c r="F536" s="2" t="s">
        <v>3511</v>
      </c>
      <c r="G536" t="s">
        <v>6151</v>
      </c>
      <c r="H536" s="2">
        <v>2</v>
      </c>
      <c r="I536" s="2" t="str">
        <f>_xlfn.XLOOKUP(F536,customers!A:A,customers!B:B)</f>
        <v>Kris O'Cullen</v>
      </c>
      <c r="J536" s="2" t="str">
        <f>_xlfn.XLOOKUP(F536,customers!A:A,customers!C:C)</f>
        <v>koculleneu@ca.gov</v>
      </c>
      <c r="K536" s="2" t="str">
        <f>_xlfn.XLOOKUP(F536,customers!A:A,customers!F:F)</f>
        <v>Adare</v>
      </c>
      <c r="L536" s="2" t="str">
        <f>_xlfn.XLOOKUP(F536,customers!A:A,customers!G:G)</f>
        <v>Ireland</v>
      </c>
      <c r="M536" t="str">
        <f>_xlfn.XLOOKUP(G536,products!A:A,products!B:B)</f>
        <v>Rob</v>
      </c>
      <c r="N536" t="str">
        <f>_xlfn.XLOOKUP(G536,products!A:A,products!C:C)</f>
        <v>M</v>
      </c>
      <c r="O536">
        <f>_xlfn.XLOOKUP(G536,products!A:A,products!D:D)</f>
        <v>2.5</v>
      </c>
      <c r="P536">
        <f>_xlfn.XLOOKUP(G536,products!A:A,products!E:E)</f>
        <v>22.884999999999998</v>
      </c>
      <c r="Q536">
        <f t="shared" si="35"/>
        <v>45.769999999999996</v>
      </c>
      <c r="R536" t="str" cm="1">
        <f t="array" ref="R536">_xlfn.IFS(Q536&lt;=50,"low sales",Q536&lt;=100,"medium sales",Q536&gt;100,"High sales")</f>
        <v>low sales</v>
      </c>
    </row>
    <row r="537" spans="1:18" x14ac:dyDescent="0.35">
      <c r="A537" s="2" t="s">
        <v>3516</v>
      </c>
      <c r="B537" s="3">
        <v>44585</v>
      </c>
      <c r="C537" s="3" t="str">
        <f t="shared" si="32"/>
        <v>Monday</v>
      </c>
      <c r="D537" s="3" t="str">
        <f t="shared" si="33"/>
        <v>January</v>
      </c>
      <c r="E537" s="3" t="str">
        <f t="shared" si="34"/>
        <v>2022</v>
      </c>
      <c r="F537" s="2" t="s">
        <v>3517</v>
      </c>
      <c r="G537" t="s">
        <v>6145</v>
      </c>
      <c r="H537" s="2">
        <v>2</v>
      </c>
      <c r="I537" s="2" t="str">
        <f>_xlfn.XLOOKUP(F537,customers!A:A,customers!B:B)</f>
        <v>Timoteo Glisane</v>
      </c>
      <c r="J537" s="2">
        <f>_xlfn.XLOOKUP(F537,customers!A:A,customers!C:C)</f>
        <v>0</v>
      </c>
      <c r="K537" s="2" t="str">
        <f>_xlfn.XLOOKUP(F537,customers!A:A,customers!F:F)</f>
        <v>Ballivor</v>
      </c>
      <c r="L537" s="2" t="str">
        <f>_xlfn.XLOOKUP(F537,customers!A:A,customers!G:G)</f>
        <v>Ireland</v>
      </c>
      <c r="M537" t="str">
        <f>_xlfn.XLOOKUP(G537,products!A:A,products!B:B)</f>
        <v>Lib</v>
      </c>
      <c r="N537" t="str">
        <f>_xlfn.XLOOKUP(G537,products!A:A,products!C:C)</f>
        <v>L</v>
      </c>
      <c r="O537">
        <f>_xlfn.XLOOKUP(G537,products!A:A,products!D:D)</f>
        <v>0.2</v>
      </c>
      <c r="P537">
        <f>_xlfn.XLOOKUP(G537,products!A:A,products!E:E)</f>
        <v>4.7549999999999999</v>
      </c>
      <c r="Q537">
        <f t="shared" si="35"/>
        <v>9.51</v>
      </c>
      <c r="R537" t="str" cm="1">
        <f t="array" ref="R537">_xlfn.IFS(Q537&lt;=50,"low sales",Q537&lt;=100,"medium sales",Q537&gt;100,"High sales")</f>
        <v>low sales</v>
      </c>
    </row>
    <row r="538" spans="1:18" x14ac:dyDescent="0.35">
      <c r="A538" s="2" t="s">
        <v>3521</v>
      </c>
      <c r="B538" s="3">
        <v>43544</v>
      </c>
      <c r="C538" s="3" t="str">
        <f t="shared" si="32"/>
        <v>Wednesday</v>
      </c>
      <c r="D538" s="3" t="str">
        <f t="shared" si="33"/>
        <v>March</v>
      </c>
      <c r="E538" s="3" t="str">
        <f t="shared" si="34"/>
        <v>2019</v>
      </c>
      <c r="F538" s="2" t="s">
        <v>3368</v>
      </c>
      <c r="G538" t="s">
        <v>6163</v>
      </c>
      <c r="H538" s="2">
        <v>3</v>
      </c>
      <c r="I538" s="2" t="str">
        <f>_xlfn.XLOOKUP(F538,customers!A:A,customers!B:B)</f>
        <v>Marja Urion</v>
      </c>
      <c r="J538" s="2" t="str">
        <f>_xlfn.XLOOKUP(F538,customers!A:A,customers!C:C)</f>
        <v>murione5@alexa.com</v>
      </c>
      <c r="K538" s="2" t="str">
        <f>_xlfn.XLOOKUP(F538,customers!A:A,customers!F:F)</f>
        <v>Virginia</v>
      </c>
      <c r="L538" s="2" t="str">
        <f>_xlfn.XLOOKUP(F538,customers!A:A,customers!G:G)</f>
        <v>Ireland</v>
      </c>
      <c r="M538" t="str">
        <f>_xlfn.XLOOKUP(G538,products!A:A,products!B:B)</f>
        <v>Rob</v>
      </c>
      <c r="N538" t="str">
        <f>_xlfn.XLOOKUP(G538,products!A:A,products!C:C)</f>
        <v>D</v>
      </c>
      <c r="O538">
        <f>_xlfn.XLOOKUP(G538,products!A:A,products!D:D)</f>
        <v>0.2</v>
      </c>
      <c r="P538">
        <f>_xlfn.XLOOKUP(G538,products!A:A,products!E:E)</f>
        <v>2.6849999999999996</v>
      </c>
      <c r="Q538">
        <f t="shared" si="35"/>
        <v>8.0549999999999997</v>
      </c>
      <c r="R538" t="str" cm="1">
        <f t="array" ref="R538">_xlfn.IFS(Q538&lt;=50,"low sales",Q538&lt;=100,"medium sales",Q538&gt;100,"High sales")</f>
        <v>low sales</v>
      </c>
    </row>
    <row r="539" spans="1:18" x14ac:dyDescent="0.35">
      <c r="A539" s="2" t="s">
        <v>3527</v>
      </c>
      <c r="B539" s="3">
        <v>44156</v>
      </c>
      <c r="C539" s="3" t="str">
        <f t="shared" si="32"/>
        <v>Saturday</v>
      </c>
      <c r="D539" s="3" t="str">
        <f t="shared" si="33"/>
        <v>November</v>
      </c>
      <c r="E539" s="3" t="str">
        <f t="shared" si="34"/>
        <v>2020</v>
      </c>
      <c r="F539" s="2" t="s">
        <v>3528</v>
      </c>
      <c r="G539" t="s">
        <v>6185</v>
      </c>
      <c r="H539" s="2">
        <v>4</v>
      </c>
      <c r="I539" s="2" t="str">
        <f>_xlfn.XLOOKUP(F539,customers!A:A,customers!B:B)</f>
        <v>Hildegarde Brangan</v>
      </c>
      <c r="J539" s="2" t="str">
        <f>_xlfn.XLOOKUP(F539,customers!A:A,customers!C:C)</f>
        <v>hbranganex@woothemes.com</v>
      </c>
      <c r="K539" s="2" t="str">
        <f>_xlfn.XLOOKUP(F539,customers!A:A,customers!F:F)</f>
        <v>Evansville</v>
      </c>
      <c r="L539" s="2" t="str">
        <f>_xlfn.XLOOKUP(F539,customers!A:A,customers!G:G)</f>
        <v>United States</v>
      </c>
      <c r="M539" t="str">
        <f>_xlfn.XLOOKUP(G539,products!A:A,products!B:B)</f>
        <v>Exc</v>
      </c>
      <c r="N539" t="str">
        <f>_xlfn.XLOOKUP(G539,products!A:A,products!C:C)</f>
        <v>D</v>
      </c>
      <c r="O539">
        <f>_xlfn.XLOOKUP(G539,products!A:A,products!D:D)</f>
        <v>2.5</v>
      </c>
      <c r="P539">
        <f>_xlfn.XLOOKUP(G539,products!A:A,products!E:E)</f>
        <v>27.945</v>
      </c>
      <c r="Q539">
        <f t="shared" si="35"/>
        <v>111.78</v>
      </c>
      <c r="R539" t="str" cm="1">
        <f t="array" ref="R539">_xlfn.IFS(Q539&lt;=50,"low sales",Q539&lt;=100,"medium sales",Q539&gt;100,"High sales")</f>
        <v>High sales</v>
      </c>
    </row>
    <row r="540" spans="1:18" x14ac:dyDescent="0.35">
      <c r="A540" s="2" t="s">
        <v>3532</v>
      </c>
      <c r="B540" s="3">
        <v>44482</v>
      </c>
      <c r="C540" s="3" t="str">
        <f t="shared" si="32"/>
        <v>Wednesday</v>
      </c>
      <c r="D540" s="3" t="str">
        <f t="shared" si="33"/>
        <v>October</v>
      </c>
      <c r="E540" s="3" t="str">
        <f t="shared" si="34"/>
        <v>2021</v>
      </c>
      <c r="F540" s="2" t="s">
        <v>3533</v>
      </c>
      <c r="G540" t="s">
        <v>6163</v>
      </c>
      <c r="H540" s="2">
        <v>4</v>
      </c>
      <c r="I540" s="2" t="str">
        <f>_xlfn.XLOOKUP(F540,customers!A:A,customers!B:B)</f>
        <v>Amii Gallyon</v>
      </c>
      <c r="J540" s="2" t="str">
        <f>_xlfn.XLOOKUP(F540,customers!A:A,customers!C:C)</f>
        <v>agallyoney@engadget.com</v>
      </c>
      <c r="K540" s="2" t="str">
        <f>_xlfn.XLOOKUP(F540,customers!A:A,customers!F:F)</f>
        <v>Naperville</v>
      </c>
      <c r="L540" s="2" t="str">
        <f>_xlfn.XLOOKUP(F540,customers!A:A,customers!G:G)</f>
        <v>United States</v>
      </c>
      <c r="M540" t="str">
        <f>_xlfn.XLOOKUP(G540,products!A:A,products!B:B)</f>
        <v>Rob</v>
      </c>
      <c r="N540" t="str">
        <f>_xlfn.XLOOKUP(G540,products!A:A,products!C:C)</f>
        <v>D</v>
      </c>
      <c r="O540">
        <f>_xlfn.XLOOKUP(G540,products!A:A,products!D:D)</f>
        <v>0.2</v>
      </c>
      <c r="P540">
        <f>_xlfn.XLOOKUP(G540,products!A:A,products!E:E)</f>
        <v>2.6849999999999996</v>
      </c>
      <c r="Q540">
        <f t="shared" si="35"/>
        <v>10.739999999999998</v>
      </c>
      <c r="R540" t="str" cm="1">
        <f t="array" ref="R540">_xlfn.IFS(Q540&lt;=50,"low sales",Q540&lt;=100,"medium sales",Q540&gt;100,"High sales")</f>
        <v>low sales</v>
      </c>
    </row>
    <row r="541" spans="1:18" x14ac:dyDescent="0.35">
      <c r="A541" s="2" t="s">
        <v>3537</v>
      </c>
      <c r="B541" s="3">
        <v>44488</v>
      </c>
      <c r="C541" s="3" t="str">
        <f t="shared" si="32"/>
        <v>Tuesday</v>
      </c>
      <c r="D541" s="3" t="str">
        <f t="shared" si="33"/>
        <v>October</v>
      </c>
      <c r="E541" s="3" t="str">
        <f t="shared" si="34"/>
        <v>2021</v>
      </c>
      <c r="F541" s="2" t="s">
        <v>3538</v>
      </c>
      <c r="G541" t="s">
        <v>6172</v>
      </c>
      <c r="H541" s="2">
        <v>5</v>
      </c>
      <c r="I541" s="2" t="str">
        <f>_xlfn.XLOOKUP(F541,customers!A:A,customers!B:B)</f>
        <v>Birgit Domange</v>
      </c>
      <c r="J541" s="2" t="str">
        <f>_xlfn.XLOOKUP(F541,customers!A:A,customers!C:C)</f>
        <v>bdomangeez@yahoo.co.jp</v>
      </c>
      <c r="K541" s="2" t="str">
        <f>_xlfn.XLOOKUP(F541,customers!A:A,customers!F:F)</f>
        <v>Charleston</v>
      </c>
      <c r="L541" s="2" t="str">
        <f>_xlfn.XLOOKUP(F541,customers!A:A,customers!G:G)</f>
        <v>United States</v>
      </c>
      <c r="M541" t="str">
        <f>_xlfn.XLOOKUP(G541,products!A:A,products!B:B)</f>
        <v>Rob</v>
      </c>
      <c r="N541" t="str">
        <f>_xlfn.XLOOKUP(G541,products!A:A,products!C:C)</f>
        <v>D</v>
      </c>
      <c r="O541">
        <f>_xlfn.XLOOKUP(G541,products!A:A,products!D:D)</f>
        <v>0.5</v>
      </c>
      <c r="P541">
        <f>_xlfn.XLOOKUP(G541,products!A:A,products!E:E)</f>
        <v>5.3699999999999992</v>
      </c>
      <c r="Q541">
        <f t="shared" si="35"/>
        <v>26.849999999999994</v>
      </c>
      <c r="R541" t="str" cm="1">
        <f t="array" ref="R541">_xlfn.IFS(Q541&lt;=50,"low sales",Q541&lt;=100,"medium sales",Q541&gt;100,"High sales")</f>
        <v>low sales</v>
      </c>
    </row>
    <row r="542" spans="1:18" x14ac:dyDescent="0.35">
      <c r="A542" s="2" t="s">
        <v>3542</v>
      </c>
      <c r="B542" s="3">
        <v>43584</v>
      </c>
      <c r="C542" s="3" t="str">
        <f t="shared" si="32"/>
        <v>Monday</v>
      </c>
      <c r="D542" s="3" t="str">
        <f t="shared" si="33"/>
        <v>April</v>
      </c>
      <c r="E542" s="3" t="str">
        <f t="shared" si="34"/>
        <v>2019</v>
      </c>
      <c r="F542" s="2" t="s">
        <v>3543</v>
      </c>
      <c r="G542" t="s">
        <v>6170</v>
      </c>
      <c r="H542" s="2">
        <v>4</v>
      </c>
      <c r="I542" s="2" t="str">
        <f>_xlfn.XLOOKUP(F542,customers!A:A,customers!B:B)</f>
        <v>Killian Osler</v>
      </c>
      <c r="J542" s="2" t="str">
        <f>_xlfn.XLOOKUP(F542,customers!A:A,customers!C:C)</f>
        <v>koslerf0@gmpg.org</v>
      </c>
      <c r="K542" s="2" t="str">
        <f>_xlfn.XLOOKUP(F542,customers!A:A,customers!F:F)</f>
        <v>Lansing</v>
      </c>
      <c r="L542" s="2" t="str">
        <f>_xlfn.XLOOKUP(F542,customers!A:A,customers!G:G)</f>
        <v>United States</v>
      </c>
      <c r="M542" t="str">
        <f>_xlfn.XLOOKUP(G542,products!A:A,products!B:B)</f>
        <v>Lib</v>
      </c>
      <c r="N542" t="str">
        <f>_xlfn.XLOOKUP(G542,products!A:A,products!C:C)</f>
        <v>L</v>
      </c>
      <c r="O542">
        <f>_xlfn.XLOOKUP(G542,products!A:A,products!D:D)</f>
        <v>1</v>
      </c>
      <c r="P542">
        <f>_xlfn.XLOOKUP(G542,products!A:A,products!E:E)</f>
        <v>15.85</v>
      </c>
      <c r="Q542">
        <f t="shared" si="35"/>
        <v>63.4</v>
      </c>
      <c r="R542" t="str" cm="1">
        <f t="array" ref="R542">_xlfn.IFS(Q542&lt;=50,"low sales",Q542&lt;=100,"medium sales",Q542&gt;100,"High sales")</f>
        <v>medium sales</v>
      </c>
    </row>
    <row r="543" spans="1:18" x14ac:dyDescent="0.35">
      <c r="A543" s="2" t="s">
        <v>3548</v>
      </c>
      <c r="B543" s="3">
        <v>43750</v>
      </c>
      <c r="C543" s="3" t="str">
        <f t="shared" si="32"/>
        <v>Saturday</v>
      </c>
      <c r="D543" s="3" t="str">
        <f t="shared" si="33"/>
        <v>October</v>
      </c>
      <c r="E543" s="3" t="str">
        <f t="shared" si="34"/>
        <v>2019</v>
      </c>
      <c r="F543" s="2" t="s">
        <v>3549</v>
      </c>
      <c r="G543" t="s">
        <v>6168</v>
      </c>
      <c r="H543" s="2">
        <v>1</v>
      </c>
      <c r="I543" s="2" t="str">
        <f>_xlfn.XLOOKUP(F543,customers!A:A,customers!B:B)</f>
        <v>Lora Dukes</v>
      </c>
      <c r="J543" s="2">
        <f>_xlfn.XLOOKUP(F543,customers!A:A,customers!C:C)</f>
        <v>0</v>
      </c>
      <c r="K543" s="2" t="str">
        <f>_xlfn.XLOOKUP(F543,customers!A:A,customers!F:F)</f>
        <v>Boyle</v>
      </c>
      <c r="L543" s="2" t="str">
        <f>_xlfn.XLOOKUP(F543,customers!A:A,customers!G:G)</f>
        <v>Ireland</v>
      </c>
      <c r="M543" t="str">
        <f>_xlfn.XLOOKUP(G543,products!A:A,products!B:B)</f>
        <v>Ara</v>
      </c>
      <c r="N543" t="str">
        <f>_xlfn.XLOOKUP(G543,products!A:A,products!C:C)</f>
        <v>D</v>
      </c>
      <c r="O543">
        <f>_xlfn.XLOOKUP(G543,products!A:A,products!D:D)</f>
        <v>2.5</v>
      </c>
      <c r="P543">
        <f>_xlfn.XLOOKUP(G543,products!A:A,products!E:E)</f>
        <v>22.884999999999998</v>
      </c>
      <c r="Q543">
        <f t="shared" si="35"/>
        <v>22.884999999999998</v>
      </c>
      <c r="R543" t="str" cm="1">
        <f t="array" ref="R543">_xlfn.IFS(Q543&lt;=50,"low sales",Q543&lt;=100,"medium sales",Q543&gt;100,"High sales")</f>
        <v>low sales</v>
      </c>
    </row>
    <row r="544" spans="1:18" x14ac:dyDescent="0.35">
      <c r="A544" s="2" t="s">
        <v>3553</v>
      </c>
      <c r="B544" s="3">
        <v>44335</v>
      </c>
      <c r="C544" s="3" t="str">
        <f t="shared" si="32"/>
        <v>Wednesday</v>
      </c>
      <c r="D544" s="3" t="str">
        <f t="shared" si="33"/>
        <v>May</v>
      </c>
      <c r="E544" s="3" t="str">
        <f t="shared" si="34"/>
        <v>2021</v>
      </c>
      <c r="F544" s="2" t="s">
        <v>3554</v>
      </c>
      <c r="G544" t="s">
        <v>6175</v>
      </c>
      <c r="H544" s="2">
        <v>4</v>
      </c>
      <c r="I544" s="2" t="str">
        <f>_xlfn.XLOOKUP(F544,customers!A:A,customers!B:B)</f>
        <v>Zack Pellett</v>
      </c>
      <c r="J544" s="2" t="str">
        <f>_xlfn.XLOOKUP(F544,customers!A:A,customers!C:C)</f>
        <v>zpellettf2@dailymotion.com</v>
      </c>
      <c r="K544" s="2" t="str">
        <f>_xlfn.XLOOKUP(F544,customers!A:A,customers!F:F)</f>
        <v>Shreveport</v>
      </c>
      <c r="L544" s="2" t="str">
        <f>_xlfn.XLOOKUP(F544,customers!A:A,customers!G:G)</f>
        <v>United States</v>
      </c>
      <c r="M544" t="str">
        <f>_xlfn.XLOOKUP(G544,products!A:A,products!B:B)</f>
        <v>Ara</v>
      </c>
      <c r="N544" t="str">
        <f>_xlfn.XLOOKUP(G544,products!A:A,products!C:C)</f>
        <v>M</v>
      </c>
      <c r="O544">
        <f>_xlfn.XLOOKUP(G544,products!A:A,products!D:D)</f>
        <v>2.5</v>
      </c>
      <c r="P544">
        <f>_xlfn.XLOOKUP(G544,products!A:A,products!E:E)</f>
        <v>25.874999999999996</v>
      </c>
      <c r="Q544">
        <f t="shared" si="35"/>
        <v>103.49999999999999</v>
      </c>
      <c r="R544" t="str" cm="1">
        <f t="array" ref="R544">_xlfn.IFS(Q544&lt;=50,"low sales",Q544&lt;=100,"medium sales",Q544&gt;100,"High sales")</f>
        <v>High sales</v>
      </c>
    </row>
    <row r="545" spans="1:18" x14ac:dyDescent="0.35">
      <c r="A545" s="2" t="s">
        <v>3559</v>
      </c>
      <c r="B545" s="3">
        <v>44380</v>
      </c>
      <c r="C545" s="3" t="str">
        <f t="shared" si="32"/>
        <v>Saturday</v>
      </c>
      <c r="D545" s="3" t="str">
        <f t="shared" si="33"/>
        <v>July</v>
      </c>
      <c r="E545" s="3" t="str">
        <f t="shared" si="34"/>
        <v>2021</v>
      </c>
      <c r="F545" s="2" t="s">
        <v>3560</v>
      </c>
      <c r="G545" t="s">
        <v>6142</v>
      </c>
      <c r="H545" s="2">
        <v>2</v>
      </c>
      <c r="I545" s="2" t="str">
        <f>_xlfn.XLOOKUP(F545,customers!A:A,customers!B:B)</f>
        <v>Ilaire Sprakes</v>
      </c>
      <c r="J545" s="2" t="str">
        <f>_xlfn.XLOOKUP(F545,customers!A:A,customers!C:C)</f>
        <v>isprakesf3@spiegel.de</v>
      </c>
      <c r="K545" s="2" t="str">
        <f>_xlfn.XLOOKUP(F545,customers!A:A,customers!F:F)</f>
        <v>San Jose</v>
      </c>
      <c r="L545" s="2" t="str">
        <f>_xlfn.XLOOKUP(F545,customers!A:A,customers!G:G)</f>
        <v>United States</v>
      </c>
      <c r="M545" t="str">
        <f>_xlfn.XLOOKUP(G545,products!A:A,products!B:B)</f>
        <v>Rob</v>
      </c>
      <c r="N545" t="str">
        <f>_xlfn.XLOOKUP(G545,products!A:A,products!C:C)</f>
        <v>L</v>
      </c>
      <c r="O545">
        <f>_xlfn.XLOOKUP(G545,products!A:A,products!D:D)</f>
        <v>2.5</v>
      </c>
      <c r="P545">
        <f>_xlfn.XLOOKUP(G545,products!A:A,products!E:E)</f>
        <v>27.484999999999996</v>
      </c>
      <c r="Q545">
        <f t="shared" si="35"/>
        <v>54.969999999999992</v>
      </c>
      <c r="R545" t="str" cm="1">
        <f t="array" ref="R545">_xlfn.IFS(Q545&lt;=50,"low sales",Q545&lt;=100,"medium sales",Q545&gt;100,"High sales")</f>
        <v>medium sales</v>
      </c>
    </row>
    <row r="546" spans="1:18" x14ac:dyDescent="0.35">
      <c r="A546" s="2" t="s">
        <v>3565</v>
      </c>
      <c r="B546" s="3">
        <v>43869</v>
      </c>
      <c r="C546" s="3" t="str">
        <f t="shared" si="32"/>
        <v>Saturday</v>
      </c>
      <c r="D546" s="3" t="str">
        <f t="shared" si="33"/>
        <v>February</v>
      </c>
      <c r="E546" s="3" t="str">
        <f t="shared" si="34"/>
        <v>2020</v>
      </c>
      <c r="F546" s="2" t="s">
        <v>3566</v>
      </c>
      <c r="G546" t="s">
        <v>6180</v>
      </c>
      <c r="H546" s="2">
        <v>2</v>
      </c>
      <c r="I546" s="2" t="str">
        <f>_xlfn.XLOOKUP(F546,customers!A:A,customers!B:B)</f>
        <v>Heda Fromant</v>
      </c>
      <c r="J546" s="2" t="str">
        <f>_xlfn.XLOOKUP(F546,customers!A:A,customers!C:C)</f>
        <v>hfromantf4@ucsd.edu</v>
      </c>
      <c r="K546" s="2" t="str">
        <f>_xlfn.XLOOKUP(F546,customers!A:A,customers!F:F)</f>
        <v>Philadelphia</v>
      </c>
      <c r="L546" s="2" t="str">
        <f>_xlfn.XLOOKUP(F546,customers!A:A,customers!G:G)</f>
        <v>United States</v>
      </c>
      <c r="M546" t="str">
        <f>_xlfn.XLOOKUP(G546,products!A:A,products!B:B)</f>
        <v>Ara</v>
      </c>
      <c r="N546" t="str">
        <f>_xlfn.XLOOKUP(G546,products!A:A,products!C:C)</f>
        <v>L</v>
      </c>
      <c r="O546">
        <f>_xlfn.XLOOKUP(G546,products!A:A,products!D:D)</f>
        <v>0.5</v>
      </c>
      <c r="P546">
        <f>_xlfn.XLOOKUP(G546,products!A:A,products!E:E)</f>
        <v>7.77</v>
      </c>
      <c r="Q546">
        <f t="shared" si="35"/>
        <v>15.54</v>
      </c>
      <c r="R546" t="str" cm="1">
        <f t="array" ref="R546">_xlfn.IFS(Q546&lt;=50,"low sales",Q546&lt;=100,"medium sales",Q546&gt;100,"High sales")</f>
        <v>low sales</v>
      </c>
    </row>
    <row r="547" spans="1:18" x14ac:dyDescent="0.35">
      <c r="A547" s="2" t="s">
        <v>3571</v>
      </c>
      <c r="B547" s="3">
        <v>44120</v>
      </c>
      <c r="C547" s="3" t="str">
        <f t="shared" si="32"/>
        <v>Friday</v>
      </c>
      <c r="D547" s="3" t="str">
        <f t="shared" si="33"/>
        <v>October</v>
      </c>
      <c r="E547" s="3" t="str">
        <f t="shared" si="34"/>
        <v>2020</v>
      </c>
      <c r="F547" s="2" t="s">
        <v>3572</v>
      </c>
      <c r="G547" t="s">
        <v>6150</v>
      </c>
      <c r="H547" s="2">
        <v>4</v>
      </c>
      <c r="I547" s="2" t="str">
        <f>_xlfn.XLOOKUP(F547,customers!A:A,customers!B:B)</f>
        <v>Rufus Flear</v>
      </c>
      <c r="J547" s="2" t="str">
        <f>_xlfn.XLOOKUP(F547,customers!A:A,customers!C:C)</f>
        <v>rflearf5@artisteer.com</v>
      </c>
      <c r="K547" s="2" t="str">
        <f>_xlfn.XLOOKUP(F547,customers!A:A,customers!F:F)</f>
        <v>Sheffield</v>
      </c>
      <c r="L547" s="2" t="str">
        <f>_xlfn.XLOOKUP(F547,customers!A:A,customers!G:G)</f>
        <v>United Kingdom</v>
      </c>
      <c r="M547" t="str">
        <f>_xlfn.XLOOKUP(G547,products!A:A,products!B:B)</f>
        <v>Lib</v>
      </c>
      <c r="N547" t="str">
        <f>_xlfn.XLOOKUP(G547,products!A:A,products!C:C)</f>
        <v>D</v>
      </c>
      <c r="O547">
        <f>_xlfn.XLOOKUP(G547,products!A:A,products!D:D)</f>
        <v>0.2</v>
      </c>
      <c r="P547">
        <f>_xlfn.XLOOKUP(G547,products!A:A,products!E:E)</f>
        <v>3.8849999999999998</v>
      </c>
      <c r="Q547">
        <f t="shared" si="35"/>
        <v>15.54</v>
      </c>
      <c r="R547" t="str" cm="1">
        <f t="array" ref="R547">_xlfn.IFS(Q547&lt;=50,"low sales",Q547&lt;=100,"medium sales",Q547&gt;100,"High sales")</f>
        <v>low sales</v>
      </c>
    </row>
    <row r="548" spans="1:18" x14ac:dyDescent="0.35">
      <c r="A548" s="2" t="s">
        <v>3577</v>
      </c>
      <c r="B548" s="3">
        <v>44127</v>
      </c>
      <c r="C548" s="3" t="str">
        <f t="shared" si="32"/>
        <v>Friday</v>
      </c>
      <c r="D548" s="3" t="str">
        <f t="shared" si="33"/>
        <v>October</v>
      </c>
      <c r="E548" s="3" t="str">
        <f t="shared" si="34"/>
        <v>2020</v>
      </c>
      <c r="F548" s="2" t="s">
        <v>3578</v>
      </c>
      <c r="G548" t="s">
        <v>6185</v>
      </c>
      <c r="H548" s="2">
        <v>3</v>
      </c>
      <c r="I548" s="2" t="str">
        <f>_xlfn.XLOOKUP(F548,customers!A:A,customers!B:B)</f>
        <v>Dom Milella</v>
      </c>
      <c r="J548" s="2">
        <f>_xlfn.XLOOKUP(F548,customers!A:A,customers!C:C)</f>
        <v>0</v>
      </c>
      <c r="K548" s="2" t="str">
        <f>_xlfn.XLOOKUP(F548,customers!A:A,customers!F:F)</f>
        <v>Manorhamilton</v>
      </c>
      <c r="L548" s="2" t="str">
        <f>_xlfn.XLOOKUP(F548,customers!A:A,customers!G:G)</f>
        <v>Ireland</v>
      </c>
      <c r="M548" t="str">
        <f>_xlfn.XLOOKUP(G548,products!A:A,products!B:B)</f>
        <v>Exc</v>
      </c>
      <c r="N548" t="str">
        <f>_xlfn.XLOOKUP(G548,products!A:A,products!C:C)</f>
        <v>D</v>
      </c>
      <c r="O548">
        <f>_xlfn.XLOOKUP(G548,products!A:A,products!D:D)</f>
        <v>2.5</v>
      </c>
      <c r="P548">
        <f>_xlfn.XLOOKUP(G548,products!A:A,products!E:E)</f>
        <v>27.945</v>
      </c>
      <c r="Q548">
        <f t="shared" si="35"/>
        <v>83.835000000000008</v>
      </c>
      <c r="R548" t="str" cm="1">
        <f t="array" ref="R548">_xlfn.IFS(Q548&lt;=50,"low sales",Q548&lt;=100,"medium sales",Q548&gt;100,"High sales")</f>
        <v>medium sales</v>
      </c>
    </row>
    <row r="549" spans="1:18" x14ac:dyDescent="0.35">
      <c r="A549" s="2" t="s">
        <v>3582</v>
      </c>
      <c r="B549" s="3">
        <v>44265</v>
      </c>
      <c r="C549" s="3" t="str">
        <f t="shared" si="32"/>
        <v>Wednesday</v>
      </c>
      <c r="D549" s="3" t="str">
        <f t="shared" si="33"/>
        <v>March</v>
      </c>
      <c r="E549" s="3" t="str">
        <f t="shared" si="34"/>
        <v>2021</v>
      </c>
      <c r="F549" s="2" t="s">
        <v>3594</v>
      </c>
      <c r="G549" t="s">
        <v>6178</v>
      </c>
      <c r="H549" s="2">
        <v>3</v>
      </c>
      <c r="I549" s="2" t="str">
        <f>_xlfn.XLOOKUP(F549,customers!A:A,customers!B:B)</f>
        <v>Wilek Lightollers</v>
      </c>
      <c r="J549" s="2" t="str">
        <f>_xlfn.XLOOKUP(F549,customers!A:A,customers!C:C)</f>
        <v>wlightollersf9@baidu.com</v>
      </c>
      <c r="K549" s="2" t="str">
        <f>_xlfn.XLOOKUP(F549,customers!A:A,customers!F:F)</f>
        <v>New York City</v>
      </c>
      <c r="L549" s="2" t="str">
        <f>_xlfn.XLOOKUP(F549,customers!A:A,customers!G:G)</f>
        <v>United States</v>
      </c>
      <c r="M549" t="str">
        <f>_xlfn.XLOOKUP(G549,products!A:A,products!B:B)</f>
        <v>Rob</v>
      </c>
      <c r="N549" t="str">
        <f>_xlfn.XLOOKUP(G549,products!A:A,products!C:C)</f>
        <v>L</v>
      </c>
      <c r="O549">
        <f>_xlfn.XLOOKUP(G549,products!A:A,products!D:D)</f>
        <v>0.2</v>
      </c>
      <c r="P549">
        <f>_xlfn.XLOOKUP(G549,products!A:A,products!E:E)</f>
        <v>3.5849999999999995</v>
      </c>
      <c r="Q549">
        <f t="shared" si="35"/>
        <v>10.754999999999999</v>
      </c>
      <c r="R549" t="str" cm="1">
        <f t="array" ref="R549">_xlfn.IFS(Q549&lt;=50,"low sales",Q549&lt;=100,"medium sales",Q549&gt;100,"High sales")</f>
        <v>low sales</v>
      </c>
    </row>
    <row r="550" spans="1:18" x14ac:dyDescent="0.35">
      <c r="A550" s="2" t="s">
        <v>3587</v>
      </c>
      <c r="B550" s="3">
        <v>44384</v>
      </c>
      <c r="C550" s="3" t="str">
        <f t="shared" si="32"/>
        <v>Wednesday</v>
      </c>
      <c r="D550" s="3" t="str">
        <f t="shared" si="33"/>
        <v>July</v>
      </c>
      <c r="E550" s="3" t="str">
        <f t="shared" si="34"/>
        <v>2021</v>
      </c>
      <c r="F550" s="2" t="s">
        <v>3588</v>
      </c>
      <c r="G550" t="s">
        <v>6184</v>
      </c>
      <c r="H550" s="2">
        <v>3</v>
      </c>
      <c r="I550" s="2" t="str">
        <f>_xlfn.XLOOKUP(F550,customers!A:A,customers!B:B)</f>
        <v>Bette-ann Munden</v>
      </c>
      <c r="J550" s="2" t="str">
        <f>_xlfn.XLOOKUP(F550,customers!A:A,customers!C:C)</f>
        <v>bmundenf8@elpais.com</v>
      </c>
      <c r="K550" s="2" t="str">
        <f>_xlfn.XLOOKUP(F550,customers!A:A,customers!F:F)</f>
        <v>Oklahoma City</v>
      </c>
      <c r="L550" s="2" t="str">
        <f>_xlfn.XLOOKUP(F550,customers!A:A,customers!G:G)</f>
        <v>United States</v>
      </c>
      <c r="M550" t="str">
        <f>_xlfn.XLOOKUP(G550,products!A:A,products!B:B)</f>
        <v>Exc</v>
      </c>
      <c r="N550" t="str">
        <f>_xlfn.XLOOKUP(G550,products!A:A,products!C:C)</f>
        <v>L</v>
      </c>
      <c r="O550">
        <f>_xlfn.XLOOKUP(G550,products!A:A,products!D:D)</f>
        <v>0.2</v>
      </c>
      <c r="P550">
        <f>_xlfn.XLOOKUP(G550,products!A:A,products!E:E)</f>
        <v>4.4550000000000001</v>
      </c>
      <c r="Q550">
        <f t="shared" si="35"/>
        <v>13.365</v>
      </c>
      <c r="R550" t="str" cm="1">
        <f t="array" ref="R550">_xlfn.IFS(Q550&lt;=50,"low sales",Q550&lt;=100,"medium sales",Q550&gt;100,"High sales")</f>
        <v>low sales</v>
      </c>
    </row>
    <row r="551" spans="1:18" x14ac:dyDescent="0.35">
      <c r="A551" s="2" t="s">
        <v>3593</v>
      </c>
      <c r="B551" s="3">
        <v>44232</v>
      </c>
      <c r="C551" s="3" t="str">
        <f t="shared" si="32"/>
        <v>Friday</v>
      </c>
      <c r="D551" s="3" t="str">
        <f t="shared" si="33"/>
        <v>February</v>
      </c>
      <c r="E551" s="3" t="str">
        <f t="shared" si="34"/>
        <v>2021</v>
      </c>
      <c r="F551" s="2" t="s">
        <v>3594</v>
      </c>
      <c r="G551" t="s">
        <v>6184</v>
      </c>
      <c r="H551" s="2">
        <v>4</v>
      </c>
      <c r="I551" s="2" t="str">
        <f>_xlfn.XLOOKUP(F551,customers!A:A,customers!B:B)</f>
        <v>Wilek Lightollers</v>
      </c>
      <c r="J551" s="2" t="str">
        <f>_xlfn.XLOOKUP(F551,customers!A:A,customers!C:C)</f>
        <v>wlightollersf9@baidu.com</v>
      </c>
      <c r="K551" s="2" t="str">
        <f>_xlfn.XLOOKUP(F551,customers!A:A,customers!F:F)</f>
        <v>New York City</v>
      </c>
      <c r="L551" s="2" t="str">
        <f>_xlfn.XLOOKUP(F551,customers!A:A,customers!G:G)</f>
        <v>United States</v>
      </c>
      <c r="M551" t="str">
        <f>_xlfn.XLOOKUP(G551,products!A:A,products!B:B)</f>
        <v>Exc</v>
      </c>
      <c r="N551" t="str">
        <f>_xlfn.XLOOKUP(G551,products!A:A,products!C:C)</f>
        <v>L</v>
      </c>
      <c r="O551">
        <f>_xlfn.XLOOKUP(G551,products!A:A,products!D:D)</f>
        <v>0.2</v>
      </c>
      <c r="P551">
        <f>_xlfn.XLOOKUP(G551,products!A:A,products!E:E)</f>
        <v>4.4550000000000001</v>
      </c>
      <c r="Q551">
        <f t="shared" si="35"/>
        <v>17.82</v>
      </c>
      <c r="R551" t="str" cm="1">
        <f t="array" ref="R551">_xlfn.IFS(Q551&lt;=50,"low sales",Q551&lt;=100,"medium sales",Q551&gt;100,"High sales")</f>
        <v>low sales</v>
      </c>
    </row>
    <row r="552" spans="1:18" x14ac:dyDescent="0.35">
      <c r="A552" s="2" t="s">
        <v>3599</v>
      </c>
      <c r="B552" s="3">
        <v>44176</v>
      </c>
      <c r="C552" s="3" t="str">
        <f t="shared" si="32"/>
        <v>Friday</v>
      </c>
      <c r="D552" s="3" t="str">
        <f t="shared" si="33"/>
        <v>December</v>
      </c>
      <c r="E552" s="3" t="str">
        <f t="shared" si="34"/>
        <v>2020</v>
      </c>
      <c r="F552" s="2" t="s">
        <v>3600</v>
      </c>
      <c r="G552" t="s">
        <v>6150</v>
      </c>
      <c r="H552" s="2">
        <v>6</v>
      </c>
      <c r="I552" s="2" t="str">
        <f>_xlfn.XLOOKUP(F552,customers!A:A,customers!B:B)</f>
        <v>Nick Brakespear</v>
      </c>
      <c r="J552" s="2" t="str">
        <f>_xlfn.XLOOKUP(F552,customers!A:A,customers!C:C)</f>
        <v>nbrakespearfa@rediff.com</v>
      </c>
      <c r="K552" s="2" t="str">
        <f>_xlfn.XLOOKUP(F552,customers!A:A,customers!F:F)</f>
        <v>Newark</v>
      </c>
      <c r="L552" s="2" t="str">
        <f>_xlfn.XLOOKUP(F552,customers!A:A,customers!G:G)</f>
        <v>United States</v>
      </c>
      <c r="M552" t="str">
        <f>_xlfn.XLOOKUP(G552,products!A:A,products!B:B)</f>
        <v>Lib</v>
      </c>
      <c r="N552" t="str">
        <f>_xlfn.XLOOKUP(G552,products!A:A,products!C:C)</f>
        <v>D</v>
      </c>
      <c r="O552">
        <f>_xlfn.XLOOKUP(G552,products!A:A,products!D:D)</f>
        <v>0.2</v>
      </c>
      <c r="P552">
        <f>_xlfn.XLOOKUP(G552,products!A:A,products!E:E)</f>
        <v>3.8849999999999998</v>
      </c>
      <c r="Q552">
        <f t="shared" si="35"/>
        <v>23.31</v>
      </c>
      <c r="R552" t="str" cm="1">
        <f t="array" ref="R552">_xlfn.IFS(Q552&lt;=50,"low sales",Q552&lt;=100,"medium sales",Q552&gt;100,"High sales")</f>
        <v>low sales</v>
      </c>
    </row>
    <row r="553" spans="1:18" x14ac:dyDescent="0.35">
      <c r="A553" s="2" t="s">
        <v>3605</v>
      </c>
      <c r="B553" s="3">
        <v>44694</v>
      </c>
      <c r="C553" s="3" t="str">
        <f t="shared" si="32"/>
        <v>Friday</v>
      </c>
      <c r="D553" s="3" t="str">
        <f t="shared" si="33"/>
        <v>May</v>
      </c>
      <c r="E553" s="3" t="str">
        <f t="shared" si="34"/>
        <v>2022</v>
      </c>
      <c r="F553" s="2" t="s">
        <v>3606</v>
      </c>
      <c r="G553" t="s">
        <v>6153</v>
      </c>
      <c r="H553" s="2">
        <v>2</v>
      </c>
      <c r="I553" s="2" t="str">
        <f>_xlfn.XLOOKUP(F553,customers!A:A,customers!B:B)</f>
        <v>Malynda Glawsop</v>
      </c>
      <c r="J553" s="2" t="str">
        <f>_xlfn.XLOOKUP(F553,customers!A:A,customers!C:C)</f>
        <v>mglawsopfb@reverbnation.com</v>
      </c>
      <c r="K553" s="2" t="str">
        <f>_xlfn.XLOOKUP(F553,customers!A:A,customers!F:F)</f>
        <v>New Haven</v>
      </c>
      <c r="L553" s="2" t="str">
        <f>_xlfn.XLOOKUP(F553,customers!A:A,customers!G:G)</f>
        <v>United States</v>
      </c>
      <c r="M553" t="str">
        <f>_xlfn.XLOOKUP(G553,products!A:A,products!B:B)</f>
        <v>Exc</v>
      </c>
      <c r="N553" t="str">
        <f>_xlfn.XLOOKUP(G553,products!A:A,products!C:C)</f>
        <v>D</v>
      </c>
      <c r="O553">
        <f>_xlfn.XLOOKUP(G553,products!A:A,products!D:D)</f>
        <v>0.2</v>
      </c>
      <c r="P553">
        <f>_xlfn.XLOOKUP(G553,products!A:A,products!E:E)</f>
        <v>3.645</v>
      </c>
      <c r="Q553">
        <f t="shared" si="35"/>
        <v>7.29</v>
      </c>
      <c r="R553" t="str" cm="1">
        <f t="array" ref="R553">_xlfn.IFS(Q553&lt;=50,"low sales",Q553&lt;=100,"medium sales",Q553&gt;100,"High sales")</f>
        <v>low sales</v>
      </c>
    </row>
    <row r="554" spans="1:18" x14ac:dyDescent="0.35">
      <c r="A554" s="2" t="s">
        <v>3611</v>
      </c>
      <c r="B554" s="3">
        <v>43761</v>
      </c>
      <c r="C554" s="3" t="str">
        <f t="shared" si="32"/>
        <v>Wednesday</v>
      </c>
      <c r="D554" s="3" t="str">
        <f t="shared" si="33"/>
        <v>October</v>
      </c>
      <c r="E554" s="3" t="str">
        <f t="shared" si="34"/>
        <v>2019</v>
      </c>
      <c r="F554" s="2" t="s">
        <v>3612</v>
      </c>
      <c r="G554" t="s">
        <v>6184</v>
      </c>
      <c r="H554" s="2">
        <v>4</v>
      </c>
      <c r="I554" s="2" t="str">
        <f>_xlfn.XLOOKUP(F554,customers!A:A,customers!B:B)</f>
        <v>Granville Alberts</v>
      </c>
      <c r="J554" s="2" t="str">
        <f>_xlfn.XLOOKUP(F554,customers!A:A,customers!C:C)</f>
        <v>galbertsfc@etsy.com</v>
      </c>
      <c r="K554" s="2" t="str">
        <f>_xlfn.XLOOKUP(F554,customers!A:A,customers!F:F)</f>
        <v>Belfast</v>
      </c>
      <c r="L554" s="2" t="str">
        <f>_xlfn.XLOOKUP(F554,customers!A:A,customers!G:G)</f>
        <v>United Kingdom</v>
      </c>
      <c r="M554" t="str">
        <f>_xlfn.XLOOKUP(G554,products!A:A,products!B:B)</f>
        <v>Exc</v>
      </c>
      <c r="N554" t="str">
        <f>_xlfn.XLOOKUP(G554,products!A:A,products!C:C)</f>
        <v>L</v>
      </c>
      <c r="O554">
        <f>_xlfn.XLOOKUP(G554,products!A:A,products!D:D)</f>
        <v>0.2</v>
      </c>
      <c r="P554">
        <f>_xlfn.XLOOKUP(G554,products!A:A,products!E:E)</f>
        <v>4.4550000000000001</v>
      </c>
      <c r="Q554">
        <f t="shared" si="35"/>
        <v>17.82</v>
      </c>
      <c r="R554" t="str" cm="1">
        <f t="array" ref="R554">_xlfn.IFS(Q554&lt;=50,"low sales",Q554&lt;=100,"medium sales",Q554&gt;100,"High sales")</f>
        <v>low sales</v>
      </c>
    </row>
    <row r="555" spans="1:18" x14ac:dyDescent="0.35">
      <c r="A555" s="2" t="s">
        <v>3617</v>
      </c>
      <c r="B555" s="3">
        <v>44085</v>
      </c>
      <c r="C555" s="3" t="str">
        <f t="shared" si="32"/>
        <v>Friday</v>
      </c>
      <c r="D555" s="3" t="str">
        <f t="shared" si="33"/>
        <v>September</v>
      </c>
      <c r="E555" s="3" t="str">
        <f t="shared" si="34"/>
        <v>2020</v>
      </c>
      <c r="F555" s="2" t="s">
        <v>3618</v>
      </c>
      <c r="G555" t="s">
        <v>6141</v>
      </c>
      <c r="H555" s="2">
        <v>5</v>
      </c>
      <c r="I555" s="2" t="str">
        <f>_xlfn.XLOOKUP(F555,customers!A:A,customers!B:B)</f>
        <v>Vasily Polglase</v>
      </c>
      <c r="J555" s="2" t="str">
        <f>_xlfn.XLOOKUP(F555,customers!A:A,customers!C:C)</f>
        <v>vpolglasefd@about.me</v>
      </c>
      <c r="K555" s="2" t="str">
        <f>_xlfn.XLOOKUP(F555,customers!A:A,customers!F:F)</f>
        <v>Toledo</v>
      </c>
      <c r="L555" s="2" t="str">
        <f>_xlfn.XLOOKUP(F555,customers!A:A,customers!G:G)</f>
        <v>United States</v>
      </c>
      <c r="M555" t="str">
        <f>_xlfn.XLOOKUP(G555,products!A:A,products!B:B)</f>
        <v>Exc</v>
      </c>
      <c r="N555" t="str">
        <f>_xlfn.XLOOKUP(G555,products!A:A,products!C:C)</f>
        <v>M</v>
      </c>
      <c r="O555">
        <f>_xlfn.XLOOKUP(G555,products!A:A,products!D:D)</f>
        <v>1</v>
      </c>
      <c r="P555">
        <f>_xlfn.XLOOKUP(G555,products!A:A,products!E:E)</f>
        <v>13.75</v>
      </c>
      <c r="Q555">
        <f t="shared" si="35"/>
        <v>68.75</v>
      </c>
      <c r="R555" t="str" cm="1">
        <f t="array" ref="R555">_xlfn.IFS(Q555&lt;=50,"low sales",Q555&lt;=100,"medium sales",Q555&gt;100,"High sales")</f>
        <v>medium sales</v>
      </c>
    </row>
    <row r="556" spans="1:18" x14ac:dyDescent="0.35">
      <c r="A556" s="2" t="s">
        <v>3622</v>
      </c>
      <c r="B556" s="3">
        <v>43737</v>
      </c>
      <c r="C556" s="3" t="str">
        <f t="shared" si="32"/>
        <v>Sunday</v>
      </c>
      <c r="D556" s="3" t="str">
        <f t="shared" si="33"/>
        <v>September</v>
      </c>
      <c r="E556" s="3" t="str">
        <f t="shared" si="34"/>
        <v>2019</v>
      </c>
      <c r="F556" s="2" t="s">
        <v>3623</v>
      </c>
      <c r="G556" t="s">
        <v>6142</v>
      </c>
      <c r="H556" s="2">
        <v>2</v>
      </c>
      <c r="I556" s="2" t="str">
        <f>_xlfn.XLOOKUP(F556,customers!A:A,customers!B:B)</f>
        <v>Madelaine Sharples</v>
      </c>
      <c r="J556" s="2">
        <f>_xlfn.XLOOKUP(F556,customers!A:A,customers!C:C)</f>
        <v>0</v>
      </c>
      <c r="K556" s="2" t="str">
        <f>_xlfn.XLOOKUP(F556,customers!A:A,customers!F:F)</f>
        <v>Newton</v>
      </c>
      <c r="L556" s="2" t="str">
        <f>_xlfn.XLOOKUP(F556,customers!A:A,customers!G:G)</f>
        <v>United Kingdom</v>
      </c>
      <c r="M556" t="str">
        <f>_xlfn.XLOOKUP(G556,products!A:A,products!B:B)</f>
        <v>Rob</v>
      </c>
      <c r="N556" t="str">
        <f>_xlfn.XLOOKUP(G556,products!A:A,products!C:C)</f>
        <v>L</v>
      </c>
      <c r="O556">
        <f>_xlfn.XLOOKUP(G556,products!A:A,products!D:D)</f>
        <v>2.5</v>
      </c>
      <c r="P556">
        <f>_xlfn.XLOOKUP(G556,products!A:A,products!E:E)</f>
        <v>27.484999999999996</v>
      </c>
      <c r="Q556">
        <f t="shared" si="35"/>
        <v>54.969999999999992</v>
      </c>
      <c r="R556" t="str" cm="1">
        <f t="array" ref="R556">_xlfn.IFS(Q556&lt;=50,"low sales",Q556&lt;=100,"medium sales",Q556&gt;100,"High sales")</f>
        <v>medium sales</v>
      </c>
    </row>
    <row r="557" spans="1:18" x14ac:dyDescent="0.35">
      <c r="A557" s="2" t="s">
        <v>3627</v>
      </c>
      <c r="B557" s="3">
        <v>44258</v>
      </c>
      <c r="C557" s="3" t="str">
        <f t="shared" si="32"/>
        <v>Wednesday</v>
      </c>
      <c r="D557" s="3" t="str">
        <f t="shared" si="33"/>
        <v>March</v>
      </c>
      <c r="E557" s="3" t="str">
        <f t="shared" si="34"/>
        <v>2021</v>
      </c>
      <c r="F557" s="2" t="s">
        <v>3628</v>
      </c>
      <c r="G557" t="s">
        <v>6141</v>
      </c>
      <c r="H557" s="2">
        <v>6</v>
      </c>
      <c r="I557" s="2" t="str">
        <f>_xlfn.XLOOKUP(F557,customers!A:A,customers!B:B)</f>
        <v>Sigfrid Busch</v>
      </c>
      <c r="J557" s="2" t="str">
        <f>_xlfn.XLOOKUP(F557,customers!A:A,customers!C:C)</f>
        <v>sbuschff@so-net.ne.jp</v>
      </c>
      <c r="K557" s="2" t="str">
        <f>_xlfn.XLOOKUP(F557,customers!A:A,customers!F:F)</f>
        <v>Bantry</v>
      </c>
      <c r="L557" s="2" t="str">
        <f>_xlfn.XLOOKUP(F557,customers!A:A,customers!G:G)</f>
        <v>Ireland</v>
      </c>
      <c r="M557" t="str">
        <f>_xlfn.XLOOKUP(G557,products!A:A,products!B:B)</f>
        <v>Exc</v>
      </c>
      <c r="N557" t="str">
        <f>_xlfn.XLOOKUP(G557,products!A:A,products!C:C)</f>
        <v>M</v>
      </c>
      <c r="O557">
        <f>_xlfn.XLOOKUP(G557,products!A:A,products!D:D)</f>
        <v>1</v>
      </c>
      <c r="P557">
        <f>_xlfn.XLOOKUP(G557,products!A:A,products!E:E)</f>
        <v>13.75</v>
      </c>
      <c r="Q557">
        <f t="shared" si="35"/>
        <v>82.5</v>
      </c>
      <c r="R557" t="str" cm="1">
        <f t="array" ref="R557">_xlfn.IFS(Q557&lt;=50,"low sales",Q557&lt;=100,"medium sales",Q557&gt;100,"High sales")</f>
        <v>medium sales</v>
      </c>
    </row>
    <row r="558" spans="1:18" x14ac:dyDescent="0.35">
      <c r="A558" s="2" t="s">
        <v>3633</v>
      </c>
      <c r="B558" s="3">
        <v>44523</v>
      </c>
      <c r="C558" s="3" t="str">
        <f t="shared" si="32"/>
        <v>Tuesday</v>
      </c>
      <c r="D558" s="3" t="str">
        <f t="shared" si="33"/>
        <v>November</v>
      </c>
      <c r="E558" s="3" t="str">
        <f t="shared" si="34"/>
        <v>2021</v>
      </c>
      <c r="F558" s="2" t="s">
        <v>3634</v>
      </c>
      <c r="G558" t="s">
        <v>6159</v>
      </c>
      <c r="H558" s="2">
        <v>2</v>
      </c>
      <c r="I558" s="2" t="str">
        <f>_xlfn.XLOOKUP(F558,customers!A:A,customers!B:B)</f>
        <v>Cissiee Raisbeck</v>
      </c>
      <c r="J558" s="2" t="str">
        <f>_xlfn.XLOOKUP(F558,customers!A:A,customers!C:C)</f>
        <v>craisbeckfg@webnode.com</v>
      </c>
      <c r="K558" s="2" t="str">
        <f>_xlfn.XLOOKUP(F558,customers!A:A,customers!F:F)</f>
        <v>Shreveport</v>
      </c>
      <c r="L558" s="2" t="str">
        <f>_xlfn.XLOOKUP(F558,customers!A:A,customers!G:G)</f>
        <v>United States</v>
      </c>
      <c r="M558" t="str">
        <f>_xlfn.XLOOKUP(G558,products!A:A,products!B:B)</f>
        <v>Lib</v>
      </c>
      <c r="N558" t="str">
        <f>_xlfn.XLOOKUP(G558,products!A:A,products!C:C)</f>
        <v>M</v>
      </c>
      <c r="O558">
        <f>_xlfn.XLOOKUP(G558,products!A:A,products!D:D)</f>
        <v>0.2</v>
      </c>
      <c r="P558">
        <f>_xlfn.XLOOKUP(G558,products!A:A,products!E:E)</f>
        <v>4.3650000000000002</v>
      </c>
      <c r="Q558">
        <f t="shared" si="35"/>
        <v>8.73</v>
      </c>
      <c r="R558" t="str" cm="1">
        <f t="array" ref="R558">_xlfn.IFS(Q558&lt;=50,"low sales",Q558&lt;=100,"medium sales",Q558&gt;100,"High sales")</f>
        <v>low sales</v>
      </c>
    </row>
    <row r="559" spans="1:18" x14ac:dyDescent="0.35">
      <c r="A559" s="2" t="s">
        <v>3638</v>
      </c>
      <c r="B559" s="3">
        <v>44506</v>
      </c>
      <c r="C559" s="3" t="str">
        <f t="shared" si="32"/>
        <v>Saturday</v>
      </c>
      <c r="D559" s="3" t="str">
        <f t="shared" si="33"/>
        <v>November</v>
      </c>
      <c r="E559" s="3" t="str">
        <f t="shared" si="34"/>
        <v>2021</v>
      </c>
      <c r="F559" s="2" t="s">
        <v>3368</v>
      </c>
      <c r="G559" t="s">
        <v>6171</v>
      </c>
      <c r="H559" s="2">
        <v>4</v>
      </c>
      <c r="I559" s="2" t="str">
        <f>_xlfn.XLOOKUP(F559,customers!A:A,customers!B:B)</f>
        <v>Marja Urion</v>
      </c>
      <c r="J559" s="2" t="str">
        <f>_xlfn.XLOOKUP(F559,customers!A:A,customers!C:C)</f>
        <v>murione5@alexa.com</v>
      </c>
      <c r="K559" s="2" t="str">
        <f>_xlfn.XLOOKUP(F559,customers!A:A,customers!F:F)</f>
        <v>Virginia</v>
      </c>
      <c r="L559" s="2" t="str">
        <f>_xlfn.XLOOKUP(F559,customers!A:A,customers!G:G)</f>
        <v>Ireland</v>
      </c>
      <c r="M559" t="str">
        <f>_xlfn.XLOOKUP(G559,products!A:A,products!B:B)</f>
        <v>Exc</v>
      </c>
      <c r="N559" t="str">
        <f>_xlfn.XLOOKUP(G559,products!A:A,products!C:C)</f>
        <v>L</v>
      </c>
      <c r="O559">
        <f>_xlfn.XLOOKUP(G559,products!A:A,products!D:D)</f>
        <v>1</v>
      </c>
      <c r="P559">
        <f>_xlfn.XLOOKUP(G559,products!A:A,products!E:E)</f>
        <v>14.85</v>
      </c>
      <c r="Q559">
        <f t="shared" si="35"/>
        <v>59.4</v>
      </c>
      <c r="R559" t="str" cm="1">
        <f t="array" ref="R559">_xlfn.IFS(Q559&lt;=50,"low sales",Q559&lt;=100,"medium sales",Q559&gt;100,"High sales")</f>
        <v>medium sales</v>
      </c>
    </row>
    <row r="560" spans="1:18" x14ac:dyDescent="0.35">
      <c r="A560" s="2" t="s">
        <v>3643</v>
      </c>
      <c r="B560" s="3">
        <v>44225</v>
      </c>
      <c r="C560" s="3" t="str">
        <f t="shared" si="32"/>
        <v>Friday</v>
      </c>
      <c r="D560" s="3" t="str">
        <f t="shared" si="33"/>
        <v>January</v>
      </c>
      <c r="E560" s="3" t="str">
        <f t="shared" si="34"/>
        <v>2021</v>
      </c>
      <c r="F560" s="2" t="s">
        <v>3644</v>
      </c>
      <c r="G560" t="s">
        <v>6150</v>
      </c>
      <c r="H560" s="2">
        <v>4</v>
      </c>
      <c r="I560" s="2" t="str">
        <f>_xlfn.XLOOKUP(F560,customers!A:A,customers!B:B)</f>
        <v>Kenton Wetherick</v>
      </c>
      <c r="J560" s="2">
        <f>_xlfn.XLOOKUP(F560,customers!A:A,customers!C:C)</f>
        <v>0</v>
      </c>
      <c r="K560" s="2" t="str">
        <f>_xlfn.XLOOKUP(F560,customers!A:A,customers!F:F)</f>
        <v>Lexington</v>
      </c>
      <c r="L560" s="2" t="str">
        <f>_xlfn.XLOOKUP(F560,customers!A:A,customers!G:G)</f>
        <v>United States</v>
      </c>
      <c r="M560" t="str">
        <f>_xlfn.XLOOKUP(G560,products!A:A,products!B:B)</f>
        <v>Lib</v>
      </c>
      <c r="N560" t="str">
        <f>_xlfn.XLOOKUP(G560,products!A:A,products!C:C)</f>
        <v>D</v>
      </c>
      <c r="O560">
        <f>_xlfn.XLOOKUP(G560,products!A:A,products!D:D)</f>
        <v>0.2</v>
      </c>
      <c r="P560">
        <f>_xlfn.XLOOKUP(G560,products!A:A,products!E:E)</f>
        <v>3.8849999999999998</v>
      </c>
      <c r="Q560">
        <f t="shared" si="35"/>
        <v>15.54</v>
      </c>
      <c r="R560" t="str" cm="1">
        <f t="array" ref="R560">_xlfn.IFS(Q560&lt;=50,"low sales",Q560&lt;=100,"medium sales",Q560&gt;100,"High sales")</f>
        <v>low sales</v>
      </c>
    </row>
    <row r="561" spans="1:18" x14ac:dyDescent="0.35">
      <c r="A561" s="2" t="s">
        <v>3648</v>
      </c>
      <c r="B561" s="3">
        <v>44667</v>
      </c>
      <c r="C561" s="3" t="str">
        <f t="shared" si="32"/>
        <v>Saturday</v>
      </c>
      <c r="D561" s="3" t="str">
        <f t="shared" si="33"/>
        <v>April</v>
      </c>
      <c r="E561" s="3" t="str">
        <f t="shared" si="34"/>
        <v>2022</v>
      </c>
      <c r="F561" s="2" t="s">
        <v>3649</v>
      </c>
      <c r="G561" t="s">
        <v>6140</v>
      </c>
      <c r="H561" s="2">
        <v>3</v>
      </c>
      <c r="I561" s="2" t="str">
        <f>_xlfn.XLOOKUP(F561,customers!A:A,customers!B:B)</f>
        <v>Reamonn Aynold</v>
      </c>
      <c r="J561" s="2" t="str">
        <f>_xlfn.XLOOKUP(F561,customers!A:A,customers!C:C)</f>
        <v>raynoldfj@ustream.tv</v>
      </c>
      <c r="K561" s="2" t="str">
        <f>_xlfn.XLOOKUP(F561,customers!A:A,customers!F:F)</f>
        <v>Milwaukee</v>
      </c>
      <c r="L561" s="2" t="str">
        <f>_xlfn.XLOOKUP(F561,customers!A:A,customers!G:G)</f>
        <v>United States</v>
      </c>
      <c r="M561" t="str">
        <f>_xlfn.XLOOKUP(G561,products!A:A,products!B:B)</f>
        <v>Ara</v>
      </c>
      <c r="N561" t="str">
        <f>_xlfn.XLOOKUP(G561,products!A:A,products!C:C)</f>
        <v>L</v>
      </c>
      <c r="O561">
        <f>_xlfn.XLOOKUP(G561,products!A:A,products!D:D)</f>
        <v>1</v>
      </c>
      <c r="P561">
        <f>_xlfn.XLOOKUP(G561,products!A:A,products!E:E)</f>
        <v>12.95</v>
      </c>
      <c r="Q561">
        <f t="shared" si="35"/>
        <v>38.849999999999994</v>
      </c>
      <c r="R561" t="str" cm="1">
        <f t="array" ref="R561">_xlfn.IFS(Q561&lt;=50,"low sales",Q561&lt;=100,"medium sales",Q561&gt;100,"High sales")</f>
        <v>low sales</v>
      </c>
    </row>
    <row r="562" spans="1:18" x14ac:dyDescent="0.35">
      <c r="A562" s="2" t="s">
        <v>3654</v>
      </c>
      <c r="B562" s="3">
        <v>44401</v>
      </c>
      <c r="C562" s="3" t="str">
        <f t="shared" si="32"/>
        <v>Saturday</v>
      </c>
      <c r="D562" s="3" t="str">
        <f t="shared" si="33"/>
        <v>July</v>
      </c>
      <c r="E562" s="3" t="str">
        <f t="shared" si="34"/>
        <v>2021</v>
      </c>
      <c r="F562" s="2" t="s">
        <v>3655</v>
      </c>
      <c r="G562" t="s">
        <v>6166</v>
      </c>
      <c r="H562" s="2">
        <v>6</v>
      </c>
      <c r="I562" s="2" t="str">
        <f>_xlfn.XLOOKUP(F562,customers!A:A,customers!B:B)</f>
        <v>Hatty Dovydenas</v>
      </c>
      <c r="J562" s="2">
        <f>_xlfn.XLOOKUP(F562,customers!A:A,customers!C:C)</f>
        <v>0</v>
      </c>
      <c r="K562" s="2" t="str">
        <f>_xlfn.XLOOKUP(F562,customers!A:A,customers!F:F)</f>
        <v>Amarillo</v>
      </c>
      <c r="L562" s="2" t="str">
        <f>_xlfn.XLOOKUP(F562,customers!A:A,customers!G:G)</f>
        <v>United States</v>
      </c>
      <c r="M562" t="str">
        <f>_xlfn.XLOOKUP(G562,products!A:A,products!B:B)</f>
        <v>Exc</v>
      </c>
      <c r="N562" t="str">
        <f>_xlfn.XLOOKUP(G562,products!A:A,products!C:C)</f>
        <v>M</v>
      </c>
      <c r="O562">
        <f>_xlfn.XLOOKUP(G562,products!A:A,products!D:D)</f>
        <v>2.5</v>
      </c>
      <c r="P562">
        <f>_xlfn.XLOOKUP(G562,products!A:A,products!E:E)</f>
        <v>31.624999999999996</v>
      </c>
      <c r="Q562">
        <f t="shared" si="35"/>
        <v>189.74999999999997</v>
      </c>
      <c r="R562" t="str" cm="1">
        <f t="array" ref="R562">_xlfn.IFS(Q562&lt;=50,"low sales",Q562&lt;=100,"medium sales",Q562&gt;100,"High sales")</f>
        <v>High sales</v>
      </c>
    </row>
    <row r="563" spans="1:18" x14ac:dyDescent="0.35">
      <c r="A563" s="2" t="s">
        <v>3659</v>
      </c>
      <c r="B563" s="3">
        <v>43688</v>
      </c>
      <c r="C563" s="3" t="str">
        <f t="shared" si="32"/>
        <v>Sunday</v>
      </c>
      <c r="D563" s="3" t="str">
        <f t="shared" si="33"/>
        <v>August</v>
      </c>
      <c r="E563" s="3" t="str">
        <f t="shared" si="34"/>
        <v>2019</v>
      </c>
      <c r="F563" s="2" t="s">
        <v>3660</v>
      </c>
      <c r="G563" t="s">
        <v>6154</v>
      </c>
      <c r="H563" s="2">
        <v>6</v>
      </c>
      <c r="I563" s="2" t="str">
        <f>_xlfn.XLOOKUP(F563,customers!A:A,customers!B:B)</f>
        <v>Nathaniel Bloxland</v>
      </c>
      <c r="J563" s="2">
        <f>_xlfn.XLOOKUP(F563,customers!A:A,customers!C:C)</f>
        <v>0</v>
      </c>
      <c r="K563" s="2" t="str">
        <f>_xlfn.XLOOKUP(F563,customers!A:A,customers!F:F)</f>
        <v>Daingean</v>
      </c>
      <c r="L563" s="2" t="str">
        <f>_xlfn.XLOOKUP(F563,customers!A:A,customers!G:G)</f>
        <v>Ireland</v>
      </c>
      <c r="M563" t="str">
        <f>_xlfn.XLOOKUP(G563,products!A:A,products!B:B)</f>
        <v>Ara</v>
      </c>
      <c r="N563" t="str">
        <f>_xlfn.XLOOKUP(G563,products!A:A,products!C:C)</f>
        <v>D</v>
      </c>
      <c r="O563">
        <f>_xlfn.XLOOKUP(G563,products!A:A,products!D:D)</f>
        <v>0.2</v>
      </c>
      <c r="P563">
        <f>_xlfn.XLOOKUP(G563,products!A:A,products!E:E)</f>
        <v>2.9849999999999999</v>
      </c>
      <c r="Q563">
        <f t="shared" si="35"/>
        <v>17.91</v>
      </c>
      <c r="R563" t="str" cm="1">
        <f t="array" ref="R563">_xlfn.IFS(Q563&lt;=50,"low sales",Q563&lt;=100,"medium sales",Q563&gt;100,"High sales")</f>
        <v>low sales</v>
      </c>
    </row>
    <row r="564" spans="1:18" x14ac:dyDescent="0.35">
      <c r="A564" s="2" t="s">
        <v>3665</v>
      </c>
      <c r="B564" s="3">
        <v>43669</v>
      </c>
      <c r="C564" s="3" t="str">
        <f t="shared" si="32"/>
        <v>Tuesday</v>
      </c>
      <c r="D564" s="3" t="str">
        <f t="shared" si="33"/>
        <v>July</v>
      </c>
      <c r="E564" s="3" t="str">
        <f t="shared" si="34"/>
        <v>2019</v>
      </c>
      <c r="F564" s="2" t="s">
        <v>3666</v>
      </c>
      <c r="G564" t="s">
        <v>6145</v>
      </c>
      <c r="H564" s="2">
        <v>6</v>
      </c>
      <c r="I564" s="2" t="str">
        <f>_xlfn.XLOOKUP(F564,customers!A:A,customers!B:B)</f>
        <v>Brendan Grece</v>
      </c>
      <c r="J564" s="2" t="str">
        <f>_xlfn.XLOOKUP(F564,customers!A:A,customers!C:C)</f>
        <v>bgrecefm@naver.com</v>
      </c>
      <c r="K564" s="2" t="str">
        <f>_xlfn.XLOOKUP(F564,customers!A:A,customers!F:F)</f>
        <v>Halton</v>
      </c>
      <c r="L564" s="2" t="str">
        <f>_xlfn.XLOOKUP(F564,customers!A:A,customers!G:G)</f>
        <v>United Kingdom</v>
      </c>
      <c r="M564" t="str">
        <f>_xlfn.XLOOKUP(G564,products!A:A,products!B:B)</f>
        <v>Lib</v>
      </c>
      <c r="N564" t="str">
        <f>_xlfn.XLOOKUP(G564,products!A:A,products!C:C)</f>
        <v>L</v>
      </c>
      <c r="O564">
        <f>_xlfn.XLOOKUP(G564,products!A:A,products!D:D)</f>
        <v>0.2</v>
      </c>
      <c r="P564">
        <f>_xlfn.XLOOKUP(G564,products!A:A,products!E:E)</f>
        <v>4.7549999999999999</v>
      </c>
      <c r="Q564">
        <f t="shared" si="35"/>
        <v>28.53</v>
      </c>
      <c r="R564" t="str" cm="1">
        <f t="array" ref="R564">_xlfn.IFS(Q564&lt;=50,"low sales",Q564&lt;=100,"medium sales",Q564&gt;100,"High sales")</f>
        <v>low sales</v>
      </c>
    </row>
    <row r="565" spans="1:18" x14ac:dyDescent="0.35">
      <c r="A565" s="2" t="s">
        <v>3671</v>
      </c>
      <c r="B565" s="3">
        <v>43991</v>
      </c>
      <c r="C565" s="3" t="str">
        <f t="shared" si="32"/>
        <v>Tuesday</v>
      </c>
      <c r="D565" s="3" t="str">
        <f t="shared" si="33"/>
        <v>June</v>
      </c>
      <c r="E565" s="3" t="str">
        <f t="shared" si="34"/>
        <v>2020</v>
      </c>
      <c r="F565" s="2" t="s">
        <v>3752</v>
      </c>
      <c r="G565" t="s">
        <v>6141</v>
      </c>
      <c r="H565" s="2">
        <v>6</v>
      </c>
      <c r="I565" s="2" t="str">
        <f>_xlfn.XLOOKUP(F565,customers!A:A,customers!B:B)</f>
        <v>Don Flintiff</v>
      </c>
      <c r="J565" s="2" t="str">
        <f>_xlfn.XLOOKUP(F565,customers!A:A,customers!C:C)</f>
        <v>dflintiffg1@e-recht24.de</v>
      </c>
      <c r="K565" s="2" t="str">
        <f>_xlfn.XLOOKUP(F565,customers!A:A,customers!F:F)</f>
        <v>London</v>
      </c>
      <c r="L565" s="2" t="str">
        <f>_xlfn.XLOOKUP(F565,customers!A:A,customers!G:G)</f>
        <v>United Kingdom</v>
      </c>
      <c r="M565" t="str">
        <f>_xlfn.XLOOKUP(G565,products!A:A,products!B:B)</f>
        <v>Exc</v>
      </c>
      <c r="N565" t="str">
        <f>_xlfn.XLOOKUP(G565,products!A:A,products!C:C)</f>
        <v>M</v>
      </c>
      <c r="O565">
        <f>_xlfn.XLOOKUP(G565,products!A:A,products!D:D)</f>
        <v>1</v>
      </c>
      <c r="P565">
        <f>_xlfn.XLOOKUP(G565,products!A:A,products!E:E)</f>
        <v>13.75</v>
      </c>
      <c r="Q565">
        <f t="shared" si="35"/>
        <v>82.5</v>
      </c>
      <c r="R565" t="str" cm="1">
        <f t="array" ref="R565">_xlfn.IFS(Q565&lt;=50,"low sales",Q565&lt;=100,"medium sales",Q565&gt;100,"High sales")</f>
        <v>medium sales</v>
      </c>
    </row>
    <row r="566" spans="1:18" x14ac:dyDescent="0.35">
      <c r="A566" s="2" t="s">
        <v>3677</v>
      </c>
      <c r="B566" s="3">
        <v>43883</v>
      </c>
      <c r="C566" s="3" t="str">
        <f t="shared" si="32"/>
        <v>Saturday</v>
      </c>
      <c r="D566" s="3" t="str">
        <f t="shared" si="33"/>
        <v>February</v>
      </c>
      <c r="E566" s="3" t="str">
        <f t="shared" si="34"/>
        <v>2020</v>
      </c>
      <c r="F566" s="2" t="s">
        <v>3678</v>
      </c>
      <c r="G566" t="s">
        <v>6173</v>
      </c>
      <c r="H566" s="2">
        <v>2</v>
      </c>
      <c r="I566" s="2" t="str">
        <f>_xlfn.XLOOKUP(F566,customers!A:A,customers!B:B)</f>
        <v>Abbe Thys</v>
      </c>
      <c r="J566" s="2" t="str">
        <f>_xlfn.XLOOKUP(F566,customers!A:A,customers!C:C)</f>
        <v>athysfo@cdc.gov</v>
      </c>
      <c r="K566" s="2" t="str">
        <f>_xlfn.XLOOKUP(F566,customers!A:A,customers!F:F)</f>
        <v>Knoxville</v>
      </c>
      <c r="L566" s="2" t="str">
        <f>_xlfn.XLOOKUP(F566,customers!A:A,customers!G:G)</f>
        <v>United States</v>
      </c>
      <c r="M566" t="str">
        <f>_xlfn.XLOOKUP(G566,products!A:A,products!B:B)</f>
        <v>Rob</v>
      </c>
      <c r="N566" t="str">
        <f>_xlfn.XLOOKUP(G566,products!A:A,products!C:C)</f>
        <v>L</v>
      </c>
      <c r="O566">
        <f>_xlfn.XLOOKUP(G566,products!A:A,products!D:D)</f>
        <v>0.5</v>
      </c>
      <c r="P566">
        <f>_xlfn.XLOOKUP(G566,products!A:A,products!E:E)</f>
        <v>7.169999999999999</v>
      </c>
      <c r="Q566">
        <f t="shared" si="35"/>
        <v>14.339999999999998</v>
      </c>
      <c r="R566" t="str" cm="1">
        <f t="array" ref="R566">_xlfn.IFS(Q566&lt;=50,"low sales",Q566&lt;=100,"medium sales",Q566&gt;100,"High sales")</f>
        <v>low sales</v>
      </c>
    </row>
    <row r="567" spans="1:18" x14ac:dyDescent="0.35">
      <c r="A567" s="2" t="s">
        <v>3683</v>
      </c>
      <c r="B567" s="3">
        <v>44031</v>
      </c>
      <c r="C567" s="3" t="str">
        <f t="shared" si="32"/>
        <v>Sunday</v>
      </c>
      <c r="D567" s="3" t="str">
        <f t="shared" si="33"/>
        <v>July</v>
      </c>
      <c r="E567" s="3" t="str">
        <f t="shared" si="34"/>
        <v>2020</v>
      </c>
      <c r="F567" s="2" t="s">
        <v>3684</v>
      </c>
      <c r="G567" t="s">
        <v>6149</v>
      </c>
      <c r="H567" s="2">
        <v>4</v>
      </c>
      <c r="I567" s="2" t="str">
        <f>_xlfn.XLOOKUP(F567,customers!A:A,customers!B:B)</f>
        <v>Jackquelin Chugg</v>
      </c>
      <c r="J567" s="2" t="str">
        <f>_xlfn.XLOOKUP(F567,customers!A:A,customers!C:C)</f>
        <v>jchuggfp@about.me</v>
      </c>
      <c r="K567" s="2" t="str">
        <f>_xlfn.XLOOKUP(F567,customers!A:A,customers!F:F)</f>
        <v>Shawnee Mission</v>
      </c>
      <c r="L567" s="2" t="str">
        <f>_xlfn.XLOOKUP(F567,customers!A:A,customers!G:G)</f>
        <v>United States</v>
      </c>
      <c r="M567" t="str">
        <f>_xlfn.XLOOKUP(G567,products!A:A,products!B:B)</f>
        <v>Rob</v>
      </c>
      <c r="N567" t="str">
        <f>_xlfn.XLOOKUP(G567,products!A:A,products!C:C)</f>
        <v>D</v>
      </c>
      <c r="O567">
        <f>_xlfn.XLOOKUP(G567,products!A:A,products!D:D)</f>
        <v>2.5</v>
      </c>
      <c r="P567">
        <f>_xlfn.XLOOKUP(G567,products!A:A,products!E:E)</f>
        <v>20.584999999999997</v>
      </c>
      <c r="Q567">
        <f t="shared" si="35"/>
        <v>82.339999999999989</v>
      </c>
      <c r="R567" t="str" cm="1">
        <f t="array" ref="R567">_xlfn.IFS(Q567&lt;=50,"low sales",Q567&lt;=100,"medium sales",Q567&gt;100,"High sales")</f>
        <v>medium sales</v>
      </c>
    </row>
    <row r="568" spans="1:18" x14ac:dyDescent="0.35">
      <c r="A568" s="2" t="s">
        <v>3689</v>
      </c>
      <c r="B568" s="3">
        <v>44459</v>
      </c>
      <c r="C568" s="3" t="str">
        <f t="shared" si="32"/>
        <v>Monday</v>
      </c>
      <c r="D568" s="3" t="str">
        <f t="shared" si="33"/>
        <v>September</v>
      </c>
      <c r="E568" s="3" t="str">
        <f t="shared" si="34"/>
        <v>2021</v>
      </c>
      <c r="F568" s="2" t="s">
        <v>3690</v>
      </c>
      <c r="G568" t="s">
        <v>6152</v>
      </c>
      <c r="H568" s="2">
        <v>6</v>
      </c>
      <c r="I568" s="2" t="str">
        <f>_xlfn.XLOOKUP(F568,customers!A:A,customers!B:B)</f>
        <v>Audra Kelston</v>
      </c>
      <c r="J568" s="2" t="str">
        <f>_xlfn.XLOOKUP(F568,customers!A:A,customers!C:C)</f>
        <v>akelstonfq@sakura.ne.jp</v>
      </c>
      <c r="K568" s="2" t="str">
        <f>_xlfn.XLOOKUP(F568,customers!A:A,customers!F:F)</f>
        <v>Fort Lauderdale</v>
      </c>
      <c r="L568" s="2" t="str">
        <f>_xlfn.XLOOKUP(F568,customers!A:A,customers!G:G)</f>
        <v>United States</v>
      </c>
      <c r="M568" t="str">
        <f>_xlfn.XLOOKUP(G568,products!A:A,products!B:B)</f>
        <v>Ara</v>
      </c>
      <c r="N568" t="str">
        <f>_xlfn.XLOOKUP(G568,products!A:A,products!C:C)</f>
        <v>M</v>
      </c>
      <c r="O568">
        <f>_xlfn.XLOOKUP(G568,products!A:A,products!D:D)</f>
        <v>0.2</v>
      </c>
      <c r="P568">
        <f>_xlfn.XLOOKUP(G568,products!A:A,products!E:E)</f>
        <v>3.375</v>
      </c>
      <c r="Q568">
        <f t="shared" si="35"/>
        <v>20.25</v>
      </c>
      <c r="R568" t="str" cm="1">
        <f t="array" ref="R568">_xlfn.IFS(Q568&lt;=50,"low sales",Q568&lt;=100,"medium sales",Q568&gt;100,"High sales")</f>
        <v>low sales</v>
      </c>
    </row>
    <row r="569" spans="1:18" x14ac:dyDescent="0.35">
      <c r="A569" s="2" t="s">
        <v>3695</v>
      </c>
      <c r="B569" s="3">
        <v>44318</v>
      </c>
      <c r="C569" s="3" t="str">
        <f t="shared" si="32"/>
        <v>Sunday</v>
      </c>
      <c r="D569" s="3" t="str">
        <f t="shared" si="33"/>
        <v>May</v>
      </c>
      <c r="E569" s="3" t="str">
        <f t="shared" si="34"/>
        <v>2021</v>
      </c>
      <c r="F569" s="2" t="s">
        <v>3696</v>
      </c>
      <c r="G569" t="s">
        <v>6142</v>
      </c>
      <c r="H569" s="2">
        <v>6</v>
      </c>
      <c r="I569" s="2" t="str">
        <f>_xlfn.XLOOKUP(F569,customers!A:A,customers!B:B)</f>
        <v>Elvina Angel</v>
      </c>
      <c r="J569" s="2">
        <f>_xlfn.XLOOKUP(F569,customers!A:A,customers!C:C)</f>
        <v>0</v>
      </c>
      <c r="K569" s="2" t="str">
        <f>_xlfn.XLOOKUP(F569,customers!A:A,customers!F:F)</f>
        <v>Tralee</v>
      </c>
      <c r="L569" s="2" t="str">
        <f>_xlfn.XLOOKUP(F569,customers!A:A,customers!G:G)</f>
        <v>Ireland</v>
      </c>
      <c r="M569" t="str">
        <f>_xlfn.XLOOKUP(G569,products!A:A,products!B:B)</f>
        <v>Rob</v>
      </c>
      <c r="N569" t="str">
        <f>_xlfn.XLOOKUP(G569,products!A:A,products!C:C)</f>
        <v>L</v>
      </c>
      <c r="O569">
        <f>_xlfn.XLOOKUP(G569,products!A:A,products!D:D)</f>
        <v>2.5</v>
      </c>
      <c r="P569">
        <f>_xlfn.XLOOKUP(G569,products!A:A,products!E:E)</f>
        <v>27.484999999999996</v>
      </c>
      <c r="Q569">
        <f t="shared" si="35"/>
        <v>164.90999999999997</v>
      </c>
      <c r="R569" t="str" cm="1">
        <f t="array" ref="R569">_xlfn.IFS(Q569&lt;=50,"low sales",Q569&lt;=100,"medium sales",Q569&gt;100,"High sales")</f>
        <v>High sales</v>
      </c>
    </row>
    <row r="570" spans="1:18" x14ac:dyDescent="0.35">
      <c r="A570" s="2" t="s">
        <v>3700</v>
      </c>
      <c r="B570" s="3">
        <v>44526</v>
      </c>
      <c r="C570" s="3" t="str">
        <f t="shared" si="32"/>
        <v>Friday</v>
      </c>
      <c r="D570" s="3" t="str">
        <f t="shared" si="33"/>
        <v>November</v>
      </c>
      <c r="E570" s="3" t="str">
        <f t="shared" si="34"/>
        <v>2021</v>
      </c>
      <c r="F570" s="2" t="s">
        <v>3701</v>
      </c>
      <c r="G570" t="s">
        <v>6145</v>
      </c>
      <c r="H570" s="2">
        <v>4</v>
      </c>
      <c r="I570" s="2" t="str">
        <f>_xlfn.XLOOKUP(F570,customers!A:A,customers!B:B)</f>
        <v>Claiborne Mottram</v>
      </c>
      <c r="J570" s="2" t="str">
        <f>_xlfn.XLOOKUP(F570,customers!A:A,customers!C:C)</f>
        <v>cmottramfs@harvard.edu</v>
      </c>
      <c r="K570" s="2" t="str">
        <f>_xlfn.XLOOKUP(F570,customers!A:A,customers!F:F)</f>
        <v>Austin</v>
      </c>
      <c r="L570" s="2" t="str">
        <f>_xlfn.XLOOKUP(F570,customers!A:A,customers!G:G)</f>
        <v>United States</v>
      </c>
      <c r="M570" t="str">
        <f>_xlfn.XLOOKUP(G570,products!A:A,products!B:B)</f>
        <v>Lib</v>
      </c>
      <c r="N570" t="str">
        <f>_xlfn.XLOOKUP(G570,products!A:A,products!C:C)</f>
        <v>L</v>
      </c>
      <c r="O570">
        <f>_xlfn.XLOOKUP(G570,products!A:A,products!D:D)</f>
        <v>0.2</v>
      </c>
      <c r="P570">
        <f>_xlfn.XLOOKUP(G570,products!A:A,products!E:E)</f>
        <v>4.7549999999999999</v>
      </c>
      <c r="Q570">
        <f t="shared" si="35"/>
        <v>19.02</v>
      </c>
      <c r="R570" t="str" cm="1">
        <f t="array" ref="R570">_xlfn.IFS(Q570&lt;=50,"low sales",Q570&lt;=100,"medium sales",Q570&gt;100,"High sales")</f>
        <v>low sales</v>
      </c>
    </row>
    <row r="571" spans="1:18" x14ac:dyDescent="0.35">
      <c r="A571" s="2" t="s">
        <v>3706</v>
      </c>
      <c r="B571" s="3">
        <v>43879</v>
      </c>
      <c r="C571" s="3" t="str">
        <f t="shared" si="32"/>
        <v>Tuesday</v>
      </c>
      <c r="D571" s="3" t="str">
        <f t="shared" si="33"/>
        <v>February</v>
      </c>
      <c r="E571" s="3" t="str">
        <f t="shared" si="34"/>
        <v>2020</v>
      </c>
      <c r="F571" s="2" t="s">
        <v>3752</v>
      </c>
      <c r="G571" t="s">
        <v>6168</v>
      </c>
      <c r="H571" s="2">
        <v>6</v>
      </c>
      <c r="I571" s="2" t="str">
        <f>_xlfn.XLOOKUP(F571,customers!A:A,customers!B:B)</f>
        <v>Don Flintiff</v>
      </c>
      <c r="J571" s="2" t="str">
        <f>_xlfn.XLOOKUP(F571,customers!A:A,customers!C:C)</f>
        <v>dflintiffg1@e-recht24.de</v>
      </c>
      <c r="K571" s="2" t="str">
        <f>_xlfn.XLOOKUP(F571,customers!A:A,customers!F:F)</f>
        <v>London</v>
      </c>
      <c r="L571" s="2" t="str">
        <f>_xlfn.XLOOKUP(F571,customers!A:A,customers!G:G)</f>
        <v>United Kingdom</v>
      </c>
      <c r="M571" t="str">
        <f>_xlfn.XLOOKUP(G571,products!A:A,products!B:B)</f>
        <v>Ara</v>
      </c>
      <c r="N571" t="str">
        <f>_xlfn.XLOOKUP(G571,products!A:A,products!C:C)</f>
        <v>D</v>
      </c>
      <c r="O571">
        <f>_xlfn.XLOOKUP(G571,products!A:A,products!D:D)</f>
        <v>2.5</v>
      </c>
      <c r="P571">
        <f>_xlfn.XLOOKUP(G571,products!A:A,products!E:E)</f>
        <v>22.884999999999998</v>
      </c>
      <c r="Q571">
        <f t="shared" si="35"/>
        <v>137.31</v>
      </c>
      <c r="R571" t="str" cm="1">
        <f t="array" ref="R571">_xlfn.IFS(Q571&lt;=50,"low sales",Q571&lt;=100,"medium sales",Q571&gt;100,"High sales")</f>
        <v>High sales</v>
      </c>
    </row>
    <row r="572" spans="1:18" x14ac:dyDescent="0.35">
      <c r="A572" s="2" t="s">
        <v>3712</v>
      </c>
      <c r="B572" s="3">
        <v>43928</v>
      </c>
      <c r="C572" s="3" t="str">
        <f t="shared" si="32"/>
        <v>Tuesday</v>
      </c>
      <c r="D572" s="3" t="str">
        <f t="shared" si="33"/>
        <v>April</v>
      </c>
      <c r="E572" s="3" t="str">
        <f t="shared" si="34"/>
        <v>2020</v>
      </c>
      <c r="F572" s="2" t="s">
        <v>3713</v>
      </c>
      <c r="G572" t="s">
        <v>6157</v>
      </c>
      <c r="H572" s="2">
        <v>4</v>
      </c>
      <c r="I572" s="2" t="str">
        <f>_xlfn.XLOOKUP(F572,customers!A:A,customers!B:B)</f>
        <v>Donalt Sangwin</v>
      </c>
      <c r="J572" s="2" t="str">
        <f>_xlfn.XLOOKUP(F572,customers!A:A,customers!C:C)</f>
        <v>dsangwinfu@weebly.com</v>
      </c>
      <c r="K572" s="2" t="str">
        <f>_xlfn.XLOOKUP(F572,customers!A:A,customers!F:F)</f>
        <v>Hyattsville</v>
      </c>
      <c r="L572" s="2" t="str">
        <f>_xlfn.XLOOKUP(F572,customers!A:A,customers!G:G)</f>
        <v>United States</v>
      </c>
      <c r="M572" t="str">
        <f>_xlfn.XLOOKUP(G572,products!A:A,products!B:B)</f>
        <v>Ara</v>
      </c>
      <c r="N572" t="str">
        <f>_xlfn.XLOOKUP(G572,products!A:A,products!C:C)</f>
        <v>M</v>
      </c>
      <c r="O572">
        <f>_xlfn.XLOOKUP(G572,products!A:A,products!D:D)</f>
        <v>0.5</v>
      </c>
      <c r="P572">
        <f>_xlfn.XLOOKUP(G572,products!A:A,products!E:E)</f>
        <v>6.75</v>
      </c>
      <c r="Q572">
        <f t="shared" si="35"/>
        <v>27</v>
      </c>
      <c r="R572" t="str" cm="1">
        <f t="array" ref="R572">_xlfn.IFS(Q572&lt;=50,"low sales",Q572&lt;=100,"medium sales",Q572&gt;100,"High sales")</f>
        <v>low sales</v>
      </c>
    </row>
    <row r="573" spans="1:18" x14ac:dyDescent="0.35">
      <c r="A573" s="2" t="s">
        <v>3718</v>
      </c>
      <c r="B573" s="3">
        <v>44592</v>
      </c>
      <c r="C573" s="3" t="str">
        <f t="shared" si="32"/>
        <v>Monday</v>
      </c>
      <c r="D573" s="3" t="str">
        <f t="shared" si="33"/>
        <v>January</v>
      </c>
      <c r="E573" s="3" t="str">
        <f t="shared" si="34"/>
        <v>2022</v>
      </c>
      <c r="F573" s="2" t="s">
        <v>3719</v>
      </c>
      <c r="G573" t="s">
        <v>6176</v>
      </c>
      <c r="H573" s="2">
        <v>4</v>
      </c>
      <c r="I573" s="2" t="str">
        <f>_xlfn.XLOOKUP(F573,customers!A:A,customers!B:B)</f>
        <v>Elizabet Aizikowitz</v>
      </c>
      <c r="J573" s="2" t="str">
        <f>_xlfn.XLOOKUP(F573,customers!A:A,customers!C:C)</f>
        <v>eaizikowitzfv@virginia.edu</v>
      </c>
      <c r="K573" s="2" t="str">
        <f>_xlfn.XLOOKUP(F573,customers!A:A,customers!F:F)</f>
        <v>Ashley</v>
      </c>
      <c r="L573" s="2" t="str">
        <f>_xlfn.XLOOKUP(F573,customers!A:A,customers!G:G)</f>
        <v>United Kingdom</v>
      </c>
      <c r="M573" t="str">
        <f>_xlfn.XLOOKUP(G573,products!A:A,products!B:B)</f>
        <v>Exc</v>
      </c>
      <c r="N573" t="str">
        <f>_xlfn.XLOOKUP(G573,products!A:A,products!C:C)</f>
        <v>L</v>
      </c>
      <c r="O573">
        <f>_xlfn.XLOOKUP(G573,products!A:A,products!D:D)</f>
        <v>0.5</v>
      </c>
      <c r="P573">
        <f>_xlfn.XLOOKUP(G573,products!A:A,products!E:E)</f>
        <v>8.91</v>
      </c>
      <c r="Q573">
        <f t="shared" si="35"/>
        <v>35.64</v>
      </c>
      <c r="R573" t="str" cm="1">
        <f t="array" ref="R573">_xlfn.IFS(Q573&lt;=50,"low sales",Q573&lt;=100,"medium sales",Q573&gt;100,"High sales")</f>
        <v>low sales</v>
      </c>
    </row>
    <row r="574" spans="1:18" x14ac:dyDescent="0.35">
      <c r="A574" s="2" t="s">
        <v>3724</v>
      </c>
      <c r="B574" s="3">
        <v>43515</v>
      </c>
      <c r="C574" s="3" t="str">
        <f t="shared" si="32"/>
        <v>Tuesday</v>
      </c>
      <c r="D574" s="3" t="str">
        <f t="shared" si="33"/>
        <v>February</v>
      </c>
      <c r="E574" s="3" t="str">
        <f t="shared" si="34"/>
        <v>2019</v>
      </c>
      <c r="F574" s="2" t="s">
        <v>3725</v>
      </c>
      <c r="G574" t="s">
        <v>6154</v>
      </c>
      <c r="H574" s="2">
        <v>2</v>
      </c>
      <c r="I574" s="2" t="str">
        <f>_xlfn.XLOOKUP(F574,customers!A:A,customers!B:B)</f>
        <v>Herbie Peppard</v>
      </c>
      <c r="J574" s="2">
        <f>_xlfn.XLOOKUP(F574,customers!A:A,customers!C:C)</f>
        <v>0</v>
      </c>
      <c r="K574" s="2" t="str">
        <f>_xlfn.XLOOKUP(F574,customers!A:A,customers!F:F)</f>
        <v>Pasadena</v>
      </c>
      <c r="L574" s="2" t="str">
        <f>_xlfn.XLOOKUP(F574,customers!A:A,customers!G:G)</f>
        <v>United States</v>
      </c>
      <c r="M574" t="str">
        <f>_xlfn.XLOOKUP(G574,products!A:A,products!B:B)</f>
        <v>Ara</v>
      </c>
      <c r="N574" t="str">
        <f>_xlfn.XLOOKUP(G574,products!A:A,products!C:C)</f>
        <v>D</v>
      </c>
      <c r="O574">
        <f>_xlfn.XLOOKUP(G574,products!A:A,products!D:D)</f>
        <v>0.2</v>
      </c>
      <c r="P574">
        <f>_xlfn.XLOOKUP(G574,products!A:A,products!E:E)</f>
        <v>2.9849999999999999</v>
      </c>
      <c r="Q574">
        <f t="shared" si="35"/>
        <v>5.97</v>
      </c>
      <c r="R574" t="str" cm="1">
        <f t="array" ref="R574">_xlfn.IFS(Q574&lt;=50,"low sales",Q574&lt;=100,"medium sales",Q574&gt;100,"High sales")</f>
        <v>low sales</v>
      </c>
    </row>
    <row r="575" spans="1:18" x14ac:dyDescent="0.35">
      <c r="A575" s="2" t="s">
        <v>3728</v>
      </c>
      <c r="B575" s="3">
        <v>43781</v>
      </c>
      <c r="C575" s="3" t="str">
        <f t="shared" si="32"/>
        <v>Tuesday</v>
      </c>
      <c r="D575" s="3" t="str">
        <f t="shared" si="33"/>
        <v>November</v>
      </c>
      <c r="E575" s="3" t="str">
        <f t="shared" si="34"/>
        <v>2019</v>
      </c>
      <c r="F575" s="2" t="s">
        <v>3729</v>
      </c>
      <c r="G575" t="s">
        <v>6155</v>
      </c>
      <c r="H575" s="2">
        <v>6</v>
      </c>
      <c r="I575" s="2" t="str">
        <f>_xlfn.XLOOKUP(F575,customers!A:A,customers!B:B)</f>
        <v>Cornie Venour</v>
      </c>
      <c r="J575" s="2" t="str">
        <f>_xlfn.XLOOKUP(F575,customers!A:A,customers!C:C)</f>
        <v>cvenourfx@ask.com</v>
      </c>
      <c r="K575" s="2" t="str">
        <f>_xlfn.XLOOKUP(F575,customers!A:A,customers!F:F)</f>
        <v>Shreveport</v>
      </c>
      <c r="L575" s="2" t="str">
        <f>_xlfn.XLOOKUP(F575,customers!A:A,customers!G:G)</f>
        <v>United States</v>
      </c>
      <c r="M575" t="str">
        <f>_xlfn.XLOOKUP(G575,products!A:A,products!B:B)</f>
        <v>Ara</v>
      </c>
      <c r="N575" t="str">
        <f>_xlfn.XLOOKUP(G575,products!A:A,products!C:C)</f>
        <v>M</v>
      </c>
      <c r="O575">
        <f>_xlfn.XLOOKUP(G575,products!A:A,products!D:D)</f>
        <v>1</v>
      </c>
      <c r="P575">
        <f>_xlfn.XLOOKUP(G575,products!A:A,products!E:E)</f>
        <v>11.25</v>
      </c>
      <c r="Q575">
        <f t="shared" si="35"/>
        <v>67.5</v>
      </c>
      <c r="R575" t="str" cm="1">
        <f t="array" ref="R575">_xlfn.IFS(Q575&lt;=50,"low sales",Q575&lt;=100,"medium sales",Q575&gt;100,"High sales")</f>
        <v>medium sales</v>
      </c>
    </row>
    <row r="576" spans="1:18" x14ac:dyDescent="0.35">
      <c r="A576" s="2" t="s">
        <v>3734</v>
      </c>
      <c r="B576" s="3">
        <v>44697</v>
      </c>
      <c r="C576" s="3" t="str">
        <f t="shared" si="32"/>
        <v>Monday</v>
      </c>
      <c r="D576" s="3" t="str">
        <f t="shared" si="33"/>
        <v>May</v>
      </c>
      <c r="E576" s="3" t="str">
        <f t="shared" si="34"/>
        <v>2022</v>
      </c>
      <c r="F576" s="2" t="s">
        <v>3735</v>
      </c>
      <c r="G576" t="s">
        <v>6178</v>
      </c>
      <c r="H576" s="2">
        <v>6</v>
      </c>
      <c r="I576" s="2" t="str">
        <f>_xlfn.XLOOKUP(F576,customers!A:A,customers!B:B)</f>
        <v>Maggy Harby</v>
      </c>
      <c r="J576" s="2" t="str">
        <f>_xlfn.XLOOKUP(F576,customers!A:A,customers!C:C)</f>
        <v>mharbyfy@163.com</v>
      </c>
      <c r="K576" s="2" t="str">
        <f>_xlfn.XLOOKUP(F576,customers!A:A,customers!F:F)</f>
        <v>Pensacola</v>
      </c>
      <c r="L576" s="2" t="str">
        <f>_xlfn.XLOOKUP(F576,customers!A:A,customers!G:G)</f>
        <v>United States</v>
      </c>
      <c r="M576" t="str">
        <f>_xlfn.XLOOKUP(G576,products!A:A,products!B:B)</f>
        <v>Rob</v>
      </c>
      <c r="N576" t="str">
        <f>_xlfn.XLOOKUP(G576,products!A:A,products!C:C)</f>
        <v>L</v>
      </c>
      <c r="O576">
        <f>_xlfn.XLOOKUP(G576,products!A:A,products!D:D)</f>
        <v>0.2</v>
      </c>
      <c r="P576">
        <f>_xlfn.XLOOKUP(G576,products!A:A,products!E:E)</f>
        <v>3.5849999999999995</v>
      </c>
      <c r="Q576">
        <f t="shared" si="35"/>
        <v>21.509999999999998</v>
      </c>
      <c r="R576" t="str" cm="1">
        <f t="array" ref="R576">_xlfn.IFS(Q576&lt;=50,"low sales",Q576&lt;=100,"medium sales",Q576&gt;100,"High sales")</f>
        <v>low sales</v>
      </c>
    </row>
    <row r="577" spans="1:18" x14ac:dyDescent="0.35">
      <c r="A577" s="2" t="s">
        <v>3739</v>
      </c>
      <c r="B577" s="3">
        <v>44239</v>
      </c>
      <c r="C577" s="3" t="str">
        <f t="shared" si="32"/>
        <v>Friday</v>
      </c>
      <c r="D577" s="3" t="str">
        <f t="shared" si="33"/>
        <v>February</v>
      </c>
      <c r="E577" s="3" t="str">
        <f t="shared" si="34"/>
        <v>2021</v>
      </c>
      <c r="F577" s="2" t="s">
        <v>3740</v>
      </c>
      <c r="G577" t="s">
        <v>6181</v>
      </c>
      <c r="H577" s="2">
        <v>2</v>
      </c>
      <c r="I577" s="2" t="str">
        <f>_xlfn.XLOOKUP(F577,customers!A:A,customers!B:B)</f>
        <v>Reggie Thickpenny</v>
      </c>
      <c r="J577" s="2" t="str">
        <f>_xlfn.XLOOKUP(F577,customers!A:A,customers!C:C)</f>
        <v>rthickpennyfz@cafepress.com</v>
      </c>
      <c r="K577" s="2" t="str">
        <f>_xlfn.XLOOKUP(F577,customers!A:A,customers!F:F)</f>
        <v>Los Angeles</v>
      </c>
      <c r="L577" s="2" t="str">
        <f>_xlfn.XLOOKUP(F577,customers!A:A,customers!G:G)</f>
        <v>United States</v>
      </c>
      <c r="M577" t="str">
        <f>_xlfn.XLOOKUP(G577,products!A:A,products!B:B)</f>
        <v>Lib</v>
      </c>
      <c r="N577" t="str">
        <f>_xlfn.XLOOKUP(G577,products!A:A,products!C:C)</f>
        <v>M</v>
      </c>
      <c r="O577">
        <f>_xlfn.XLOOKUP(G577,products!A:A,products!D:D)</f>
        <v>2.5</v>
      </c>
      <c r="P577">
        <f>_xlfn.XLOOKUP(G577,products!A:A,products!E:E)</f>
        <v>33.464999999999996</v>
      </c>
      <c r="Q577">
        <f t="shared" si="35"/>
        <v>66.929999999999993</v>
      </c>
      <c r="R577" t="str" cm="1">
        <f t="array" ref="R577">_xlfn.IFS(Q577&lt;=50,"low sales",Q577&lt;=100,"medium sales",Q577&gt;100,"High sales")</f>
        <v>medium sales</v>
      </c>
    </row>
    <row r="578" spans="1:18" x14ac:dyDescent="0.35">
      <c r="A578" s="2" t="s">
        <v>3745</v>
      </c>
      <c r="B578" s="3">
        <v>44290</v>
      </c>
      <c r="C578" s="3" t="str">
        <f t="shared" si="32"/>
        <v>Sunday</v>
      </c>
      <c r="D578" s="3" t="str">
        <f t="shared" si="33"/>
        <v>April</v>
      </c>
      <c r="E578" s="3" t="str">
        <f t="shared" si="34"/>
        <v>2021</v>
      </c>
      <c r="F578" s="2" t="s">
        <v>3746</v>
      </c>
      <c r="G578" t="s">
        <v>6154</v>
      </c>
      <c r="H578" s="2">
        <v>6</v>
      </c>
      <c r="I578" s="2" t="str">
        <f>_xlfn.XLOOKUP(F578,customers!A:A,customers!B:B)</f>
        <v>Phyllys Ormerod</v>
      </c>
      <c r="J578" s="2" t="str">
        <f>_xlfn.XLOOKUP(F578,customers!A:A,customers!C:C)</f>
        <v>pormerodg0@redcross.org</v>
      </c>
      <c r="K578" s="2" t="str">
        <f>_xlfn.XLOOKUP(F578,customers!A:A,customers!F:F)</f>
        <v>Durham</v>
      </c>
      <c r="L578" s="2" t="str">
        <f>_xlfn.XLOOKUP(F578,customers!A:A,customers!G:G)</f>
        <v>United States</v>
      </c>
      <c r="M578" t="str">
        <f>_xlfn.XLOOKUP(G578,products!A:A,products!B:B)</f>
        <v>Ara</v>
      </c>
      <c r="N578" t="str">
        <f>_xlfn.XLOOKUP(G578,products!A:A,products!C:C)</f>
        <v>D</v>
      </c>
      <c r="O578">
        <f>_xlfn.XLOOKUP(G578,products!A:A,products!D:D)</f>
        <v>0.2</v>
      </c>
      <c r="P578">
        <f>_xlfn.XLOOKUP(G578,products!A:A,products!E:E)</f>
        <v>2.9849999999999999</v>
      </c>
      <c r="Q578">
        <f t="shared" si="35"/>
        <v>17.91</v>
      </c>
      <c r="R578" t="str" cm="1">
        <f t="array" ref="R578">_xlfn.IFS(Q578&lt;=50,"low sales",Q578&lt;=100,"medium sales",Q578&gt;100,"High sales")</f>
        <v>low sales</v>
      </c>
    </row>
    <row r="579" spans="1:18" x14ac:dyDescent="0.35">
      <c r="A579" s="2" t="s">
        <v>3751</v>
      </c>
      <c r="B579" s="3">
        <v>44410</v>
      </c>
      <c r="C579" s="3" t="str">
        <f t="shared" ref="C579:C642" si="36">TEXT(B579,"DDDD")</f>
        <v>Monday</v>
      </c>
      <c r="D579" s="3" t="str">
        <f t="shared" ref="D579:D642" si="37">TEXT(B579,"MMMM")</f>
        <v>August</v>
      </c>
      <c r="E579" s="3" t="str">
        <f t="shared" ref="E579:E642" si="38">TEXT(B579,"YYYY")</f>
        <v>2021</v>
      </c>
      <c r="F579" s="2" t="s">
        <v>3752</v>
      </c>
      <c r="G579" t="s">
        <v>6162</v>
      </c>
      <c r="H579" s="2">
        <v>4</v>
      </c>
      <c r="I579" s="2" t="str">
        <f>_xlfn.XLOOKUP(F579,customers!A:A,customers!B:B)</f>
        <v>Don Flintiff</v>
      </c>
      <c r="J579" s="2" t="str">
        <f>_xlfn.XLOOKUP(F579,customers!A:A,customers!C:C)</f>
        <v>dflintiffg1@e-recht24.de</v>
      </c>
      <c r="K579" s="2" t="str">
        <f>_xlfn.XLOOKUP(F579,customers!A:A,customers!F:F)</f>
        <v>London</v>
      </c>
      <c r="L579" s="2" t="str">
        <f>_xlfn.XLOOKUP(F579,customers!A:A,customers!G:G)</f>
        <v>United Kingdom</v>
      </c>
      <c r="M579" t="str">
        <f>_xlfn.XLOOKUP(G579,products!A:A,products!B:B)</f>
        <v>Lib</v>
      </c>
      <c r="N579" t="str">
        <f>_xlfn.XLOOKUP(G579,products!A:A,products!C:C)</f>
        <v>M</v>
      </c>
      <c r="O579">
        <f>_xlfn.XLOOKUP(G579,products!A:A,products!D:D)</f>
        <v>1</v>
      </c>
      <c r="P579">
        <f>_xlfn.XLOOKUP(G579,products!A:A,products!E:E)</f>
        <v>14.55</v>
      </c>
      <c r="Q579">
        <f t="shared" ref="Q579:Q642" si="39">P579*H579</f>
        <v>58.2</v>
      </c>
      <c r="R579" t="str" cm="1">
        <f t="array" ref="R579">_xlfn.IFS(Q579&lt;=50,"low sales",Q579&lt;=100,"medium sales",Q579&gt;100,"High sales")</f>
        <v>medium sales</v>
      </c>
    </row>
    <row r="580" spans="1:18" x14ac:dyDescent="0.35">
      <c r="A580" s="2" t="s">
        <v>3756</v>
      </c>
      <c r="B580" s="3">
        <v>44720</v>
      </c>
      <c r="C580" s="3" t="str">
        <f t="shared" si="36"/>
        <v>Wednesday</v>
      </c>
      <c r="D580" s="3" t="str">
        <f t="shared" si="37"/>
        <v>June</v>
      </c>
      <c r="E580" s="3" t="str">
        <f t="shared" si="38"/>
        <v>2022</v>
      </c>
      <c r="F580" s="2" t="s">
        <v>3757</v>
      </c>
      <c r="G580" t="s">
        <v>6184</v>
      </c>
      <c r="H580" s="2">
        <v>3</v>
      </c>
      <c r="I580" s="2" t="str">
        <f>_xlfn.XLOOKUP(F580,customers!A:A,customers!B:B)</f>
        <v>Tymon Zanetti</v>
      </c>
      <c r="J580" s="2" t="str">
        <f>_xlfn.XLOOKUP(F580,customers!A:A,customers!C:C)</f>
        <v>tzanettig2@gravatar.com</v>
      </c>
      <c r="K580" s="2" t="str">
        <f>_xlfn.XLOOKUP(F580,customers!A:A,customers!F:F)</f>
        <v>Loughrea</v>
      </c>
      <c r="L580" s="2" t="str">
        <f>_xlfn.XLOOKUP(F580,customers!A:A,customers!G:G)</f>
        <v>Ireland</v>
      </c>
      <c r="M580" t="str">
        <f>_xlfn.XLOOKUP(G580,products!A:A,products!B:B)</f>
        <v>Exc</v>
      </c>
      <c r="N580" t="str">
        <f>_xlfn.XLOOKUP(G580,products!A:A,products!C:C)</f>
        <v>L</v>
      </c>
      <c r="O580">
        <f>_xlfn.XLOOKUP(G580,products!A:A,products!D:D)</f>
        <v>0.2</v>
      </c>
      <c r="P580">
        <f>_xlfn.XLOOKUP(G580,products!A:A,products!E:E)</f>
        <v>4.4550000000000001</v>
      </c>
      <c r="Q580">
        <f t="shared" si="39"/>
        <v>13.365</v>
      </c>
      <c r="R580" t="str" cm="1">
        <f t="array" ref="R580">_xlfn.IFS(Q580&lt;=50,"low sales",Q580&lt;=100,"medium sales",Q580&gt;100,"High sales")</f>
        <v>low sales</v>
      </c>
    </row>
    <row r="581" spans="1:18" x14ac:dyDescent="0.35">
      <c r="A581" s="2" t="s">
        <v>3756</v>
      </c>
      <c r="B581" s="3">
        <v>44720</v>
      </c>
      <c r="C581" s="3" t="str">
        <f t="shared" si="36"/>
        <v>Wednesday</v>
      </c>
      <c r="D581" s="3" t="str">
        <f t="shared" si="37"/>
        <v>June</v>
      </c>
      <c r="E581" s="3" t="str">
        <f t="shared" si="38"/>
        <v>2022</v>
      </c>
      <c r="F581" s="2" t="s">
        <v>3757</v>
      </c>
      <c r="G581" t="s">
        <v>6157</v>
      </c>
      <c r="H581" s="2">
        <v>5</v>
      </c>
      <c r="I581" s="2" t="str">
        <f>_xlfn.XLOOKUP(F581,customers!A:A,customers!B:B)</f>
        <v>Tymon Zanetti</v>
      </c>
      <c r="J581" s="2" t="str">
        <f>_xlfn.XLOOKUP(F581,customers!A:A,customers!C:C)</f>
        <v>tzanettig2@gravatar.com</v>
      </c>
      <c r="K581" s="2" t="str">
        <f>_xlfn.XLOOKUP(F581,customers!A:A,customers!F:F)</f>
        <v>Loughrea</v>
      </c>
      <c r="L581" s="2" t="str">
        <f>_xlfn.XLOOKUP(F581,customers!A:A,customers!G:G)</f>
        <v>Ireland</v>
      </c>
      <c r="M581" t="str">
        <f>_xlfn.XLOOKUP(G581,products!A:A,products!B:B)</f>
        <v>Ara</v>
      </c>
      <c r="N581" t="str">
        <f>_xlfn.XLOOKUP(G581,products!A:A,products!C:C)</f>
        <v>M</v>
      </c>
      <c r="O581">
        <f>_xlfn.XLOOKUP(G581,products!A:A,products!D:D)</f>
        <v>0.5</v>
      </c>
      <c r="P581">
        <f>_xlfn.XLOOKUP(G581,products!A:A,products!E:E)</f>
        <v>6.75</v>
      </c>
      <c r="Q581">
        <f t="shared" si="39"/>
        <v>33.75</v>
      </c>
      <c r="R581" t="str" cm="1">
        <f t="array" ref="R581">_xlfn.IFS(Q581&lt;=50,"low sales",Q581&lt;=100,"medium sales",Q581&gt;100,"High sales")</f>
        <v>low sales</v>
      </c>
    </row>
    <row r="582" spans="1:18" x14ac:dyDescent="0.35">
      <c r="A582" s="2" t="s">
        <v>3767</v>
      </c>
      <c r="B582" s="3">
        <v>43965</v>
      </c>
      <c r="C582" s="3" t="str">
        <f t="shared" si="36"/>
        <v>Thursday</v>
      </c>
      <c r="D582" s="3" t="str">
        <f t="shared" si="37"/>
        <v>May</v>
      </c>
      <c r="E582" s="3" t="str">
        <f t="shared" si="38"/>
        <v>2020</v>
      </c>
      <c r="F582" s="2" t="s">
        <v>3768</v>
      </c>
      <c r="G582" t="s">
        <v>6171</v>
      </c>
      <c r="H582" s="2">
        <v>3</v>
      </c>
      <c r="I582" s="2" t="str">
        <f>_xlfn.XLOOKUP(F582,customers!A:A,customers!B:B)</f>
        <v>Reinaldos Kirtley</v>
      </c>
      <c r="J582" s="2" t="str">
        <f>_xlfn.XLOOKUP(F582,customers!A:A,customers!C:C)</f>
        <v>rkirtleyg4@hatena.ne.jp</v>
      </c>
      <c r="K582" s="2" t="str">
        <f>_xlfn.XLOOKUP(F582,customers!A:A,customers!F:F)</f>
        <v>Whittier</v>
      </c>
      <c r="L582" s="2" t="str">
        <f>_xlfn.XLOOKUP(F582,customers!A:A,customers!G:G)</f>
        <v>United States</v>
      </c>
      <c r="M582" t="str">
        <f>_xlfn.XLOOKUP(G582,products!A:A,products!B:B)</f>
        <v>Exc</v>
      </c>
      <c r="N582" t="str">
        <f>_xlfn.XLOOKUP(G582,products!A:A,products!C:C)</f>
        <v>L</v>
      </c>
      <c r="O582">
        <f>_xlfn.XLOOKUP(G582,products!A:A,products!D:D)</f>
        <v>1</v>
      </c>
      <c r="P582">
        <f>_xlfn.XLOOKUP(G582,products!A:A,products!E:E)</f>
        <v>14.85</v>
      </c>
      <c r="Q582">
        <f t="shared" si="39"/>
        <v>44.55</v>
      </c>
      <c r="R582" t="str" cm="1">
        <f t="array" ref="R582">_xlfn.IFS(Q582&lt;=50,"low sales",Q582&lt;=100,"medium sales",Q582&gt;100,"High sales")</f>
        <v>low sales</v>
      </c>
    </row>
    <row r="583" spans="1:18" x14ac:dyDescent="0.35">
      <c r="A583" s="2" t="s">
        <v>3773</v>
      </c>
      <c r="B583" s="3">
        <v>44190</v>
      </c>
      <c r="C583" s="3" t="str">
        <f t="shared" si="36"/>
        <v>Friday</v>
      </c>
      <c r="D583" s="3" t="str">
        <f t="shared" si="37"/>
        <v>December</v>
      </c>
      <c r="E583" s="3" t="str">
        <f t="shared" si="38"/>
        <v>2020</v>
      </c>
      <c r="F583" s="2" t="s">
        <v>3774</v>
      </c>
      <c r="G583" t="s">
        <v>6176</v>
      </c>
      <c r="H583" s="2">
        <v>5</v>
      </c>
      <c r="I583" s="2" t="str">
        <f>_xlfn.XLOOKUP(F583,customers!A:A,customers!B:B)</f>
        <v>Carney Clemencet</v>
      </c>
      <c r="J583" s="2" t="str">
        <f>_xlfn.XLOOKUP(F583,customers!A:A,customers!C:C)</f>
        <v>cclemencetg5@weather.com</v>
      </c>
      <c r="K583" s="2" t="str">
        <f>_xlfn.XLOOKUP(F583,customers!A:A,customers!F:F)</f>
        <v>Birmingham</v>
      </c>
      <c r="L583" s="2" t="str">
        <f>_xlfn.XLOOKUP(F583,customers!A:A,customers!G:G)</f>
        <v>United Kingdom</v>
      </c>
      <c r="M583" t="str">
        <f>_xlfn.XLOOKUP(G583,products!A:A,products!B:B)</f>
        <v>Exc</v>
      </c>
      <c r="N583" t="str">
        <f>_xlfn.XLOOKUP(G583,products!A:A,products!C:C)</f>
        <v>L</v>
      </c>
      <c r="O583">
        <f>_xlfn.XLOOKUP(G583,products!A:A,products!D:D)</f>
        <v>0.5</v>
      </c>
      <c r="P583">
        <f>_xlfn.XLOOKUP(G583,products!A:A,products!E:E)</f>
        <v>8.91</v>
      </c>
      <c r="Q583">
        <f t="shared" si="39"/>
        <v>44.55</v>
      </c>
      <c r="R583" t="str" cm="1">
        <f t="array" ref="R583">_xlfn.IFS(Q583&lt;=50,"low sales",Q583&lt;=100,"medium sales",Q583&gt;100,"High sales")</f>
        <v>low sales</v>
      </c>
    </row>
    <row r="584" spans="1:18" x14ac:dyDescent="0.35">
      <c r="A584" s="2" t="s">
        <v>3778</v>
      </c>
      <c r="B584" s="3">
        <v>44382</v>
      </c>
      <c r="C584" s="3" t="str">
        <f t="shared" si="36"/>
        <v>Monday</v>
      </c>
      <c r="D584" s="3" t="str">
        <f t="shared" si="37"/>
        <v>July</v>
      </c>
      <c r="E584" s="3" t="str">
        <f t="shared" si="38"/>
        <v>2021</v>
      </c>
      <c r="F584" s="2" t="s">
        <v>3779</v>
      </c>
      <c r="G584" t="s">
        <v>6183</v>
      </c>
      <c r="H584" s="2">
        <v>5</v>
      </c>
      <c r="I584" s="2" t="str">
        <f>_xlfn.XLOOKUP(F584,customers!A:A,customers!B:B)</f>
        <v>Russell Donet</v>
      </c>
      <c r="J584" s="2" t="str">
        <f>_xlfn.XLOOKUP(F584,customers!A:A,customers!C:C)</f>
        <v>rdonetg6@oakley.com</v>
      </c>
      <c r="K584" s="2" t="str">
        <f>_xlfn.XLOOKUP(F584,customers!A:A,customers!F:F)</f>
        <v>Richmond</v>
      </c>
      <c r="L584" s="2" t="str">
        <f>_xlfn.XLOOKUP(F584,customers!A:A,customers!G:G)</f>
        <v>United States</v>
      </c>
      <c r="M584" t="str">
        <f>_xlfn.XLOOKUP(G584,products!A:A,products!B:B)</f>
        <v>Exc</v>
      </c>
      <c r="N584" t="str">
        <f>_xlfn.XLOOKUP(G584,products!A:A,products!C:C)</f>
        <v>D</v>
      </c>
      <c r="O584">
        <f>_xlfn.XLOOKUP(G584,products!A:A,products!D:D)</f>
        <v>1</v>
      </c>
      <c r="P584">
        <f>_xlfn.XLOOKUP(G584,products!A:A,products!E:E)</f>
        <v>12.15</v>
      </c>
      <c r="Q584">
        <f t="shared" si="39"/>
        <v>60.75</v>
      </c>
      <c r="R584" t="str" cm="1">
        <f t="array" ref="R584">_xlfn.IFS(Q584&lt;=50,"low sales",Q584&lt;=100,"medium sales",Q584&gt;100,"High sales")</f>
        <v>medium sales</v>
      </c>
    </row>
    <row r="585" spans="1:18" x14ac:dyDescent="0.35">
      <c r="A585" s="2" t="s">
        <v>3784</v>
      </c>
      <c r="B585" s="3">
        <v>43538</v>
      </c>
      <c r="C585" s="3" t="str">
        <f t="shared" si="36"/>
        <v>Thursday</v>
      </c>
      <c r="D585" s="3" t="str">
        <f t="shared" si="37"/>
        <v>March</v>
      </c>
      <c r="E585" s="3" t="str">
        <f t="shared" si="38"/>
        <v>2019</v>
      </c>
      <c r="F585" s="2" t="s">
        <v>3785</v>
      </c>
      <c r="G585" t="s">
        <v>6178</v>
      </c>
      <c r="H585" s="2">
        <v>1</v>
      </c>
      <c r="I585" s="2" t="str">
        <f>_xlfn.XLOOKUP(F585,customers!A:A,customers!B:B)</f>
        <v>Sidney Gawen</v>
      </c>
      <c r="J585" s="2" t="str">
        <f>_xlfn.XLOOKUP(F585,customers!A:A,customers!C:C)</f>
        <v>sgaweng7@creativecommons.org</v>
      </c>
      <c r="K585" s="2" t="str">
        <f>_xlfn.XLOOKUP(F585,customers!A:A,customers!F:F)</f>
        <v>Sterling</v>
      </c>
      <c r="L585" s="2" t="str">
        <f>_xlfn.XLOOKUP(F585,customers!A:A,customers!G:G)</f>
        <v>United States</v>
      </c>
      <c r="M585" t="str">
        <f>_xlfn.XLOOKUP(G585,products!A:A,products!B:B)</f>
        <v>Rob</v>
      </c>
      <c r="N585" t="str">
        <f>_xlfn.XLOOKUP(G585,products!A:A,products!C:C)</f>
        <v>L</v>
      </c>
      <c r="O585">
        <f>_xlfn.XLOOKUP(G585,products!A:A,products!D:D)</f>
        <v>0.2</v>
      </c>
      <c r="P585">
        <f>_xlfn.XLOOKUP(G585,products!A:A,products!E:E)</f>
        <v>3.5849999999999995</v>
      </c>
      <c r="Q585">
        <f t="shared" si="39"/>
        <v>3.5849999999999995</v>
      </c>
      <c r="R585" t="str" cm="1">
        <f t="array" ref="R585">_xlfn.IFS(Q585&lt;=50,"low sales",Q585&lt;=100,"medium sales",Q585&gt;100,"High sales")</f>
        <v>low sales</v>
      </c>
    </row>
    <row r="586" spans="1:18" x14ac:dyDescent="0.35">
      <c r="A586" s="2" t="s">
        <v>3790</v>
      </c>
      <c r="B586" s="3">
        <v>44262</v>
      </c>
      <c r="C586" s="3" t="str">
        <f t="shared" si="36"/>
        <v>Sunday</v>
      </c>
      <c r="D586" s="3" t="str">
        <f t="shared" si="37"/>
        <v>March</v>
      </c>
      <c r="E586" s="3" t="str">
        <f t="shared" si="38"/>
        <v>2021</v>
      </c>
      <c r="F586" s="2" t="s">
        <v>3791</v>
      </c>
      <c r="G586" t="s">
        <v>6178</v>
      </c>
      <c r="H586" s="2">
        <v>6</v>
      </c>
      <c r="I586" s="2" t="str">
        <f>_xlfn.XLOOKUP(F586,customers!A:A,customers!B:B)</f>
        <v>Rickey Readie</v>
      </c>
      <c r="J586" s="2" t="str">
        <f>_xlfn.XLOOKUP(F586,customers!A:A,customers!C:C)</f>
        <v>rreadieg8@guardian.co.uk</v>
      </c>
      <c r="K586" s="2" t="str">
        <f>_xlfn.XLOOKUP(F586,customers!A:A,customers!F:F)</f>
        <v>Carson City</v>
      </c>
      <c r="L586" s="2" t="str">
        <f>_xlfn.XLOOKUP(F586,customers!A:A,customers!G:G)</f>
        <v>United States</v>
      </c>
      <c r="M586" t="str">
        <f>_xlfn.XLOOKUP(G586,products!A:A,products!B:B)</f>
        <v>Rob</v>
      </c>
      <c r="N586" t="str">
        <f>_xlfn.XLOOKUP(G586,products!A:A,products!C:C)</f>
        <v>L</v>
      </c>
      <c r="O586">
        <f>_xlfn.XLOOKUP(G586,products!A:A,products!D:D)</f>
        <v>0.2</v>
      </c>
      <c r="P586">
        <f>_xlfn.XLOOKUP(G586,products!A:A,products!E:E)</f>
        <v>3.5849999999999995</v>
      </c>
      <c r="Q586">
        <f t="shared" si="39"/>
        <v>21.509999999999998</v>
      </c>
      <c r="R586" t="str" cm="1">
        <f t="array" ref="R586">_xlfn.IFS(Q586&lt;=50,"low sales",Q586&lt;=100,"medium sales",Q586&gt;100,"High sales")</f>
        <v>low sales</v>
      </c>
    </row>
    <row r="587" spans="1:18" x14ac:dyDescent="0.35">
      <c r="A587" s="2" t="s">
        <v>3796</v>
      </c>
      <c r="B587" s="3">
        <v>44505</v>
      </c>
      <c r="C587" s="3" t="str">
        <f t="shared" si="36"/>
        <v>Friday</v>
      </c>
      <c r="D587" s="3" t="str">
        <f t="shared" si="37"/>
        <v>November</v>
      </c>
      <c r="E587" s="3" t="str">
        <f t="shared" si="38"/>
        <v>2021</v>
      </c>
      <c r="F587" s="2" t="s">
        <v>3840</v>
      </c>
      <c r="G587" t="s">
        <v>6139</v>
      </c>
      <c r="H587" s="2">
        <v>2</v>
      </c>
      <c r="I587" s="2" t="str">
        <f>_xlfn.XLOOKUP(F587,customers!A:A,customers!B:B)</f>
        <v>Cody Verissimo</v>
      </c>
      <c r="J587" s="2" t="str">
        <f>_xlfn.XLOOKUP(F587,customers!A:A,customers!C:C)</f>
        <v>cverissimogh@theglobeandmail.com</v>
      </c>
      <c r="K587" s="2" t="str">
        <f>_xlfn.XLOOKUP(F587,customers!A:A,customers!F:F)</f>
        <v>Upton</v>
      </c>
      <c r="L587" s="2" t="str">
        <f>_xlfn.XLOOKUP(F587,customers!A:A,customers!G:G)</f>
        <v>United Kingdom</v>
      </c>
      <c r="M587" t="str">
        <f>_xlfn.XLOOKUP(G587,products!A:A,products!B:B)</f>
        <v>Exc</v>
      </c>
      <c r="N587" t="str">
        <f>_xlfn.XLOOKUP(G587,products!A:A,products!C:C)</f>
        <v>M</v>
      </c>
      <c r="O587">
        <f>_xlfn.XLOOKUP(G587,products!A:A,products!D:D)</f>
        <v>0.5</v>
      </c>
      <c r="P587">
        <f>_xlfn.XLOOKUP(G587,products!A:A,products!E:E)</f>
        <v>8.25</v>
      </c>
      <c r="Q587">
        <f t="shared" si="39"/>
        <v>16.5</v>
      </c>
      <c r="R587" t="str" cm="1">
        <f t="array" ref="R587">_xlfn.IFS(Q587&lt;=50,"low sales",Q587&lt;=100,"medium sales",Q587&gt;100,"High sales")</f>
        <v>low sales</v>
      </c>
    </row>
    <row r="588" spans="1:18" x14ac:dyDescent="0.35">
      <c r="A588" s="2" t="s">
        <v>3802</v>
      </c>
      <c r="B588" s="3">
        <v>43867</v>
      </c>
      <c r="C588" s="3" t="str">
        <f t="shared" si="36"/>
        <v>Thursday</v>
      </c>
      <c r="D588" s="3" t="str">
        <f t="shared" si="37"/>
        <v>February</v>
      </c>
      <c r="E588" s="3" t="str">
        <f t="shared" si="38"/>
        <v>2020</v>
      </c>
      <c r="F588" s="2" t="s">
        <v>3803</v>
      </c>
      <c r="G588" t="s">
        <v>6142</v>
      </c>
      <c r="H588" s="2">
        <v>3</v>
      </c>
      <c r="I588" s="2" t="str">
        <f>_xlfn.XLOOKUP(F588,customers!A:A,customers!B:B)</f>
        <v>Zilvia Claisse</v>
      </c>
      <c r="J588" s="2">
        <f>_xlfn.XLOOKUP(F588,customers!A:A,customers!C:C)</f>
        <v>0</v>
      </c>
      <c r="K588" s="2" t="str">
        <f>_xlfn.XLOOKUP(F588,customers!A:A,customers!F:F)</f>
        <v>Saint Paul</v>
      </c>
      <c r="L588" s="2" t="str">
        <f>_xlfn.XLOOKUP(F588,customers!A:A,customers!G:G)</f>
        <v>United States</v>
      </c>
      <c r="M588" t="str">
        <f>_xlfn.XLOOKUP(G588,products!A:A,products!B:B)</f>
        <v>Rob</v>
      </c>
      <c r="N588" t="str">
        <f>_xlfn.XLOOKUP(G588,products!A:A,products!C:C)</f>
        <v>L</v>
      </c>
      <c r="O588">
        <f>_xlfn.XLOOKUP(G588,products!A:A,products!D:D)</f>
        <v>2.5</v>
      </c>
      <c r="P588">
        <f>_xlfn.XLOOKUP(G588,products!A:A,products!E:E)</f>
        <v>27.484999999999996</v>
      </c>
      <c r="Q588">
        <f t="shared" si="39"/>
        <v>82.454999999999984</v>
      </c>
      <c r="R588" t="str" cm="1">
        <f t="array" ref="R588">_xlfn.IFS(Q588&lt;=50,"low sales",Q588&lt;=100,"medium sales",Q588&gt;100,"High sales")</f>
        <v>medium sales</v>
      </c>
    </row>
    <row r="589" spans="1:18" x14ac:dyDescent="0.35">
      <c r="A589" s="2" t="s">
        <v>3807</v>
      </c>
      <c r="B589" s="3">
        <v>44267</v>
      </c>
      <c r="C589" s="3" t="str">
        <f t="shared" si="36"/>
        <v>Friday</v>
      </c>
      <c r="D589" s="3" t="str">
        <f t="shared" si="37"/>
        <v>March</v>
      </c>
      <c r="E589" s="3" t="str">
        <f t="shared" si="38"/>
        <v>2021</v>
      </c>
      <c r="F589" s="2" t="s">
        <v>3808</v>
      </c>
      <c r="G589" t="s">
        <v>6169</v>
      </c>
      <c r="H589" s="2">
        <v>1</v>
      </c>
      <c r="I589" s="2" t="str">
        <f>_xlfn.XLOOKUP(F589,customers!A:A,customers!B:B)</f>
        <v>Bar O' Mahony</v>
      </c>
      <c r="J589" s="2" t="str">
        <f>_xlfn.XLOOKUP(F589,customers!A:A,customers!C:C)</f>
        <v>bogb@elpais.com</v>
      </c>
      <c r="K589" s="2" t="str">
        <f>_xlfn.XLOOKUP(F589,customers!A:A,customers!F:F)</f>
        <v>Huntsville</v>
      </c>
      <c r="L589" s="2" t="str">
        <f>_xlfn.XLOOKUP(F589,customers!A:A,customers!G:G)</f>
        <v>United States</v>
      </c>
      <c r="M589" t="str">
        <f>_xlfn.XLOOKUP(G589,products!A:A,products!B:B)</f>
        <v>Lib</v>
      </c>
      <c r="N589" t="str">
        <f>_xlfn.XLOOKUP(G589,products!A:A,products!C:C)</f>
        <v>D</v>
      </c>
      <c r="O589">
        <f>_xlfn.XLOOKUP(G589,products!A:A,products!D:D)</f>
        <v>0.5</v>
      </c>
      <c r="P589">
        <f>_xlfn.XLOOKUP(G589,products!A:A,products!E:E)</f>
        <v>7.77</v>
      </c>
      <c r="Q589">
        <f t="shared" si="39"/>
        <v>7.77</v>
      </c>
      <c r="R589" t="str" cm="1">
        <f t="array" ref="R589">_xlfn.IFS(Q589&lt;=50,"low sales",Q589&lt;=100,"medium sales",Q589&gt;100,"High sales")</f>
        <v>low sales</v>
      </c>
    </row>
    <row r="590" spans="1:18" x14ac:dyDescent="0.35">
      <c r="A590" s="2" t="s">
        <v>3812</v>
      </c>
      <c r="B590" s="3">
        <v>44046</v>
      </c>
      <c r="C590" s="3" t="str">
        <f t="shared" si="36"/>
        <v>Monday</v>
      </c>
      <c r="D590" s="3" t="str">
        <f t="shared" si="37"/>
        <v>August</v>
      </c>
      <c r="E590" s="3" t="str">
        <f t="shared" si="38"/>
        <v>2020</v>
      </c>
      <c r="F590" s="2" t="s">
        <v>3813</v>
      </c>
      <c r="G590" t="s">
        <v>6146</v>
      </c>
      <c r="H590" s="2">
        <v>2</v>
      </c>
      <c r="I590" s="2" t="str">
        <f>_xlfn.XLOOKUP(F590,customers!A:A,customers!B:B)</f>
        <v>Valenka Stansbury</v>
      </c>
      <c r="J590" s="2" t="str">
        <f>_xlfn.XLOOKUP(F590,customers!A:A,customers!C:C)</f>
        <v>vstansburygc@unblog.fr</v>
      </c>
      <c r="K590" s="2" t="str">
        <f>_xlfn.XLOOKUP(F590,customers!A:A,customers!F:F)</f>
        <v>El Paso</v>
      </c>
      <c r="L590" s="2" t="str">
        <f>_xlfn.XLOOKUP(F590,customers!A:A,customers!G:G)</f>
        <v>United States</v>
      </c>
      <c r="M590" t="str">
        <f>_xlfn.XLOOKUP(G590,products!A:A,products!B:B)</f>
        <v>Rob</v>
      </c>
      <c r="N590" t="str">
        <f>_xlfn.XLOOKUP(G590,products!A:A,products!C:C)</f>
        <v>M</v>
      </c>
      <c r="O590">
        <f>_xlfn.XLOOKUP(G590,products!A:A,products!D:D)</f>
        <v>0.5</v>
      </c>
      <c r="P590">
        <f>_xlfn.XLOOKUP(G590,products!A:A,products!E:E)</f>
        <v>5.97</v>
      </c>
      <c r="Q590">
        <f t="shared" si="39"/>
        <v>11.94</v>
      </c>
      <c r="R590" t="str" cm="1">
        <f t="array" ref="R590">_xlfn.IFS(Q590&lt;=50,"low sales",Q590&lt;=100,"medium sales",Q590&gt;100,"High sales")</f>
        <v>low sales</v>
      </c>
    </row>
    <row r="591" spans="1:18" x14ac:dyDescent="0.35">
      <c r="A591" s="2" t="s">
        <v>3818</v>
      </c>
      <c r="B591" s="3">
        <v>43671</v>
      </c>
      <c r="C591" s="3" t="str">
        <f t="shared" si="36"/>
        <v>Thursday</v>
      </c>
      <c r="D591" s="3" t="str">
        <f t="shared" si="37"/>
        <v>July</v>
      </c>
      <c r="E591" s="3" t="str">
        <f t="shared" si="38"/>
        <v>2019</v>
      </c>
      <c r="F591" s="2" t="s">
        <v>3819</v>
      </c>
      <c r="G591" t="s">
        <v>6148</v>
      </c>
      <c r="H591" s="2">
        <v>6</v>
      </c>
      <c r="I591" s="2" t="str">
        <f>_xlfn.XLOOKUP(F591,customers!A:A,customers!B:B)</f>
        <v>Daniel Heinonen</v>
      </c>
      <c r="J591" s="2" t="str">
        <f>_xlfn.XLOOKUP(F591,customers!A:A,customers!C:C)</f>
        <v>dheinonengd@printfriendly.com</v>
      </c>
      <c r="K591" s="2" t="str">
        <f>_xlfn.XLOOKUP(F591,customers!A:A,customers!F:F)</f>
        <v>Decatur</v>
      </c>
      <c r="L591" s="2" t="str">
        <f>_xlfn.XLOOKUP(F591,customers!A:A,customers!G:G)</f>
        <v>United States</v>
      </c>
      <c r="M591" t="str">
        <f>_xlfn.XLOOKUP(G591,products!A:A,products!B:B)</f>
        <v>Exc</v>
      </c>
      <c r="N591" t="str">
        <f>_xlfn.XLOOKUP(G591,products!A:A,products!C:C)</f>
        <v>L</v>
      </c>
      <c r="O591">
        <f>_xlfn.XLOOKUP(G591,products!A:A,products!D:D)</f>
        <v>2.5</v>
      </c>
      <c r="P591">
        <f>_xlfn.XLOOKUP(G591,products!A:A,products!E:E)</f>
        <v>34.154999999999994</v>
      </c>
      <c r="Q591">
        <f t="shared" si="39"/>
        <v>204.92999999999995</v>
      </c>
      <c r="R591" t="str" cm="1">
        <f t="array" ref="R591">_xlfn.IFS(Q591&lt;=50,"low sales",Q591&lt;=100,"medium sales",Q591&gt;100,"High sales")</f>
        <v>High sales</v>
      </c>
    </row>
    <row r="592" spans="1:18" x14ac:dyDescent="0.35">
      <c r="A592" s="2" t="s">
        <v>3823</v>
      </c>
      <c r="B592" s="3">
        <v>43950</v>
      </c>
      <c r="C592" s="3" t="str">
        <f t="shared" si="36"/>
        <v>Wednesday</v>
      </c>
      <c r="D592" s="3" t="str">
        <f t="shared" si="37"/>
        <v>April</v>
      </c>
      <c r="E592" s="3" t="str">
        <f t="shared" si="38"/>
        <v>2020</v>
      </c>
      <c r="F592" s="2" t="s">
        <v>3824</v>
      </c>
      <c r="G592" t="s">
        <v>6166</v>
      </c>
      <c r="H592" s="2">
        <v>2</v>
      </c>
      <c r="I592" s="2" t="str">
        <f>_xlfn.XLOOKUP(F592,customers!A:A,customers!B:B)</f>
        <v>Jewelle Shenton</v>
      </c>
      <c r="J592" s="2" t="str">
        <f>_xlfn.XLOOKUP(F592,customers!A:A,customers!C:C)</f>
        <v>jshentonge@google.com.hk</v>
      </c>
      <c r="K592" s="2" t="str">
        <f>_xlfn.XLOOKUP(F592,customers!A:A,customers!F:F)</f>
        <v>Orange</v>
      </c>
      <c r="L592" s="2" t="str">
        <f>_xlfn.XLOOKUP(F592,customers!A:A,customers!G:G)</f>
        <v>United States</v>
      </c>
      <c r="M592" t="str">
        <f>_xlfn.XLOOKUP(G592,products!A:A,products!B:B)</f>
        <v>Exc</v>
      </c>
      <c r="N592" t="str">
        <f>_xlfn.XLOOKUP(G592,products!A:A,products!C:C)</f>
        <v>M</v>
      </c>
      <c r="O592">
        <f>_xlfn.XLOOKUP(G592,products!A:A,products!D:D)</f>
        <v>2.5</v>
      </c>
      <c r="P592">
        <f>_xlfn.XLOOKUP(G592,products!A:A,products!E:E)</f>
        <v>31.624999999999996</v>
      </c>
      <c r="Q592">
        <f t="shared" si="39"/>
        <v>63.249999999999993</v>
      </c>
      <c r="R592" t="str" cm="1">
        <f t="array" ref="R592">_xlfn.IFS(Q592&lt;=50,"low sales",Q592&lt;=100,"medium sales",Q592&gt;100,"High sales")</f>
        <v>medium sales</v>
      </c>
    </row>
    <row r="593" spans="1:18" x14ac:dyDescent="0.35">
      <c r="A593" s="2" t="s">
        <v>3829</v>
      </c>
      <c r="B593" s="3">
        <v>43587</v>
      </c>
      <c r="C593" s="3" t="str">
        <f t="shared" si="36"/>
        <v>Thursday</v>
      </c>
      <c r="D593" s="3" t="str">
        <f t="shared" si="37"/>
        <v>May</v>
      </c>
      <c r="E593" s="3" t="str">
        <f t="shared" si="38"/>
        <v>2019</v>
      </c>
      <c r="F593" s="2" t="s">
        <v>3830</v>
      </c>
      <c r="G593" t="s">
        <v>6163</v>
      </c>
      <c r="H593" s="2">
        <v>3</v>
      </c>
      <c r="I593" s="2" t="str">
        <f>_xlfn.XLOOKUP(F593,customers!A:A,customers!B:B)</f>
        <v>Jennifer Wilkisson</v>
      </c>
      <c r="J593" s="2" t="str">
        <f>_xlfn.XLOOKUP(F593,customers!A:A,customers!C:C)</f>
        <v>jwilkissongf@nba.com</v>
      </c>
      <c r="K593" s="2" t="str">
        <f>_xlfn.XLOOKUP(F593,customers!A:A,customers!F:F)</f>
        <v>Huntington Beach</v>
      </c>
      <c r="L593" s="2" t="str">
        <f>_xlfn.XLOOKUP(F593,customers!A:A,customers!G:G)</f>
        <v>United States</v>
      </c>
      <c r="M593" t="str">
        <f>_xlfn.XLOOKUP(G593,products!A:A,products!B:B)</f>
        <v>Rob</v>
      </c>
      <c r="N593" t="str">
        <f>_xlfn.XLOOKUP(G593,products!A:A,products!C:C)</f>
        <v>D</v>
      </c>
      <c r="O593">
        <f>_xlfn.XLOOKUP(G593,products!A:A,products!D:D)</f>
        <v>0.2</v>
      </c>
      <c r="P593">
        <f>_xlfn.XLOOKUP(G593,products!A:A,products!E:E)</f>
        <v>2.6849999999999996</v>
      </c>
      <c r="Q593">
        <f t="shared" si="39"/>
        <v>8.0549999999999997</v>
      </c>
      <c r="R593" t="str" cm="1">
        <f t="array" ref="R593">_xlfn.IFS(Q593&lt;=50,"low sales",Q593&lt;=100,"medium sales",Q593&gt;100,"High sales")</f>
        <v>low sales</v>
      </c>
    </row>
    <row r="594" spans="1:18" x14ac:dyDescent="0.35">
      <c r="A594" s="2" t="s">
        <v>3834</v>
      </c>
      <c r="B594" s="3">
        <v>44437</v>
      </c>
      <c r="C594" s="3" t="str">
        <f t="shared" si="36"/>
        <v>Sunday</v>
      </c>
      <c r="D594" s="3" t="str">
        <f t="shared" si="37"/>
        <v>August</v>
      </c>
      <c r="E594" s="3" t="str">
        <f t="shared" si="38"/>
        <v>2021</v>
      </c>
      <c r="F594" s="2" t="s">
        <v>3835</v>
      </c>
      <c r="G594" t="s">
        <v>6175</v>
      </c>
      <c r="H594" s="2">
        <v>2</v>
      </c>
      <c r="I594" s="2" t="str">
        <f>_xlfn.XLOOKUP(F594,customers!A:A,customers!B:B)</f>
        <v>Kylie Mowat</v>
      </c>
      <c r="J594" s="2">
        <f>_xlfn.XLOOKUP(F594,customers!A:A,customers!C:C)</f>
        <v>0</v>
      </c>
      <c r="K594" s="2" t="str">
        <f>_xlfn.XLOOKUP(F594,customers!A:A,customers!F:F)</f>
        <v>Milwaukee</v>
      </c>
      <c r="L594" s="2" t="str">
        <f>_xlfn.XLOOKUP(F594,customers!A:A,customers!G:G)</f>
        <v>United States</v>
      </c>
      <c r="M594" t="str">
        <f>_xlfn.XLOOKUP(G594,products!A:A,products!B:B)</f>
        <v>Ara</v>
      </c>
      <c r="N594" t="str">
        <f>_xlfn.XLOOKUP(G594,products!A:A,products!C:C)</f>
        <v>M</v>
      </c>
      <c r="O594">
        <f>_xlfn.XLOOKUP(G594,products!A:A,products!D:D)</f>
        <v>2.5</v>
      </c>
      <c r="P594">
        <f>_xlfn.XLOOKUP(G594,products!A:A,products!E:E)</f>
        <v>25.874999999999996</v>
      </c>
      <c r="Q594">
        <f t="shared" si="39"/>
        <v>51.749999999999993</v>
      </c>
      <c r="R594" t="str" cm="1">
        <f t="array" ref="R594">_xlfn.IFS(Q594&lt;=50,"low sales",Q594&lt;=100,"medium sales",Q594&gt;100,"High sales")</f>
        <v>medium sales</v>
      </c>
    </row>
    <row r="595" spans="1:18" x14ac:dyDescent="0.35">
      <c r="A595" s="2" t="s">
        <v>3839</v>
      </c>
      <c r="B595" s="3">
        <v>43903</v>
      </c>
      <c r="C595" s="3" t="str">
        <f t="shared" si="36"/>
        <v>Friday</v>
      </c>
      <c r="D595" s="3" t="str">
        <f t="shared" si="37"/>
        <v>March</v>
      </c>
      <c r="E595" s="3" t="str">
        <f t="shared" si="38"/>
        <v>2020</v>
      </c>
      <c r="F595" s="2" t="s">
        <v>3840</v>
      </c>
      <c r="G595" t="s">
        <v>6185</v>
      </c>
      <c r="H595" s="2">
        <v>1</v>
      </c>
      <c r="I595" s="2" t="str">
        <f>_xlfn.XLOOKUP(F595,customers!A:A,customers!B:B)</f>
        <v>Cody Verissimo</v>
      </c>
      <c r="J595" s="2" t="str">
        <f>_xlfn.XLOOKUP(F595,customers!A:A,customers!C:C)</f>
        <v>cverissimogh@theglobeandmail.com</v>
      </c>
      <c r="K595" s="2" t="str">
        <f>_xlfn.XLOOKUP(F595,customers!A:A,customers!F:F)</f>
        <v>Upton</v>
      </c>
      <c r="L595" s="2" t="str">
        <f>_xlfn.XLOOKUP(F595,customers!A:A,customers!G:G)</f>
        <v>United Kingdom</v>
      </c>
      <c r="M595" t="str">
        <f>_xlfn.XLOOKUP(G595,products!A:A,products!B:B)</f>
        <v>Exc</v>
      </c>
      <c r="N595" t="str">
        <f>_xlfn.XLOOKUP(G595,products!A:A,products!C:C)</f>
        <v>D</v>
      </c>
      <c r="O595">
        <f>_xlfn.XLOOKUP(G595,products!A:A,products!D:D)</f>
        <v>2.5</v>
      </c>
      <c r="P595">
        <f>_xlfn.XLOOKUP(G595,products!A:A,products!E:E)</f>
        <v>27.945</v>
      </c>
      <c r="Q595">
        <f t="shared" si="39"/>
        <v>27.945</v>
      </c>
      <c r="R595" t="str" cm="1">
        <f t="array" ref="R595">_xlfn.IFS(Q595&lt;=50,"low sales",Q595&lt;=100,"medium sales",Q595&gt;100,"High sales")</f>
        <v>low sales</v>
      </c>
    </row>
    <row r="596" spans="1:18" x14ac:dyDescent="0.35">
      <c r="A596" s="2" t="s">
        <v>3844</v>
      </c>
      <c r="B596" s="3">
        <v>43512</v>
      </c>
      <c r="C596" s="3" t="str">
        <f t="shared" si="36"/>
        <v>Saturday</v>
      </c>
      <c r="D596" s="3" t="str">
        <f t="shared" si="37"/>
        <v>February</v>
      </c>
      <c r="E596" s="3" t="str">
        <f t="shared" si="38"/>
        <v>2019</v>
      </c>
      <c r="F596" s="2" t="s">
        <v>3845</v>
      </c>
      <c r="G596" t="s">
        <v>6182</v>
      </c>
      <c r="H596" s="2">
        <v>2</v>
      </c>
      <c r="I596" s="2" t="str">
        <f>_xlfn.XLOOKUP(F596,customers!A:A,customers!B:B)</f>
        <v>Gabriel Starcks</v>
      </c>
      <c r="J596" s="2" t="str">
        <f>_xlfn.XLOOKUP(F596,customers!A:A,customers!C:C)</f>
        <v>gstarcksgi@abc.net.au</v>
      </c>
      <c r="K596" s="2" t="str">
        <f>_xlfn.XLOOKUP(F596,customers!A:A,customers!F:F)</f>
        <v>Chattanooga</v>
      </c>
      <c r="L596" s="2" t="str">
        <f>_xlfn.XLOOKUP(F596,customers!A:A,customers!G:G)</f>
        <v>United States</v>
      </c>
      <c r="M596" t="str">
        <f>_xlfn.XLOOKUP(G596,products!A:A,products!B:B)</f>
        <v>Ara</v>
      </c>
      <c r="N596" t="str">
        <f>_xlfn.XLOOKUP(G596,products!A:A,products!C:C)</f>
        <v>L</v>
      </c>
      <c r="O596">
        <f>_xlfn.XLOOKUP(G596,products!A:A,products!D:D)</f>
        <v>2.5</v>
      </c>
      <c r="P596">
        <f>_xlfn.XLOOKUP(G596,products!A:A,products!E:E)</f>
        <v>29.784999999999997</v>
      </c>
      <c r="Q596">
        <f t="shared" si="39"/>
        <v>59.569999999999993</v>
      </c>
      <c r="R596" t="str" cm="1">
        <f t="array" ref="R596">_xlfn.IFS(Q596&lt;=50,"low sales",Q596&lt;=100,"medium sales",Q596&gt;100,"High sales")</f>
        <v>medium sales</v>
      </c>
    </row>
    <row r="597" spans="1:18" x14ac:dyDescent="0.35">
      <c r="A597" s="2" t="s">
        <v>3850</v>
      </c>
      <c r="B597" s="3">
        <v>44527</v>
      </c>
      <c r="C597" s="3" t="str">
        <f t="shared" si="36"/>
        <v>Saturday</v>
      </c>
      <c r="D597" s="3" t="str">
        <f t="shared" si="37"/>
        <v>November</v>
      </c>
      <c r="E597" s="3" t="str">
        <f t="shared" si="38"/>
        <v>2021</v>
      </c>
      <c r="F597" s="2" t="s">
        <v>3851</v>
      </c>
      <c r="G597" t="s">
        <v>6171</v>
      </c>
      <c r="H597" s="2">
        <v>1</v>
      </c>
      <c r="I597" s="2" t="str">
        <f>_xlfn.XLOOKUP(F597,customers!A:A,customers!B:B)</f>
        <v>Darby Dummer</v>
      </c>
      <c r="J597" s="2">
        <f>_xlfn.XLOOKUP(F597,customers!A:A,customers!C:C)</f>
        <v>0</v>
      </c>
      <c r="K597" s="2" t="str">
        <f>_xlfn.XLOOKUP(F597,customers!A:A,customers!F:F)</f>
        <v>Manchester</v>
      </c>
      <c r="L597" s="2" t="str">
        <f>_xlfn.XLOOKUP(F597,customers!A:A,customers!G:G)</f>
        <v>United Kingdom</v>
      </c>
      <c r="M597" t="str">
        <f>_xlfn.XLOOKUP(G597,products!A:A,products!B:B)</f>
        <v>Exc</v>
      </c>
      <c r="N597" t="str">
        <f>_xlfn.XLOOKUP(G597,products!A:A,products!C:C)</f>
        <v>L</v>
      </c>
      <c r="O597">
        <f>_xlfn.XLOOKUP(G597,products!A:A,products!D:D)</f>
        <v>1</v>
      </c>
      <c r="P597">
        <f>_xlfn.XLOOKUP(G597,products!A:A,products!E:E)</f>
        <v>14.85</v>
      </c>
      <c r="Q597">
        <f t="shared" si="39"/>
        <v>14.85</v>
      </c>
      <c r="R597" t="str" cm="1">
        <f t="array" ref="R597">_xlfn.IFS(Q597&lt;=50,"low sales",Q597&lt;=100,"medium sales",Q597&gt;100,"High sales")</f>
        <v>low sales</v>
      </c>
    </row>
    <row r="598" spans="1:18" x14ac:dyDescent="0.35">
      <c r="A598" s="2" t="s">
        <v>3854</v>
      </c>
      <c r="B598" s="3">
        <v>44523</v>
      </c>
      <c r="C598" s="3" t="str">
        <f t="shared" si="36"/>
        <v>Tuesday</v>
      </c>
      <c r="D598" s="3" t="str">
        <f t="shared" si="37"/>
        <v>November</v>
      </c>
      <c r="E598" s="3" t="str">
        <f t="shared" si="38"/>
        <v>2021</v>
      </c>
      <c r="F598" s="2" t="s">
        <v>3855</v>
      </c>
      <c r="G598" t="s">
        <v>6157</v>
      </c>
      <c r="H598" s="2">
        <v>5</v>
      </c>
      <c r="I598" s="2" t="str">
        <f>_xlfn.XLOOKUP(F598,customers!A:A,customers!B:B)</f>
        <v>Kienan Scholard</v>
      </c>
      <c r="J598" s="2" t="str">
        <f>_xlfn.XLOOKUP(F598,customers!A:A,customers!C:C)</f>
        <v>kscholardgk@sbwire.com</v>
      </c>
      <c r="K598" s="2" t="str">
        <f>_xlfn.XLOOKUP(F598,customers!A:A,customers!F:F)</f>
        <v>Columbus</v>
      </c>
      <c r="L598" s="2" t="str">
        <f>_xlfn.XLOOKUP(F598,customers!A:A,customers!G:G)</f>
        <v>United States</v>
      </c>
      <c r="M598" t="str">
        <f>_xlfn.XLOOKUP(G598,products!A:A,products!B:B)</f>
        <v>Ara</v>
      </c>
      <c r="N598" t="str">
        <f>_xlfn.XLOOKUP(G598,products!A:A,products!C:C)</f>
        <v>M</v>
      </c>
      <c r="O598">
        <f>_xlfn.XLOOKUP(G598,products!A:A,products!D:D)</f>
        <v>0.5</v>
      </c>
      <c r="P598">
        <f>_xlfn.XLOOKUP(G598,products!A:A,products!E:E)</f>
        <v>6.75</v>
      </c>
      <c r="Q598">
        <f t="shared" si="39"/>
        <v>33.75</v>
      </c>
      <c r="R598" t="str" cm="1">
        <f t="array" ref="R598">_xlfn.IFS(Q598&lt;=50,"low sales",Q598&lt;=100,"medium sales",Q598&gt;100,"High sales")</f>
        <v>low sales</v>
      </c>
    </row>
    <row r="599" spans="1:18" x14ac:dyDescent="0.35">
      <c r="A599" s="2" t="s">
        <v>3860</v>
      </c>
      <c r="B599" s="3">
        <v>44532</v>
      </c>
      <c r="C599" s="3" t="str">
        <f t="shared" si="36"/>
        <v>Thursday</v>
      </c>
      <c r="D599" s="3" t="str">
        <f t="shared" si="37"/>
        <v>December</v>
      </c>
      <c r="E599" s="3" t="str">
        <f t="shared" si="38"/>
        <v>2021</v>
      </c>
      <c r="F599" s="2" t="s">
        <v>3861</v>
      </c>
      <c r="G599" t="s">
        <v>6164</v>
      </c>
      <c r="H599" s="2">
        <v>4</v>
      </c>
      <c r="I599" s="2" t="str">
        <f>_xlfn.XLOOKUP(F599,customers!A:A,customers!B:B)</f>
        <v>Bo Kindley</v>
      </c>
      <c r="J599" s="2" t="str">
        <f>_xlfn.XLOOKUP(F599,customers!A:A,customers!C:C)</f>
        <v>bkindleygl@wikimedia.org</v>
      </c>
      <c r="K599" s="2" t="str">
        <f>_xlfn.XLOOKUP(F599,customers!A:A,customers!F:F)</f>
        <v>Pasadena</v>
      </c>
      <c r="L599" s="2" t="str">
        <f>_xlfn.XLOOKUP(F599,customers!A:A,customers!G:G)</f>
        <v>United States</v>
      </c>
      <c r="M599" t="str">
        <f>_xlfn.XLOOKUP(G599,products!A:A,products!B:B)</f>
        <v>Lib</v>
      </c>
      <c r="N599" t="str">
        <f>_xlfn.XLOOKUP(G599,products!A:A,products!C:C)</f>
        <v>L</v>
      </c>
      <c r="O599">
        <f>_xlfn.XLOOKUP(G599,products!A:A,products!D:D)</f>
        <v>2.5</v>
      </c>
      <c r="P599">
        <f>_xlfn.XLOOKUP(G599,products!A:A,products!E:E)</f>
        <v>36.454999999999998</v>
      </c>
      <c r="Q599">
        <f t="shared" si="39"/>
        <v>145.82</v>
      </c>
      <c r="R599" t="str" cm="1">
        <f t="array" ref="R599">_xlfn.IFS(Q599&lt;=50,"low sales",Q599&lt;=100,"medium sales",Q599&gt;100,"High sales")</f>
        <v>High sales</v>
      </c>
    </row>
    <row r="600" spans="1:18" x14ac:dyDescent="0.35">
      <c r="A600" s="2" t="s">
        <v>3866</v>
      </c>
      <c r="B600" s="3">
        <v>43471</v>
      </c>
      <c r="C600" s="3" t="str">
        <f t="shared" si="36"/>
        <v>Sunday</v>
      </c>
      <c r="D600" s="3" t="str">
        <f t="shared" si="37"/>
        <v>January</v>
      </c>
      <c r="E600" s="3" t="str">
        <f t="shared" si="38"/>
        <v>2019</v>
      </c>
      <c r="F600" s="2" t="s">
        <v>3867</v>
      </c>
      <c r="G600" t="s">
        <v>6174</v>
      </c>
      <c r="H600" s="2">
        <v>4</v>
      </c>
      <c r="I600" s="2" t="str">
        <f>_xlfn.XLOOKUP(F600,customers!A:A,customers!B:B)</f>
        <v>Krissie Hammett</v>
      </c>
      <c r="J600" s="2" t="str">
        <f>_xlfn.XLOOKUP(F600,customers!A:A,customers!C:C)</f>
        <v>khammettgm@dmoz.org</v>
      </c>
      <c r="K600" s="2" t="str">
        <f>_xlfn.XLOOKUP(F600,customers!A:A,customers!F:F)</f>
        <v>San Francisco</v>
      </c>
      <c r="L600" s="2" t="str">
        <f>_xlfn.XLOOKUP(F600,customers!A:A,customers!G:G)</f>
        <v>United States</v>
      </c>
      <c r="M600" t="str">
        <f>_xlfn.XLOOKUP(G600,products!A:A,products!B:B)</f>
        <v>Rob</v>
      </c>
      <c r="N600" t="str">
        <f>_xlfn.XLOOKUP(G600,products!A:A,products!C:C)</f>
        <v>M</v>
      </c>
      <c r="O600">
        <f>_xlfn.XLOOKUP(G600,products!A:A,products!D:D)</f>
        <v>0.2</v>
      </c>
      <c r="P600">
        <f>_xlfn.XLOOKUP(G600,products!A:A,products!E:E)</f>
        <v>2.9849999999999999</v>
      </c>
      <c r="Q600">
        <f t="shared" si="39"/>
        <v>11.94</v>
      </c>
      <c r="R600" t="str" cm="1">
        <f t="array" ref="R600">_xlfn.IFS(Q600&lt;=50,"low sales",Q600&lt;=100,"medium sales",Q600&gt;100,"High sales")</f>
        <v>low sales</v>
      </c>
    </row>
    <row r="601" spans="1:18" x14ac:dyDescent="0.35">
      <c r="A601" s="2" t="s">
        <v>3872</v>
      </c>
      <c r="B601" s="3">
        <v>44321</v>
      </c>
      <c r="C601" s="3" t="str">
        <f t="shared" si="36"/>
        <v>Wednesday</v>
      </c>
      <c r="D601" s="3" t="str">
        <f t="shared" si="37"/>
        <v>May</v>
      </c>
      <c r="E601" s="3" t="str">
        <f t="shared" si="38"/>
        <v>2021</v>
      </c>
      <c r="F601" s="2" t="s">
        <v>3873</v>
      </c>
      <c r="G601" t="s">
        <v>6154</v>
      </c>
      <c r="H601" s="2">
        <v>4</v>
      </c>
      <c r="I601" s="2" t="str">
        <f>_xlfn.XLOOKUP(F601,customers!A:A,customers!B:B)</f>
        <v>Alisha Hulburt</v>
      </c>
      <c r="J601" s="2" t="str">
        <f>_xlfn.XLOOKUP(F601,customers!A:A,customers!C:C)</f>
        <v>ahulburtgn@fda.gov</v>
      </c>
      <c r="K601" s="2" t="str">
        <f>_xlfn.XLOOKUP(F601,customers!A:A,customers!F:F)</f>
        <v>Shreveport</v>
      </c>
      <c r="L601" s="2" t="str">
        <f>_xlfn.XLOOKUP(F601,customers!A:A,customers!G:G)</f>
        <v>United States</v>
      </c>
      <c r="M601" t="str">
        <f>_xlfn.XLOOKUP(G601,products!A:A,products!B:B)</f>
        <v>Ara</v>
      </c>
      <c r="N601" t="str">
        <f>_xlfn.XLOOKUP(G601,products!A:A,products!C:C)</f>
        <v>D</v>
      </c>
      <c r="O601">
        <f>_xlfn.XLOOKUP(G601,products!A:A,products!D:D)</f>
        <v>0.2</v>
      </c>
      <c r="P601">
        <f>_xlfn.XLOOKUP(G601,products!A:A,products!E:E)</f>
        <v>2.9849999999999999</v>
      </c>
      <c r="Q601">
        <f t="shared" si="39"/>
        <v>11.94</v>
      </c>
      <c r="R601" t="str" cm="1">
        <f t="array" ref="R601">_xlfn.IFS(Q601&lt;=50,"low sales",Q601&lt;=100,"medium sales",Q601&gt;100,"High sales")</f>
        <v>low sales</v>
      </c>
    </row>
    <row r="602" spans="1:18" x14ac:dyDescent="0.35">
      <c r="A602" s="2" t="s">
        <v>3877</v>
      </c>
      <c r="B602" s="3">
        <v>44492</v>
      </c>
      <c r="C602" s="3" t="str">
        <f t="shared" si="36"/>
        <v>Saturday</v>
      </c>
      <c r="D602" s="3" t="str">
        <f t="shared" si="37"/>
        <v>October</v>
      </c>
      <c r="E602" s="3" t="str">
        <f t="shared" si="38"/>
        <v>2021</v>
      </c>
      <c r="F602" s="2" t="s">
        <v>3878</v>
      </c>
      <c r="G602" t="s">
        <v>6169</v>
      </c>
      <c r="H602" s="2">
        <v>1</v>
      </c>
      <c r="I602" s="2" t="str">
        <f>_xlfn.XLOOKUP(F602,customers!A:A,customers!B:B)</f>
        <v>Peyter Lauritzen</v>
      </c>
      <c r="J602" s="2" t="str">
        <f>_xlfn.XLOOKUP(F602,customers!A:A,customers!C:C)</f>
        <v>plauritzengo@photobucket.com</v>
      </c>
      <c r="K602" s="2" t="str">
        <f>_xlfn.XLOOKUP(F602,customers!A:A,customers!F:F)</f>
        <v>Philadelphia</v>
      </c>
      <c r="L602" s="2" t="str">
        <f>_xlfn.XLOOKUP(F602,customers!A:A,customers!G:G)</f>
        <v>United States</v>
      </c>
      <c r="M602" t="str">
        <f>_xlfn.XLOOKUP(G602,products!A:A,products!B:B)</f>
        <v>Lib</v>
      </c>
      <c r="N602" t="str">
        <f>_xlfn.XLOOKUP(G602,products!A:A,products!C:C)</f>
        <v>D</v>
      </c>
      <c r="O602">
        <f>_xlfn.XLOOKUP(G602,products!A:A,products!D:D)</f>
        <v>0.5</v>
      </c>
      <c r="P602">
        <f>_xlfn.XLOOKUP(G602,products!A:A,products!E:E)</f>
        <v>7.77</v>
      </c>
      <c r="Q602">
        <f t="shared" si="39"/>
        <v>7.77</v>
      </c>
      <c r="R602" t="str" cm="1">
        <f t="array" ref="R602">_xlfn.IFS(Q602&lt;=50,"low sales",Q602&lt;=100,"medium sales",Q602&gt;100,"High sales")</f>
        <v>low sales</v>
      </c>
    </row>
    <row r="603" spans="1:18" x14ac:dyDescent="0.35">
      <c r="A603" s="2" t="s">
        <v>3883</v>
      </c>
      <c r="B603" s="3">
        <v>43815</v>
      </c>
      <c r="C603" s="3" t="str">
        <f t="shared" si="36"/>
        <v>Monday</v>
      </c>
      <c r="D603" s="3" t="str">
        <f t="shared" si="37"/>
        <v>December</v>
      </c>
      <c r="E603" s="3" t="str">
        <f t="shared" si="38"/>
        <v>2019</v>
      </c>
      <c r="F603" s="2" t="s">
        <v>3884</v>
      </c>
      <c r="G603" t="s">
        <v>6142</v>
      </c>
      <c r="H603" s="2">
        <v>4</v>
      </c>
      <c r="I603" s="2" t="str">
        <f>_xlfn.XLOOKUP(F603,customers!A:A,customers!B:B)</f>
        <v>Aurelia Burgwin</v>
      </c>
      <c r="J603" s="2" t="str">
        <f>_xlfn.XLOOKUP(F603,customers!A:A,customers!C:C)</f>
        <v>aburgwingp@redcross.org</v>
      </c>
      <c r="K603" s="2" t="str">
        <f>_xlfn.XLOOKUP(F603,customers!A:A,customers!F:F)</f>
        <v>Migrate</v>
      </c>
      <c r="L603" s="2" t="str">
        <f>_xlfn.XLOOKUP(F603,customers!A:A,customers!G:G)</f>
        <v>United States</v>
      </c>
      <c r="M603" t="str">
        <f>_xlfn.XLOOKUP(G603,products!A:A,products!B:B)</f>
        <v>Rob</v>
      </c>
      <c r="N603" t="str">
        <f>_xlfn.XLOOKUP(G603,products!A:A,products!C:C)</f>
        <v>L</v>
      </c>
      <c r="O603">
        <f>_xlfn.XLOOKUP(G603,products!A:A,products!D:D)</f>
        <v>2.5</v>
      </c>
      <c r="P603">
        <f>_xlfn.XLOOKUP(G603,products!A:A,products!E:E)</f>
        <v>27.484999999999996</v>
      </c>
      <c r="Q603">
        <f t="shared" si="39"/>
        <v>109.93999999999998</v>
      </c>
      <c r="R603" t="str" cm="1">
        <f t="array" ref="R603">_xlfn.IFS(Q603&lt;=50,"low sales",Q603&lt;=100,"medium sales",Q603&gt;100,"High sales")</f>
        <v>High sales</v>
      </c>
    </row>
    <row r="604" spans="1:18" x14ac:dyDescent="0.35">
      <c r="A604" s="2" t="s">
        <v>3889</v>
      </c>
      <c r="B604" s="3">
        <v>43603</v>
      </c>
      <c r="C604" s="3" t="str">
        <f t="shared" si="36"/>
        <v>Saturday</v>
      </c>
      <c r="D604" s="3" t="str">
        <f t="shared" si="37"/>
        <v>May</v>
      </c>
      <c r="E604" s="3" t="str">
        <f t="shared" si="38"/>
        <v>2019</v>
      </c>
      <c r="F604" s="2" t="s">
        <v>3890</v>
      </c>
      <c r="G604" t="s">
        <v>6184</v>
      </c>
      <c r="H604" s="2">
        <v>5</v>
      </c>
      <c r="I604" s="2" t="str">
        <f>_xlfn.XLOOKUP(F604,customers!A:A,customers!B:B)</f>
        <v>Emalee Rolin</v>
      </c>
      <c r="J604" s="2" t="str">
        <f>_xlfn.XLOOKUP(F604,customers!A:A,customers!C:C)</f>
        <v>erolingq@google.fr</v>
      </c>
      <c r="K604" s="2" t="str">
        <f>_xlfn.XLOOKUP(F604,customers!A:A,customers!F:F)</f>
        <v>Toledo</v>
      </c>
      <c r="L604" s="2" t="str">
        <f>_xlfn.XLOOKUP(F604,customers!A:A,customers!G:G)</f>
        <v>United States</v>
      </c>
      <c r="M604" t="str">
        <f>_xlfn.XLOOKUP(G604,products!A:A,products!B:B)</f>
        <v>Exc</v>
      </c>
      <c r="N604" t="str">
        <f>_xlfn.XLOOKUP(G604,products!A:A,products!C:C)</f>
        <v>L</v>
      </c>
      <c r="O604">
        <f>_xlfn.XLOOKUP(G604,products!A:A,products!D:D)</f>
        <v>0.2</v>
      </c>
      <c r="P604">
        <f>_xlfn.XLOOKUP(G604,products!A:A,products!E:E)</f>
        <v>4.4550000000000001</v>
      </c>
      <c r="Q604">
        <f t="shared" si="39"/>
        <v>22.274999999999999</v>
      </c>
      <c r="R604" t="str" cm="1">
        <f t="array" ref="R604">_xlfn.IFS(Q604&lt;=50,"low sales",Q604&lt;=100,"medium sales",Q604&gt;100,"High sales")</f>
        <v>low sales</v>
      </c>
    </row>
    <row r="605" spans="1:18" x14ac:dyDescent="0.35">
      <c r="A605" s="2" t="s">
        <v>3895</v>
      </c>
      <c r="B605" s="3">
        <v>43660</v>
      </c>
      <c r="C605" s="3" t="str">
        <f t="shared" si="36"/>
        <v>Sunday</v>
      </c>
      <c r="D605" s="3" t="str">
        <f t="shared" si="37"/>
        <v>July</v>
      </c>
      <c r="E605" s="3" t="str">
        <f t="shared" si="38"/>
        <v>2019</v>
      </c>
      <c r="F605" s="2" t="s">
        <v>3896</v>
      </c>
      <c r="G605" t="s">
        <v>6174</v>
      </c>
      <c r="H605" s="2">
        <v>3</v>
      </c>
      <c r="I605" s="2" t="str">
        <f>_xlfn.XLOOKUP(F605,customers!A:A,customers!B:B)</f>
        <v>Donavon Fowle</v>
      </c>
      <c r="J605" s="2" t="str">
        <f>_xlfn.XLOOKUP(F605,customers!A:A,customers!C:C)</f>
        <v>dfowlegr@epa.gov</v>
      </c>
      <c r="K605" s="2" t="str">
        <f>_xlfn.XLOOKUP(F605,customers!A:A,customers!F:F)</f>
        <v>Colorado Springs</v>
      </c>
      <c r="L605" s="2" t="str">
        <f>_xlfn.XLOOKUP(F605,customers!A:A,customers!G:G)</f>
        <v>United States</v>
      </c>
      <c r="M605" t="str">
        <f>_xlfn.XLOOKUP(G605,products!A:A,products!B:B)</f>
        <v>Rob</v>
      </c>
      <c r="N605" t="str">
        <f>_xlfn.XLOOKUP(G605,products!A:A,products!C:C)</f>
        <v>M</v>
      </c>
      <c r="O605">
        <f>_xlfn.XLOOKUP(G605,products!A:A,products!D:D)</f>
        <v>0.2</v>
      </c>
      <c r="P605">
        <f>_xlfn.XLOOKUP(G605,products!A:A,products!E:E)</f>
        <v>2.9849999999999999</v>
      </c>
      <c r="Q605">
        <f t="shared" si="39"/>
        <v>8.9550000000000001</v>
      </c>
      <c r="R605" t="str" cm="1">
        <f t="array" ref="R605">_xlfn.IFS(Q605&lt;=50,"low sales",Q605&lt;=100,"medium sales",Q605&gt;100,"High sales")</f>
        <v>low sales</v>
      </c>
    </row>
    <row r="606" spans="1:18" x14ac:dyDescent="0.35">
      <c r="A606" s="2" t="s">
        <v>3900</v>
      </c>
      <c r="B606" s="3">
        <v>44148</v>
      </c>
      <c r="C606" s="3" t="str">
        <f t="shared" si="36"/>
        <v>Friday</v>
      </c>
      <c r="D606" s="3" t="str">
        <f t="shared" si="37"/>
        <v>November</v>
      </c>
      <c r="E606" s="3" t="str">
        <f t="shared" si="38"/>
        <v>2020</v>
      </c>
      <c r="F606" s="2" t="s">
        <v>3901</v>
      </c>
      <c r="G606" t="s">
        <v>6165</v>
      </c>
      <c r="H606" s="2">
        <v>4</v>
      </c>
      <c r="I606" s="2" t="str">
        <f>_xlfn.XLOOKUP(F606,customers!A:A,customers!B:B)</f>
        <v>Jorge Bettison</v>
      </c>
      <c r="J606" s="2">
        <f>_xlfn.XLOOKUP(F606,customers!A:A,customers!C:C)</f>
        <v>0</v>
      </c>
      <c r="K606" s="2" t="str">
        <f>_xlfn.XLOOKUP(F606,customers!A:A,customers!F:F)</f>
        <v>Longwood</v>
      </c>
      <c r="L606" s="2" t="str">
        <f>_xlfn.XLOOKUP(F606,customers!A:A,customers!G:G)</f>
        <v>Ireland</v>
      </c>
      <c r="M606" t="str">
        <f>_xlfn.XLOOKUP(G606,products!A:A,products!B:B)</f>
        <v>Lib</v>
      </c>
      <c r="N606" t="str">
        <f>_xlfn.XLOOKUP(G606,products!A:A,products!C:C)</f>
        <v>D</v>
      </c>
      <c r="O606">
        <f>_xlfn.XLOOKUP(G606,products!A:A,products!D:D)</f>
        <v>2.5</v>
      </c>
      <c r="P606">
        <f>_xlfn.XLOOKUP(G606,products!A:A,products!E:E)</f>
        <v>29.784999999999997</v>
      </c>
      <c r="Q606">
        <f t="shared" si="39"/>
        <v>119.13999999999999</v>
      </c>
      <c r="R606" t="str" cm="1">
        <f t="array" ref="R606">_xlfn.IFS(Q606&lt;=50,"low sales",Q606&lt;=100,"medium sales",Q606&gt;100,"High sales")</f>
        <v>High sales</v>
      </c>
    </row>
    <row r="607" spans="1:18" x14ac:dyDescent="0.35">
      <c r="A607" s="2" t="s">
        <v>3905</v>
      </c>
      <c r="B607" s="3">
        <v>44028</v>
      </c>
      <c r="C607" s="3" t="str">
        <f t="shared" si="36"/>
        <v>Thursday</v>
      </c>
      <c r="D607" s="3" t="str">
        <f t="shared" si="37"/>
        <v>July</v>
      </c>
      <c r="E607" s="3" t="str">
        <f t="shared" si="38"/>
        <v>2020</v>
      </c>
      <c r="F607" s="2" t="s">
        <v>3906</v>
      </c>
      <c r="G607" t="s">
        <v>6182</v>
      </c>
      <c r="H607" s="2">
        <v>5</v>
      </c>
      <c r="I607" s="2" t="str">
        <f>_xlfn.XLOOKUP(F607,customers!A:A,customers!B:B)</f>
        <v>Wang Powlesland</v>
      </c>
      <c r="J607" s="2" t="str">
        <f>_xlfn.XLOOKUP(F607,customers!A:A,customers!C:C)</f>
        <v>wpowleslandgt@soundcloud.com</v>
      </c>
      <c r="K607" s="2" t="str">
        <f>_xlfn.XLOOKUP(F607,customers!A:A,customers!F:F)</f>
        <v>Pittsburgh</v>
      </c>
      <c r="L607" s="2" t="str">
        <f>_xlfn.XLOOKUP(F607,customers!A:A,customers!G:G)</f>
        <v>United States</v>
      </c>
      <c r="M607" t="str">
        <f>_xlfn.XLOOKUP(G607,products!A:A,products!B:B)</f>
        <v>Ara</v>
      </c>
      <c r="N607" t="str">
        <f>_xlfn.XLOOKUP(G607,products!A:A,products!C:C)</f>
        <v>L</v>
      </c>
      <c r="O607">
        <f>_xlfn.XLOOKUP(G607,products!A:A,products!D:D)</f>
        <v>2.5</v>
      </c>
      <c r="P607">
        <f>_xlfn.XLOOKUP(G607,products!A:A,products!E:E)</f>
        <v>29.784999999999997</v>
      </c>
      <c r="Q607">
        <f t="shared" si="39"/>
        <v>148.92499999999998</v>
      </c>
      <c r="R607" t="str" cm="1">
        <f t="array" ref="R607">_xlfn.IFS(Q607&lt;=50,"low sales",Q607&lt;=100,"medium sales",Q607&gt;100,"High sales")</f>
        <v>High sales</v>
      </c>
    </row>
    <row r="608" spans="1:18" x14ac:dyDescent="0.35">
      <c r="A608" s="2" t="s">
        <v>3911</v>
      </c>
      <c r="B608" s="3">
        <v>44138</v>
      </c>
      <c r="C608" s="3" t="str">
        <f t="shared" si="36"/>
        <v>Tuesday</v>
      </c>
      <c r="D608" s="3" t="str">
        <f t="shared" si="37"/>
        <v>November</v>
      </c>
      <c r="E608" s="3" t="str">
        <f t="shared" si="38"/>
        <v>2020</v>
      </c>
      <c r="F608" s="2" t="s">
        <v>3840</v>
      </c>
      <c r="G608" t="s">
        <v>6164</v>
      </c>
      <c r="H608" s="2">
        <v>3</v>
      </c>
      <c r="I608" s="2" t="str">
        <f>_xlfn.XLOOKUP(F608,customers!A:A,customers!B:B)</f>
        <v>Cody Verissimo</v>
      </c>
      <c r="J608" s="2" t="str">
        <f>_xlfn.XLOOKUP(F608,customers!A:A,customers!C:C)</f>
        <v>cverissimogh@theglobeandmail.com</v>
      </c>
      <c r="K608" s="2" t="str">
        <f>_xlfn.XLOOKUP(F608,customers!A:A,customers!F:F)</f>
        <v>Upton</v>
      </c>
      <c r="L608" s="2" t="str">
        <f>_xlfn.XLOOKUP(F608,customers!A:A,customers!G:G)</f>
        <v>United Kingdom</v>
      </c>
      <c r="M608" t="str">
        <f>_xlfn.XLOOKUP(G608,products!A:A,products!B:B)</f>
        <v>Lib</v>
      </c>
      <c r="N608" t="str">
        <f>_xlfn.XLOOKUP(G608,products!A:A,products!C:C)</f>
        <v>L</v>
      </c>
      <c r="O608">
        <f>_xlfn.XLOOKUP(G608,products!A:A,products!D:D)</f>
        <v>2.5</v>
      </c>
      <c r="P608">
        <f>_xlfn.XLOOKUP(G608,products!A:A,products!E:E)</f>
        <v>36.454999999999998</v>
      </c>
      <c r="Q608">
        <f t="shared" si="39"/>
        <v>109.36499999999999</v>
      </c>
      <c r="R608" t="str" cm="1">
        <f t="array" ref="R608">_xlfn.IFS(Q608&lt;=50,"low sales",Q608&lt;=100,"medium sales",Q608&gt;100,"High sales")</f>
        <v>High sales</v>
      </c>
    </row>
    <row r="609" spans="1:18" x14ac:dyDescent="0.35">
      <c r="A609" s="2" t="s">
        <v>3917</v>
      </c>
      <c r="B609" s="3">
        <v>44640</v>
      </c>
      <c r="C609" s="3" t="str">
        <f t="shared" si="36"/>
        <v>Sunday</v>
      </c>
      <c r="D609" s="3" t="str">
        <f t="shared" si="37"/>
        <v>March</v>
      </c>
      <c r="E609" s="3" t="str">
        <f t="shared" si="38"/>
        <v>2022</v>
      </c>
      <c r="F609" s="2" t="s">
        <v>3918</v>
      </c>
      <c r="G609" t="s">
        <v>6153</v>
      </c>
      <c r="H609" s="2">
        <v>1</v>
      </c>
      <c r="I609" s="2" t="str">
        <f>_xlfn.XLOOKUP(F609,customers!A:A,customers!B:B)</f>
        <v>Laurence Ellingham</v>
      </c>
      <c r="J609" s="2" t="str">
        <f>_xlfn.XLOOKUP(F609,customers!A:A,customers!C:C)</f>
        <v>lellinghamgv@sciencedaily.com</v>
      </c>
      <c r="K609" s="2" t="str">
        <f>_xlfn.XLOOKUP(F609,customers!A:A,customers!F:F)</f>
        <v>Shreveport</v>
      </c>
      <c r="L609" s="2" t="str">
        <f>_xlfn.XLOOKUP(F609,customers!A:A,customers!G:G)</f>
        <v>United States</v>
      </c>
      <c r="M609" t="str">
        <f>_xlfn.XLOOKUP(G609,products!A:A,products!B:B)</f>
        <v>Exc</v>
      </c>
      <c r="N609" t="str">
        <f>_xlfn.XLOOKUP(G609,products!A:A,products!C:C)</f>
        <v>D</v>
      </c>
      <c r="O609">
        <f>_xlfn.XLOOKUP(G609,products!A:A,products!D:D)</f>
        <v>0.2</v>
      </c>
      <c r="P609">
        <f>_xlfn.XLOOKUP(G609,products!A:A,products!E:E)</f>
        <v>3.645</v>
      </c>
      <c r="Q609">
        <f t="shared" si="39"/>
        <v>3.645</v>
      </c>
      <c r="R609" t="str" cm="1">
        <f t="array" ref="R609">_xlfn.IFS(Q609&lt;=50,"low sales",Q609&lt;=100,"medium sales",Q609&gt;100,"High sales")</f>
        <v>low sales</v>
      </c>
    </row>
    <row r="610" spans="1:18" x14ac:dyDescent="0.35">
      <c r="A610" s="2" t="s">
        <v>3923</v>
      </c>
      <c r="B610" s="3">
        <v>44608</v>
      </c>
      <c r="C610" s="3" t="str">
        <f t="shared" si="36"/>
        <v>Wednesday</v>
      </c>
      <c r="D610" s="3" t="str">
        <f t="shared" si="37"/>
        <v>February</v>
      </c>
      <c r="E610" s="3" t="str">
        <f t="shared" si="38"/>
        <v>2022</v>
      </c>
      <c r="F610" s="2" t="s">
        <v>3924</v>
      </c>
      <c r="G610" t="s">
        <v>6185</v>
      </c>
      <c r="H610" s="2">
        <v>2</v>
      </c>
      <c r="I610" s="2" t="str">
        <f>_xlfn.XLOOKUP(F610,customers!A:A,customers!B:B)</f>
        <v>Billy Neiland</v>
      </c>
      <c r="J610" s="2">
        <f>_xlfn.XLOOKUP(F610,customers!A:A,customers!C:C)</f>
        <v>0</v>
      </c>
      <c r="K610" s="2" t="str">
        <f>_xlfn.XLOOKUP(F610,customers!A:A,customers!F:F)</f>
        <v>Cleveland</v>
      </c>
      <c r="L610" s="2" t="str">
        <f>_xlfn.XLOOKUP(F610,customers!A:A,customers!G:G)</f>
        <v>United States</v>
      </c>
      <c r="M610" t="str">
        <f>_xlfn.XLOOKUP(G610,products!A:A,products!B:B)</f>
        <v>Exc</v>
      </c>
      <c r="N610" t="str">
        <f>_xlfn.XLOOKUP(G610,products!A:A,products!C:C)</f>
        <v>D</v>
      </c>
      <c r="O610">
        <f>_xlfn.XLOOKUP(G610,products!A:A,products!D:D)</f>
        <v>2.5</v>
      </c>
      <c r="P610">
        <f>_xlfn.XLOOKUP(G610,products!A:A,products!E:E)</f>
        <v>27.945</v>
      </c>
      <c r="Q610">
        <f t="shared" si="39"/>
        <v>55.89</v>
      </c>
      <c r="R610" t="str" cm="1">
        <f t="array" ref="R610">_xlfn.IFS(Q610&lt;=50,"low sales",Q610&lt;=100,"medium sales",Q610&gt;100,"High sales")</f>
        <v>medium sales</v>
      </c>
    </row>
    <row r="611" spans="1:18" x14ac:dyDescent="0.35">
      <c r="A611" s="2" t="s">
        <v>3927</v>
      </c>
      <c r="B611" s="3">
        <v>44147</v>
      </c>
      <c r="C611" s="3" t="str">
        <f t="shared" si="36"/>
        <v>Thursday</v>
      </c>
      <c r="D611" s="3" t="str">
        <f t="shared" si="37"/>
        <v>November</v>
      </c>
      <c r="E611" s="3" t="str">
        <f t="shared" si="38"/>
        <v>2020</v>
      </c>
      <c r="F611" s="2" t="s">
        <v>3928</v>
      </c>
      <c r="G611" t="s">
        <v>6159</v>
      </c>
      <c r="H611" s="2">
        <v>6</v>
      </c>
      <c r="I611" s="2" t="str">
        <f>_xlfn.XLOOKUP(F611,customers!A:A,customers!B:B)</f>
        <v>Ancell Fendt</v>
      </c>
      <c r="J611" s="2" t="str">
        <f>_xlfn.XLOOKUP(F611,customers!A:A,customers!C:C)</f>
        <v>afendtgx@forbes.com</v>
      </c>
      <c r="K611" s="2" t="str">
        <f>_xlfn.XLOOKUP(F611,customers!A:A,customers!F:F)</f>
        <v>Milwaukee</v>
      </c>
      <c r="L611" s="2" t="str">
        <f>_xlfn.XLOOKUP(F611,customers!A:A,customers!G:G)</f>
        <v>United States</v>
      </c>
      <c r="M611" t="str">
        <f>_xlfn.XLOOKUP(G611,products!A:A,products!B:B)</f>
        <v>Lib</v>
      </c>
      <c r="N611" t="str">
        <f>_xlfn.XLOOKUP(G611,products!A:A,products!C:C)</f>
        <v>M</v>
      </c>
      <c r="O611">
        <f>_xlfn.XLOOKUP(G611,products!A:A,products!D:D)</f>
        <v>0.2</v>
      </c>
      <c r="P611">
        <f>_xlfn.XLOOKUP(G611,products!A:A,products!E:E)</f>
        <v>4.3650000000000002</v>
      </c>
      <c r="Q611">
        <f t="shared" si="39"/>
        <v>26.19</v>
      </c>
      <c r="R611" t="str" cm="1">
        <f t="array" ref="R611">_xlfn.IFS(Q611&lt;=50,"low sales",Q611&lt;=100,"medium sales",Q611&gt;100,"High sales")</f>
        <v>low sales</v>
      </c>
    </row>
    <row r="612" spans="1:18" x14ac:dyDescent="0.35">
      <c r="A612" s="2" t="s">
        <v>3933</v>
      </c>
      <c r="B612" s="3">
        <v>43743</v>
      </c>
      <c r="C612" s="3" t="str">
        <f t="shared" si="36"/>
        <v>Saturday</v>
      </c>
      <c r="D612" s="3" t="str">
        <f t="shared" si="37"/>
        <v>October</v>
      </c>
      <c r="E612" s="3" t="str">
        <f t="shared" si="38"/>
        <v>2019</v>
      </c>
      <c r="F612" s="2" t="s">
        <v>3934</v>
      </c>
      <c r="G612" t="s">
        <v>6138</v>
      </c>
      <c r="H612" s="2">
        <v>4</v>
      </c>
      <c r="I612" s="2" t="str">
        <f>_xlfn.XLOOKUP(F612,customers!A:A,customers!B:B)</f>
        <v>Angelia Cleyburn</v>
      </c>
      <c r="J612" s="2" t="str">
        <f>_xlfn.XLOOKUP(F612,customers!A:A,customers!C:C)</f>
        <v>acleyburngy@lycos.com</v>
      </c>
      <c r="K612" s="2" t="str">
        <f>_xlfn.XLOOKUP(F612,customers!A:A,customers!F:F)</f>
        <v>Fort Lauderdale</v>
      </c>
      <c r="L612" s="2" t="str">
        <f>_xlfn.XLOOKUP(F612,customers!A:A,customers!G:G)</f>
        <v>United States</v>
      </c>
      <c r="M612" t="str">
        <f>_xlfn.XLOOKUP(G612,products!A:A,products!B:B)</f>
        <v>Rob</v>
      </c>
      <c r="N612" t="str">
        <f>_xlfn.XLOOKUP(G612,products!A:A,products!C:C)</f>
        <v>M</v>
      </c>
      <c r="O612">
        <f>_xlfn.XLOOKUP(G612,products!A:A,products!D:D)</f>
        <v>1</v>
      </c>
      <c r="P612">
        <f>_xlfn.XLOOKUP(G612,products!A:A,products!E:E)</f>
        <v>9.9499999999999993</v>
      </c>
      <c r="Q612">
        <f t="shared" si="39"/>
        <v>39.799999999999997</v>
      </c>
      <c r="R612" t="str" cm="1">
        <f t="array" ref="R612">_xlfn.IFS(Q612&lt;=50,"low sales",Q612&lt;=100,"medium sales",Q612&gt;100,"High sales")</f>
        <v>low sales</v>
      </c>
    </row>
    <row r="613" spans="1:18" x14ac:dyDescent="0.35">
      <c r="A613" s="2" t="s">
        <v>3939</v>
      </c>
      <c r="B613" s="3">
        <v>43739</v>
      </c>
      <c r="C613" s="3" t="str">
        <f t="shared" si="36"/>
        <v>Tuesday</v>
      </c>
      <c r="D613" s="3" t="str">
        <f t="shared" si="37"/>
        <v>October</v>
      </c>
      <c r="E613" s="3" t="str">
        <f t="shared" si="38"/>
        <v>2019</v>
      </c>
      <c r="F613" s="2" t="s">
        <v>3940</v>
      </c>
      <c r="G613" t="s">
        <v>6148</v>
      </c>
      <c r="H613" s="2">
        <v>2</v>
      </c>
      <c r="I613" s="2" t="str">
        <f>_xlfn.XLOOKUP(F613,customers!A:A,customers!B:B)</f>
        <v>Temple Castiglione</v>
      </c>
      <c r="J613" s="2" t="str">
        <f>_xlfn.XLOOKUP(F613,customers!A:A,customers!C:C)</f>
        <v>tcastiglionegz@xing.com</v>
      </c>
      <c r="K613" s="2" t="str">
        <f>_xlfn.XLOOKUP(F613,customers!A:A,customers!F:F)</f>
        <v>Shreveport</v>
      </c>
      <c r="L613" s="2" t="str">
        <f>_xlfn.XLOOKUP(F613,customers!A:A,customers!G:G)</f>
        <v>United States</v>
      </c>
      <c r="M613" t="str">
        <f>_xlfn.XLOOKUP(G613,products!A:A,products!B:B)</f>
        <v>Exc</v>
      </c>
      <c r="N613" t="str">
        <f>_xlfn.XLOOKUP(G613,products!A:A,products!C:C)</f>
        <v>L</v>
      </c>
      <c r="O613">
        <f>_xlfn.XLOOKUP(G613,products!A:A,products!D:D)</f>
        <v>2.5</v>
      </c>
      <c r="P613">
        <f>_xlfn.XLOOKUP(G613,products!A:A,products!E:E)</f>
        <v>34.154999999999994</v>
      </c>
      <c r="Q613">
        <f t="shared" si="39"/>
        <v>68.309999999999988</v>
      </c>
      <c r="R613" t="str" cm="1">
        <f t="array" ref="R613">_xlfn.IFS(Q613&lt;=50,"low sales",Q613&lt;=100,"medium sales",Q613&gt;100,"High sales")</f>
        <v>medium sales</v>
      </c>
    </row>
    <row r="614" spans="1:18" x14ac:dyDescent="0.35">
      <c r="A614" s="2" t="s">
        <v>3945</v>
      </c>
      <c r="B614" s="3">
        <v>43896</v>
      </c>
      <c r="C614" s="3" t="str">
        <f t="shared" si="36"/>
        <v>Friday</v>
      </c>
      <c r="D614" s="3" t="str">
        <f t="shared" si="37"/>
        <v>March</v>
      </c>
      <c r="E614" s="3" t="str">
        <f t="shared" si="38"/>
        <v>2020</v>
      </c>
      <c r="F614" s="2" t="s">
        <v>3946</v>
      </c>
      <c r="G614" t="s">
        <v>6152</v>
      </c>
      <c r="H614" s="2">
        <v>4</v>
      </c>
      <c r="I614" s="2" t="str">
        <f>_xlfn.XLOOKUP(F614,customers!A:A,customers!B:B)</f>
        <v>Betti Lacasa</v>
      </c>
      <c r="J614" s="2">
        <f>_xlfn.XLOOKUP(F614,customers!A:A,customers!C:C)</f>
        <v>0</v>
      </c>
      <c r="K614" s="2" t="str">
        <f>_xlfn.XLOOKUP(F614,customers!A:A,customers!F:F)</f>
        <v>Beaumont</v>
      </c>
      <c r="L614" s="2" t="str">
        <f>_xlfn.XLOOKUP(F614,customers!A:A,customers!G:G)</f>
        <v>Ireland</v>
      </c>
      <c r="M614" t="str">
        <f>_xlfn.XLOOKUP(G614,products!A:A,products!B:B)</f>
        <v>Ara</v>
      </c>
      <c r="N614" t="str">
        <f>_xlfn.XLOOKUP(G614,products!A:A,products!C:C)</f>
        <v>M</v>
      </c>
      <c r="O614">
        <f>_xlfn.XLOOKUP(G614,products!A:A,products!D:D)</f>
        <v>0.2</v>
      </c>
      <c r="P614">
        <f>_xlfn.XLOOKUP(G614,products!A:A,products!E:E)</f>
        <v>3.375</v>
      </c>
      <c r="Q614">
        <f t="shared" si="39"/>
        <v>13.5</v>
      </c>
      <c r="R614" t="str" cm="1">
        <f t="array" ref="R614">_xlfn.IFS(Q614&lt;=50,"low sales",Q614&lt;=100,"medium sales",Q614&gt;100,"High sales")</f>
        <v>low sales</v>
      </c>
    </row>
    <row r="615" spans="1:18" x14ac:dyDescent="0.35">
      <c r="A615" s="2" t="s">
        <v>3950</v>
      </c>
      <c r="B615" s="3">
        <v>43761</v>
      </c>
      <c r="C615" s="3" t="str">
        <f t="shared" si="36"/>
        <v>Wednesday</v>
      </c>
      <c r="D615" s="3" t="str">
        <f t="shared" si="37"/>
        <v>October</v>
      </c>
      <c r="E615" s="3" t="str">
        <f t="shared" si="38"/>
        <v>2019</v>
      </c>
      <c r="F615" s="2" t="s">
        <v>3951</v>
      </c>
      <c r="G615" t="s">
        <v>6146</v>
      </c>
      <c r="H615" s="2">
        <v>1</v>
      </c>
      <c r="I615" s="2" t="str">
        <f>_xlfn.XLOOKUP(F615,customers!A:A,customers!B:B)</f>
        <v>Gunilla Lynch</v>
      </c>
      <c r="J615" s="2">
        <f>_xlfn.XLOOKUP(F615,customers!A:A,customers!C:C)</f>
        <v>0</v>
      </c>
      <c r="K615" s="2" t="str">
        <f>_xlfn.XLOOKUP(F615,customers!A:A,customers!F:F)</f>
        <v>Sacramento</v>
      </c>
      <c r="L615" s="2" t="str">
        <f>_xlfn.XLOOKUP(F615,customers!A:A,customers!G:G)</f>
        <v>United States</v>
      </c>
      <c r="M615" t="str">
        <f>_xlfn.XLOOKUP(G615,products!A:A,products!B:B)</f>
        <v>Rob</v>
      </c>
      <c r="N615" t="str">
        <f>_xlfn.XLOOKUP(G615,products!A:A,products!C:C)</f>
        <v>M</v>
      </c>
      <c r="O615">
        <f>_xlfn.XLOOKUP(G615,products!A:A,products!D:D)</f>
        <v>0.5</v>
      </c>
      <c r="P615">
        <f>_xlfn.XLOOKUP(G615,products!A:A,products!E:E)</f>
        <v>5.97</v>
      </c>
      <c r="Q615">
        <f t="shared" si="39"/>
        <v>5.97</v>
      </c>
      <c r="R615" t="str" cm="1">
        <f t="array" ref="R615">_xlfn.IFS(Q615&lt;=50,"low sales",Q615&lt;=100,"medium sales",Q615&gt;100,"High sales")</f>
        <v>low sales</v>
      </c>
    </row>
    <row r="616" spans="1:18" x14ac:dyDescent="0.35">
      <c r="A616" s="2" t="s">
        <v>3955</v>
      </c>
      <c r="B616" s="3">
        <v>43944</v>
      </c>
      <c r="C616" s="3" t="str">
        <f t="shared" si="36"/>
        <v>Thursday</v>
      </c>
      <c r="D616" s="3" t="str">
        <f t="shared" si="37"/>
        <v>April</v>
      </c>
      <c r="E616" s="3" t="str">
        <f t="shared" si="38"/>
        <v>2020</v>
      </c>
      <c r="F616" s="2" t="s">
        <v>3840</v>
      </c>
      <c r="G616" t="s">
        <v>6146</v>
      </c>
      <c r="H616" s="2">
        <v>5</v>
      </c>
      <c r="I616" s="2" t="str">
        <f>_xlfn.XLOOKUP(F616,customers!A:A,customers!B:B)</f>
        <v>Cody Verissimo</v>
      </c>
      <c r="J616" s="2" t="str">
        <f>_xlfn.XLOOKUP(F616,customers!A:A,customers!C:C)</f>
        <v>cverissimogh@theglobeandmail.com</v>
      </c>
      <c r="K616" s="2" t="str">
        <f>_xlfn.XLOOKUP(F616,customers!A:A,customers!F:F)</f>
        <v>Upton</v>
      </c>
      <c r="L616" s="2" t="str">
        <f>_xlfn.XLOOKUP(F616,customers!A:A,customers!G:G)</f>
        <v>United Kingdom</v>
      </c>
      <c r="M616" t="str">
        <f>_xlfn.XLOOKUP(G616,products!A:A,products!B:B)</f>
        <v>Rob</v>
      </c>
      <c r="N616" t="str">
        <f>_xlfn.XLOOKUP(G616,products!A:A,products!C:C)</f>
        <v>M</v>
      </c>
      <c r="O616">
        <f>_xlfn.XLOOKUP(G616,products!A:A,products!D:D)</f>
        <v>0.5</v>
      </c>
      <c r="P616">
        <f>_xlfn.XLOOKUP(G616,products!A:A,products!E:E)</f>
        <v>5.97</v>
      </c>
      <c r="Q616">
        <f t="shared" si="39"/>
        <v>29.849999999999998</v>
      </c>
      <c r="R616" t="str" cm="1">
        <f t="array" ref="R616">_xlfn.IFS(Q616&lt;=50,"low sales",Q616&lt;=100,"medium sales",Q616&gt;100,"High sales")</f>
        <v>low sales</v>
      </c>
    </row>
    <row r="617" spans="1:18" x14ac:dyDescent="0.35">
      <c r="A617" s="2" t="s">
        <v>3960</v>
      </c>
      <c r="B617" s="3">
        <v>44006</v>
      </c>
      <c r="C617" s="3" t="str">
        <f t="shared" si="36"/>
        <v>Wednesday</v>
      </c>
      <c r="D617" s="3" t="str">
        <f t="shared" si="37"/>
        <v>June</v>
      </c>
      <c r="E617" s="3" t="str">
        <f t="shared" si="38"/>
        <v>2020</v>
      </c>
      <c r="F617" s="2" t="s">
        <v>3961</v>
      </c>
      <c r="G617" t="s">
        <v>6164</v>
      </c>
      <c r="H617" s="2">
        <v>2</v>
      </c>
      <c r="I617" s="2" t="str">
        <f>_xlfn.XLOOKUP(F617,customers!A:A,customers!B:B)</f>
        <v>Shay Couronne</v>
      </c>
      <c r="J617" s="2" t="str">
        <f>_xlfn.XLOOKUP(F617,customers!A:A,customers!C:C)</f>
        <v>scouronneh3@mozilla.org</v>
      </c>
      <c r="K617" s="2" t="str">
        <f>_xlfn.XLOOKUP(F617,customers!A:A,customers!F:F)</f>
        <v>Fargo</v>
      </c>
      <c r="L617" s="2" t="str">
        <f>_xlfn.XLOOKUP(F617,customers!A:A,customers!G:G)</f>
        <v>United States</v>
      </c>
      <c r="M617" t="str">
        <f>_xlfn.XLOOKUP(G617,products!A:A,products!B:B)</f>
        <v>Lib</v>
      </c>
      <c r="N617" t="str">
        <f>_xlfn.XLOOKUP(G617,products!A:A,products!C:C)</f>
        <v>L</v>
      </c>
      <c r="O617">
        <f>_xlfn.XLOOKUP(G617,products!A:A,products!D:D)</f>
        <v>2.5</v>
      </c>
      <c r="P617">
        <f>_xlfn.XLOOKUP(G617,products!A:A,products!E:E)</f>
        <v>36.454999999999998</v>
      </c>
      <c r="Q617">
        <f t="shared" si="39"/>
        <v>72.91</v>
      </c>
      <c r="R617" t="str" cm="1">
        <f t="array" ref="R617">_xlfn.IFS(Q617&lt;=50,"low sales",Q617&lt;=100,"medium sales",Q617&gt;100,"High sales")</f>
        <v>medium sales</v>
      </c>
    </row>
    <row r="618" spans="1:18" x14ac:dyDescent="0.35">
      <c r="A618" s="2" t="s">
        <v>3966</v>
      </c>
      <c r="B618" s="3">
        <v>44271</v>
      </c>
      <c r="C618" s="3" t="str">
        <f t="shared" si="36"/>
        <v>Tuesday</v>
      </c>
      <c r="D618" s="3" t="str">
        <f t="shared" si="37"/>
        <v>March</v>
      </c>
      <c r="E618" s="3" t="str">
        <f t="shared" si="38"/>
        <v>2021</v>
      </c>
      <c r="F618" s="2" t="s">
        <v>3967</v>
      </c>
      <c r="G618" t="s">
        <v>6166</v>
      </c>
      <c r="H618" s="2">
        <v>4</v>
      </c>
      <c r="I618" s="2" t="str">
        <f>_xlfn.XLOOKUP(F618,customers!A:A,customers!B:B)</f>
        <v>Linus Flippelli</v>
      </c>
      <c r="J618" s="2" t="str">
        <f>_xlfn.XLOOKUP(F618,customers!A:A,customers!C:C)</f>
        <v>lflippellih4@github.io</v>
      </c>
      <c r="K618" s="2" t="str">
        <f>_xlfn.XLOOKUP(F618,customers!A:A,customers!F:F)</f>
        <v>Middleton</v>
      </c>
      <c r="L618" s="2" t="str">
        <f>_xlfn.XLOOKUP(F618,customers!A:A,customers!G:G)</f>
        <v>United Kingdom</v>
      </c>
      <c r="M618" t="str">
        <f>_xlfn.XLOOKUP(G618,products!A:A,products!B:B)</f>
        <v>Exc</v>
      </c>
      <c r="N618" t="str">
        <f>_xlfn.XLOOKUP(G618,products!A:A,products!C:C)</f>
        <v>M</v>
      </c>
      <c r="O618">
        <f>_xlfn.XLOOKUP(G618,products!A:A,products!D:D)</f>
        <v>2.5</v>
      </c>
      <c r="P618">
        <f>_xlfn.XLOOKUP(G618,products!A:A,products!E:E)</f>
        <v>31.624999999999996</v>
      </c>
      <c r="Q618">
        <f t="shared" si="39"/>
        <v>126.49999999999999</v>
      </c>
      <c r="R618" t="str" cm="1">
        <f t="array" ref="R618">_xlfn.IFS(Q618&lt;=50,"low sales",Q618&lt;=100,"medium sales",Q618&gt;100,"High sales")</f>
        <v>High sales</v>
      </c>
    </row>
    <row r="619" spans="1:18" x14ac:dyDescent="0.35">
      <c r="A619" s="2" t="s">
        <v>3972</v>
      </c>
      <c r="B619" s="3">
        <v>43928</v>
      </c>
      <c r="C619" s="3" t="str">
        <f t="shared" si="36"/>
        <v>Tuesday</v>
      </c>
      <c r="D619" s="3" t="str">
        <f t="shared" si="37"/>
        <v>April</v>
      </c>
      <c r="E619" s="3" t="str">
        <f t="shared" si="38"/>
        <v>2020</v>
      </c>
      <c r="F619" s="2" t="s">
        <v>3973</v>
      </c>
      <c r="G619" t="s">
        <v>6181</v>
      </c>
      <c r="H619" s="2">
        <v>1</v>
      </c>
      <c r="I619" s="2" t="str">
        <f>_xlfn.XLOOKUP(F619,customers!A:A,customers!B:B)</f>
        <v>Rachelle Elizabeth</v>
      </c>
      <c r="J619" s="2" t="str">
        <f>_xlfn.XLOOKUP(F619,customers!A:A,customers!C:C)</f>
        <v>relizabethh5@live.com</v>
      </c>
      <c r="K619" s="2" t="str">
        <f>_xlfn.XLOOKUP(F619,customers!A:A,customers!F:F)</f>
        <v>Tulsa</v>
      </c>
      <c r="L619" s="2" t="str">
        <f>_xlfn.XLOOKUP(F619,customers!A:A,customers!G:G)</f>
        <v>United States</v>
      </c>
      <c r="M619" t="str">
        <f>_xlfn.XLOOKUP(G619,products!A:A,products!B:B)</f>
        <v>Lib</v>
      </c>
      <c r="N619" t="str">
        <f>_xlfn.XLOOKUP(G619,products!A:A,products!C:C)</f>
        <v>M</v>
      </c>
      <c r="O619">
        <f>_xlfn.XLOOKUP(G619,products!A:A,products!D:D)</f>
        <v>2.5</v>
      </c>
      <c r="P619">
        <f>_xlfn.XLOOKUP(G619,products!A:A,products!E:E)</f>
        <v>33.464999999999996</v>
      </c>
      <c r="Q619">
        <f t="shared" si="39"/>
        <v>33.464999999999996</v>
      </c>
      <c r="R619" t="str" cm="1">
        <f t="array" ref="R619">_xlfn.IFS(Q619&lt;=50,"low sales",Q619&lt;=100,"medium sales",Q619&gt;100,"High sales")</f>
        <v>low sales</v>
      </c>
    </row>
    <row r="620" spans="1:18" x14ac:dyDescent="0.35">
      <c r="A620" s="2" t="s">
        <v>3978</v>
      </c>
      <c r="B620" s="3">
        <v>44469</v>
      </c>
      <c r="C620" s="3" t="str">
        <f t="shared" si="36"/>
        <v>Thursday</v>
      </c>
      <c r="D620" s="3" t="str">
        <f t="shared" si="37"/>
        <v>September</v>
      </c>
      <c r="E620" s="3" t="str">
        <f t="shared" si="38"/>
        <v>2021</v>
      </c>
      <c r="F620" s="2" t="s">
        <v>3979</v>
      </c>
      <c r="G620" t="s">
        <v>6183</v>
      </c>
      <c r="H620" s="2">
        <v>6</v>
      </c>
      <c r="I620" s="2" t="str">
        <f>_xlfn.XLOOKUP(F620,customers!A:A,customers!B:B)</f>
        <v>Innis Renhard</v>
      </c>
      <c r="J620" s="2" t="str">
        <f>_xlfn.XLOOKUP(F620,customers!A:A,customers!C:C)</f>
        <v>irenhardh6@i2i.jp</v>
      </c>
      <c r="K620" s="2" t="str">
        <f>_xlfn.XLOOKUP(F620,customers!A:A,customers!F:F)</f>
        <v>New York City</v>
      </c>
      <c r="L620" s="2" t="str">
        <f>_xlfn.XLOOKUP(F620,customers!A:A,customers!G:G)</f>
        <v>United States</v>
      </c>
      <c r="M620" t="str">
        <f>_xlfn.XLOOKUP(G620,products!A:A,products!B:B)</f>
        <v>Exc</v>
      </c>
      <c r="N620" t="str">
        <f>_xlfn.XLOOKUP(G620,products!A:A,products!C:C)</f>
        <v>D</v>
      </c>
      <c r="O620">
        <f>_xlfn.XLOOKUP(G620,products!A:A,products!D:D)</f>
        <v>1</v>
      </c>
      <c r="P620">
        <f>_xlfn.XLOOKUP(G620,products!A:A,products!E:E)</f>
        <v>12.15</v>
      </c>
      <c r="Q620">
        <f t="shared" si="39"/>
        <v>72.900000000000006</v>
      </c>
      <c r="R620" t="str" cm="1">
        <f t="array" ref="R620">_xlfn.IFS(Q620&lt;=50,"low sales",Q620&lt;=100,"medium sales",Q620&gt;100,"High sales")</f>
        <v>medium sales</v>
      </c>
    </row>
    <row r="621" spans="1:18" x14ac:dyDescent="0.35">
      <c r="A621" s="2" t="s">
        <v>3984</v>
      </c>
      <c r="B621" s="3">
        <v>44682</v>
      </c>
      <c r="C621" s="3" t="str">
        <f t="shared" si="36"/>
        <v>Sunday</v>
      </c>
      <c r="D621" s="3" t="str">
        <f t="shared" si="37"/>
        <v>May</v>
      </c>
      <c r="E621" s="3" t="str">
        <f t="shared" si="38"/>
        <v>2022</v>
      </c>
      <c r="F621" s="2" t="s">
        <v>3985</v>
      </c>
      <c r="G621" t="s">
        <v>6169</v>
      </c>
      <c r="H621" s="2">
        <v>2</v>
      </c>
      <c r="I621" s="2" t="str">
        <f>_xlfn.XLOOKUP(F621,customers!A:A,customers!B:B)</f>
        <v>Winne Roche</v>
      </c>
      <c r="J621" s="2" t="str">
        <f>_xlfn.XLOOKUP(F621,customers!A:A,customers!C:C)</f>
        <v>wrocheh7@xinhuanet.com</v>
      </c>
      <c r="K621" s="2" t="str">
        <f>_xlfn.XLOOKUP(F621,customers!A:A,customers!F:F)</f>
        <v>Seminole</v>
      </c>
      <c r="L621" s="2" t="str">
        <f>_xlfn.XLOOKUP(F621,customers!A:A,customers!G:G)</f>
        <v>United States</v>
      </c>
      <c r="M621" t="str">
        <f>_xlfn.XLOOKUP(G621,products!A:A,products!B:B)</f>
        <v>Lib</v>
      </c>
      <c r="N621" t="str">
        <f>_xlfn.XLOOKUP(G621,products!A:A,products!C:C)</f>
        <v>D</v>
      </c>
      <c r="O621">
        <f>_xlfn.XLOOKUP(G621,products!A:A,products!D:D)</f>
        <v>0.5</v>
      </c>
      <c r="P621">
        <f>_xlfn.XLOOKUP(G621,products!A:A,products!E:E)</f>
        <v>7.77</v>
      </c>
      <c r="Q621">
        <f t="shared" si="39"/>
        <v>15.54</v>
      </c>
      <c r="R621" t="str" cm="1">
        <f t="array" ref="R621">_xlfn.IFS(Q621&lt;=50,"low sales",Q621&lt;=100,"medium sales",Q621&gt;100,"High sales")</f>
        <v>low sales</v>
      </c>
    </row>
    <row r="622" spans="1:18" x14ac:dyDescent="0.35">
      <c r="A622" s="2" t="s">
        <v>3990</v>
      </c>
      <c r="B622" s="3">
        <v>44217</v>
      </c>
      <c r="C622" s="3" t="str">
        <f t="shared" si="36"/>
        <v>Thursday</v>
      </c>
      <c r="D622" s="3" t="str">
        <f t="shared" si="37"/>
        <v>January</v>
      </c>
      <c r="E622" s="3" t="str">
        <f t="shared" si="38"/>
        <v>2021</v>
      </c>
      <c r="F622" s="2" t="s">
        <v>4042</v>
      </c>
      <c r="G622" t="s">
        <v>6152</v>
      </c>
      <c r="H622" s="2">
        <v>6</v>
      </c>
      <c r="I622" s="2" t="str">
        <f>_xlfn.XLOOKUP(F622,customers!A:A,customers!B:B)</f>
        <v>Linn Alaway</v>
      </c>
      <c r="J622" s="2" t="str">
        <f>_xlfn.XLOOKUP(F622,customers!A:A,customers!C:C)</f>
        <v>lalawayhh@weather.com</v>
      </c>
      <c r="K622" s="2" t="str">
        <f>_xlfn.XLOOKUP(F622,customers!A:A,customers!F:F)</f>
        <v>Fort Lauderdale</v>
      </c>
      <c r="L622" s="2" t="str">
        <f>_xlfn.XLOOKUP(F622,customers!A:A,customers!G:G)</f>
        <v>United States</v>
      </c>
      <c r="M622" t="str">
        <f>_xlfn.XLOOKUP(G622,products!A:A,products!B:B)</f>
        <v>Ara</v>
      </c>
      <c r="N622" t="str">
        <f>_xlfn.XLOOKUP(G622,products!A:A,products!C:C)</f>
        <v>M</v>
      </c>
      <c r="O622">
        <f>_xlfn.XLOOKUP(G622,products!A:A,products!D:D)</f>
        <v>0.2</v>
      </c>
      <c r="P622">
        <f>_xlfn.XLOOKUP(G622,products!A:A,products!E:E)</f>
        <v>3.375</v>
      </c>
      <c r="Q622">
        <f t="shared" si="39"/>
        <v>20.25</v>
      </c>
      <c r="R622" t="str" cm="1">
        <f t="array" ref="R622">_xlfn.IFS(Q622&lt;=50,"low sales",Q622&lt;=100,"medium sales",Q622&gt;100,"High sales")</f>
        <v>low sales</v>
      </c>
    </row>
    <row r="623" spans="1:18" x14ac:dyDescent="0.35">
      <c r="A623" s="2" t="s">
        <v>3996</v>
      </c>
      <c r="B623" s="3">
        <v>44006</v>
      </c>
      <c r="C623" s="3" t="str">
        <f t="shared" si="36"/>
        <v>Wednesday</v>
      </c>
      <c r="D623" s="3" t="str">
        <f t="shared" si="37"/>
        <v>June</v>
      </c>
      <c r="E623" s="3" t="str">
        <f t="shared" si="38"/>
        <v>2020</v>
      </c>
      <c r="F623" s="2" t="s">
        <v>3997</v>
      </c>
      <c r="G623" t="s">
        <v>6140</v>
      </c>
      <c r="H623" s="2">
        <v>6</v>
      </c>
      <c r="I623" s="2" t="str">
        <f>_xlfn.XLOOKUP(F623,customers!A:A,customers!B:B)</f>
        <v>Cordy Odgaard</v>
      </c>
      <c r="J623" s="2" t="str">
        <f>_xlfn.XLOOKUP(F623,customers!A:A,customers!C:C)</f>
        <v>codgaardh9@nsw.gov.au</v>
      </c>
      <c r="K623" s="2" t="str">
        <f>_xlfn.XLOOKUP(F623,customers!A:A,customers!F:F)</f>
        <v>Portland</v>
      </c>
      <c r="L623" s="2" t="str">
        <f>_xlfn.XLOOKUP(F623,customers!A:A,customers!G:G)</f>
        <v>United States</v>
      </c>
      <c r="M623" t="str">
        <f>_xlfn.XLOOKUP(G623,products!A:A,products!B:B)</f>
        <v>Ara</v>
      </c>
      <c r="N623" t="str">
        <f>_xlfn.XLOOKUP(G623,products!A:A,products!C:C)</f>
        <v>L</v>
      </c>
      <c r="O623">
        <f>_xlfn.XLOOKUP(G623,products!A:A,products!D:D)</f>
        <v>1</v>
      </c>
      <c r="P623">
        <f>_xlfn.XLOOKUP(G623,products!A:A,products!E:E)</f>
        <v>12.95</v>
      </c>
      <c r="Q623">
        <f t="shared" si="39"/>
        <v>77.699999999999989</v>
      </c>
      <c r="R623" t="str" cm="1">
        <f t="array" ref="R623">_xlfn.IFS(Q623&lt;=50,"low sales",Q623&lt;=100,"medium sales",Q623&gt;100,"High sales")</f>
        <v>medium sales</v>
      </c>
    </row>
    <row r="624" spans="1:18" x14ac:dyDescent="0.35">
      <c r="A624" s="2" t="s">
        <v>4002</v>
      </c>
      <c r="B624" s="3">
        <v>43527</v>
      </c>
      <c r="C624" s="3" t="str">
        <f t="shared" si="36"/>
        <v>Sunday</v>
      </c>
      <c r="D624" s="3" t="str">
        <f t="shared" si="37"/>
        <v>March</v>
      </c>
      <c r="E624" s="3" t="str">
        <f t="shared" si="38"/>
        <v>2019</v>
      </c>
      <c r="F624" s="2" t="s">
        <v>4003</v>
      </c>
      <c r="G624" t="s">
        <v>6181</v>
      </c>
      <c r="H624" s="2">
        <v>4</v>
      </c>
      <c r="I624" s="2" t="str">
        <f>_xlfn.XLOOKUP(F624,customers!A:A,customers!B:B)</f>
        <v>Bertine Byrd</v>
      </c>
      <c r="J624" s="2" t="str">
        <f>_xlfn.XLOOKUP(F624,customers!A:A,customers!C:C)</f>
        <v>bbyrdha@4shared.com</v>
      </c>
      <c r="K624" s="2" t="str">
        <f>_xlfn.XLOOKUP(F624,customers!A:A,customers!F:F)</f>
        <v>Las Vegas</v>
      </c>
      <c r="L624" s="2" t="str">
        <f>_xlfn.XLOOKUP(F624,customers!A:A,customers!G:G)</f>
        <v>United States</v>
      </c>
      <c r="M624" t="str">
        <f>_xlfn.XLOOKUP(G624,products!A:A,products!B:B)</f>
        <v>Lib</v>
      </c>
      <c r="N624" t="str">
        <f>_xlfn.XLOOKUP(G624,products!A:A,products!C:C)</f>
        <v>M</v>
      </c>
      <c r="O624">
        <f>_xlfn.XLOOKUP(G624,products!A:A,products!D:D)</f>
        <v>2.5</v>
      </c>
      <c r="P624">
        <f>_xlfn.XLOOKUP(G624,products!A:A,products!E:E)</f>
        <v>33.464999999999996</v>
      </c>
      <c r="Q624">
        <f t="shared" si="39"/>
        <v>133.85999999999999</v>
      </c>
      <c r="R624" t="str" cm="1">
        <f t="array" ref="R624">_xlfn.IFS(Q624&lt;=50,"low sales",Q624&lt;=100,"medium sales",Q624&gt;100,"High sales")</f>
        <v>High sales</v>
      </c>
    </row>
    <row r="625" spans="1:18" x14ac:dyDescent="0.35">
      <c r="A625" s="2" t="s">
        <v>4007</v>
      </c>
      <c r="B625" s="3">
        <v>44224</v>
      </c>
      <c r="C625" s="3" t="str">
        <f t="shared" si="36"/>
        <v>Thursday</v>
      </c>
      <c r="D625" s="3" t="str">
        <f t="shared" si="37"/>
        <v>January</v>
      </c>
      <c r="E625" s="3" t="str">
        <f t="shared" si="38"/>
        <v>2021</v>
      </c>
      <c r="F625" s="2" t="s">
        <v>4008</v>
      </c>
      <c r="G625" t="s">
        <v>6183</v>
      </c>
      <c r="H625" s="2">
        <v>1</v>
      </c>
      <c r="I625" s="2" t="str">
        <f>_xlfn.XLOOKUP(F625,customers!A:A,customers!B:B)</f>
        <v>Nelie Garnson</v>
      </c>
      <c r="J625" s="2">
        <f>_xlfn.XLOOKUP(F625,customers!A:A,customers!C:C)</f>
        <v>0</v>
      </c>
      <c r="K625" s="2" t="str">
        <f>_xlfn.XLOOKUP(F625,customers!A:A,customers!F:F)</f>
        <v>Merton</v>
      </c>
      <c r="L625" s="2" t="str">
        <f>_xlfn.XLOOKUP(F625,customers!A:A,customers!G:G)</f>
        <v>United Kingdom</v>
      </c>
      <c r="M625" t="str">
        <f>_xlfn.XLOOKUP(G625,products!A:A,products!B:B)</f>
        <v>Exc</v>
      </c>
      <c r="N625" t="str">
        <f>_xlfn.XLOOKUP(G625,products!A:A,products!C:C)</f>
        <v>D</v>
      </c>
      <c r="O625">
        <f>_xlfn.XLOOKUP(G625,products!A:A,products!D:D)</f>
        <v>1</v>
      </c>
      <c r="P625">
        <f>_xlfn.XLOOKUP(G625,products!A:A,products!E:E)</f>
        <v>12.15</v>
      </c>
      <c r="Q625">
        <f t="shared" si="39"/>
        <v>12.15</v>
      </c>
      <c r="R625" t="str" cm="1">
        <f t="array" ref="R625">_xlfn.IFS(Q625&lt;=50,"low sales",Q625&lt;=100,"medium sales",Q625&gt;100,"High sales")</f>
        <v>low sales</v>
      </c>
    </row>
    <row r="626" spans="1:18" x14ac:dyDescent="0.35">
      <c r="A626" s="2" t="s">
        <v>4012</v>
      </c>
      <c r="B626" s="3">
        <v>44010</v>
      </c>
      <c r="C626" s="3" t="str">
        <f t="shared" si="36"/>
        <v>Sunday</v>
      </c>
      <c r="D626" s="3" t="str">
        <f t="shared" si="37"/>
        <v>June</v>
      </c>
      <c r="E626" s="3" t="str">
        <f t="shared" si="38"/>
        <v>2020</v>
      </c>
      <c r="F626" s="2" t="s">
        <v>4013</v>
      </c>
      <c r="G626" t="s">
        <v>6166</v>
      </c>
      <c r="H626" s="2">
        <v>2</v>
      </c>
      <c r="I626" s="2" t="str">
        <f>_xlfn.XLOOKUP(F626,customers!A:A,customers!B:B)</f>
        <v>Dianne Chardin</v>
      </c>
      <c r="J626" s="2" t="str">
        <f>_xlfn.XLOOKUP(F626,customers!A:A,customers!C:C)</f>
        <v>dchardinhc@nhs.uk</v>
      </c>
      <c r="K626" s="2" t="str">
        <f>_xlfn.XLOOKUP(F626,customers!A:A,customers!F:F)</f>
        <v>Ballybofey</v>
      </c>
      <c r="L626" s="2" t="str">
        <f>_xlfn.XLOOKUP(F626,customers!A:A,customers!G:G)</f>
        <v>Ireland</v>
      </c>
      <c r="M626" t="str">
        <f>_xlfn.XLOOKUP(G626,products!A:A,products!B:B)</f>
        <v>Exc</v>
      </c>
      <c r="N626" t="str">
        <f>_xlfn.XLOOKUP(G626,products!A:A,products!C:C)</f>
        <v>M</v>
      </c>
      <c r="O626">
        <f>_xlfn.XLOOKUP(G626,products!A:A,products!D:D)</f>
        <v>2.5</v>
      </c>
      <c r="P626">
        <f>_xlfn.XLOOKUP(G626,products!A:A,products!E:E)</f>
        <v>31.624999999999996</v>
      </c>
      <c r="Q626">
        <f t="shared" si="39"/>
        <v>63.249999999999993</v>
      </c>
      <c r="R626" t="str" cm="1">
        <f t="array" ref="R626">_xlfn.IFS(Q626&lt;=50,"low sales",Q626&lt;=100,"medium sales",Q626&gt;100,"High sales")</f>
        <v>medium sales</v>
      </c>
    </row>
    <row r="627" spans="1:18" x14ac:dyDescent="0.35">
      <c r="A627" s="2" t="s">
        <v>4017</v>
      </c>
      <c r="B627" s="3">
        <v>44017</v>
      </c>
      <c r="C627" s="3" t="str">
        <f t="shared" si="36"/>
        <v>Sunday</v>
      </c>
      <c r="D627" s="3" t="str">
        <f t="shared" si="37"/>
        <v>July</v>
      </c>
      <c r="E627" s="3" t="str">
        <f t="shared" si="38"/>
        <v>2020</v>
      </c>
      <c r="F627" s="2" t="s">
        <v>4018</v>
      </c>
      <c r="G627" t="s">
        <v>6173</v>
      </c>
      <c r="H627" s="2">
        <v>5</v>
      </c>
      <c r="I627" s="2" t="str">
        <f>_xlfn.XLOOKUP(F627,customers!A:A,customers!B:B)</f>
        <v>Hailee Radbone</v>
      </c>
      <c r="J627" s="2" t="str">
        <f>_xlfn.XLOOKUP(F627,customers!A:A,customers!C:C)</f>
        <v>hradbonehd@newsvine.com</v>
      </c>
      <c r="K627" s="2" t="str">
        <f>_xlfn.XLOOKUP(F627,customers!A:A,customers!F:F)</f>
        <v>San Francisco</v>
      </c>
      <c r="L627" s="2" t="str">
        <f>_xlfn.XLOOKUP(F627,customers!A:A,customers!G:G)</f>
        <v>United States</v>
      </c>
      <c r="M627" t="str">
        <f>_xlfn.XLOOKUP(G627,products!A:A,products!B:B)</f>
        <v>Rob</v>
      </c>
      <c r="N627" t="str">
        <f>_xlfn.XLOOKUP(G627,products!A:A,products!C:C)</f>
        <v>L</v>
      </c>
      <c r="O627">
        <f>_xlfn.XLOOKUP(G627,products!A:A,products!D:D)</f>
        <v>0.5</v>
      </c>
      <c r="P627">
        <f>_xlfn.XLOOKUP(G627,products!A:A,products!E:E)</f>
        <v>7.169999999999999</v>
      </c>
      <c r="Q627">
        <f t="shared" si="39"/>
        <v>35.849999999999994</v>
      </c>
      <c r="R627" t="str" cm="1">
        <f t="array" ref="R627">_xlfn.IFS(Q627&lt;=50,"low sales",Q627&lt;=100,"medium sales",Q627&gt;100,"High sales")</f>
        <v>low sales</v>
      </c>
    </row>
    <row r="628" spans="1:18" x14ac:dyDescent="0.35">
      <c r="A628" s="2" t="s">
        <v>4023</v>
      </c>
      <c r="B628" s="3">
        <v>43526</v>
      </c>
      <c r="C628" s="3" t="str">
        <f t="shared" si="36"/>
        <v>Saturday</v>
      </c>
      <c r="D628" s="3" t="str">
        <f t="shared" si="37"/>
        <v>March</v>
      </c>
      <c r="E628" s="3" t="str">
        <f t="shared" si="38"/>
        <v>2019</v>
      </c>
      <c r="F628" s="2" t="s">
        <v>4024</v>
      </c>
      <c r="G628" t="s">
        <v>6175</v>
      </c>
      <c r="H628" s="2">
        <v>3</v>
      </c>
      <c r="I628" s="2" t="str">
        <f>_xlfn.XLOOKUP(F628,customers!A:A,customers!B:B)</f>
        <v>Wallis Bernth</v>
      </c>
      <c r="J628" s="2" t="str">
        <f>_xlfn.XLOOKUP(F628,customers!A:A,customers!C:C)</f>
        <v>wbernthhe@miitbeian.gov.cn</v>
      </c>
      <c r="K628" s="2" t="str">
        <f>_xlfn.XLOOKUP(F628,customers!A:A,customers!F:F)</f>
        <v>Pittsburgh</v>
      </c>
      <c r="L628" s="2" t="str">
        <f>_xlfn.XLOOKUP(F628,customers!A:A,customers!G:G)</f>
        <v>United States</v>
      </c>
      <c r="M628" t="str">
        <f>_xlfn.XLOOKUP(G628,products!A:A,products!B:B)</f>
        <v>Ara</v>
      </c>
      <c r="N628" t="str">
        <f>_xlfn.XLOOKUP(G628,products!A:A,products!C:C)</f>
        <v>M</v>
      </c>
      <c r="O628">
        <f>_xlfn.XLOOKUP(G628,products!A:A,products!D:D)</f>
        <v>2.5</v>
      </c>
      <c r="P628">
        <f>_xlfn.XLOOKUP(G628,products!A:A,products!E:E)</f>
        <v>25.874999999999996</v>
      </c>
      <c r="Q628">
        <f t="shared" si="39"/>
        <v>77.624999999999986</v>
      </c>
      <c r="R628" t="str" cm="1">
        <f t="array" ref="R628">_xlfn.IFS(Q628&lt;=50,"low sales",Q628&lt;=100,"medium sales",Q628&gt;100,"High sales")</f>
        <v>medium sales</v>
      </c>
    </row>
    <row r="629" spans="1:18" x14ac:dyDescent="0.35">
      <c r="A629" s="2" t="s">
        <v>4029</v>
      </c>
      <c r="B629" s="3">
        <v>44682</v>
      </c>
      <c r="C629" s="3" t="str">
        <f t="shared" si="36"/>
        <v>Sunday</v>
      </c>
      <c r="D629" s="3" t="str">
        <f t="shared" si="37"/>
        <v>May</v>
      </c>
      <c r="E629" s="3" t="str">
        <f t="shared" si="38"/>
        <v>2022</v>
      </c>
      <c r="F629" s="2" t="s">
        <v>4030</v>
      </c>
      <c r="G629" t="s">
        <v>6166</v>
      </c>
      <c r="H629" s="2">
        <v>2</v>
      </c>
      <c r="I629" s="2" t="str">
        <f>_xlfn.XLOOKUP(F629,customers!A:A,customers!B:B)</f>
        <v>Byron Acarson</v>
      </c>
      <c r="J629" s="2" t="str">
        <f>_xlfn.XLOOKUP(F629,customers!A:A,customers!C:C)</f>
        <v>bacarsonhf@cnn.com</v>
      </c>
      <c r="K629" s="2" t="str">
        <f>_xlfn.XLOOKUP(F629,customers!A:A,customers!F:F)</f>
        <v>Houston</v>
      </c>
      <c r="L629" s="2" t="str">
        <f>_xlfn.XLOOKUP(F629,customers!A:A,customers!G:G)</f>
        <v>United States</v>
      </c>
      <c r="M629" t="str">
        <f>_xlfn.XLOOKUP(G629,products!A:A,products!B:B)</f>
        <v>Exc</v>
      </c>
      <c r="N629" t="str">
        <f>_xlfn.XLOOKUP(G629,products!A:A,products!C:C)</f>
        <v>M</v>
      </c>
      <c r="O629">
        <f>_xlfn.XLOOKUP(G629,products!A:A,products!D:D)</f>
        <v>2.5</v>
      </c>
      <c r="P629">
        <f>_xlfn.XLOOKUP(G629,products!A:A,products!E:E)</f>
        <v>31.624999999999996</v>
      </c>
      <c r="Q629">
        <f t="shared" si="39"/>
        <v>63.249999999999993</v>
      </c>
      <c r="R629" t="str" cm="1">
        <f t="array" ref="R629">_xlfn.IFS(Q629&lt;=50,"low sales",Q629&lt;=100,"medium sales",Q629&gt;100,"High sales")</f>
        <v>medium sales</v>
      </c>
    </row>
    <row r="630" spans="1:18" x14ac:dyDescent="0.35">
      <c r="A630" s="2" t="s">
        <v>4035</v>
      </c>
      <c r="B630" s="3">
        <v>44680</v>
      </c>
      <c r="C630" s="3" t="str">
        <f t="shared" si="36"/>
        <v>Friday</v>
      </c>
      <c r="D630" s="3" t="str">
        <f t="shared" si="37"/>
        <v>April</v>
      </c>
      <c r="E630" s="3" t="str">
        <f t="shared" si="38"/>
        <v>2022</v>
      </c>
      <c r="F630" s="2" t="s">
        <v>4036</v>
      </c>
      <c r="G630" t="s">
        <v>6184</v>
      </c>
      <c r="H630" s="2">
        <v>6</v>
      </c>
      <c r="I630" s="2" t="str">
        <f>_xlfn.XLOOKUP(F630,customers!A:A,customers!B:B)</f>
        <v>Faunie Brigham</v>
      </c>
      <c r="J630" s="2" t="str">
        <f>_xlfn.XLOOKUP(F630,customers!A:A,customers!C:C)</f>
        <v>fbrighamhg@blog.com</v>
      </c>
      <c r="K630" s="2" t="str">
        <f>_xlfn.XLOOKUP(F630,customers!A:A,customers!F:F)</f>
        <v>Castlerea</v>
      </c>
      <c r="L630" s="2" t="str">
        <f>_xlfn.XLOOKUP(F630,customers!A:A,customers!G:G)</f>
        <v>Ireland</v>
      </c>
      <c r="M630" t="str">
        <f>_xlfn.XLOOKUP(G630,products!A:A,products!B:B)</f>
        <v>Exc</v>
      </c>
      <c r="N630" t="str">
        <f>_xlfn.XLOOKUP(G630,products!A:A,products!C:C)</f>
        <v>L</v>
      </c>
      <c r="O630">
        <f>_xlfn.XLOOKUP(G630,products!A:A,products!D:D)</f>
        <v>0.2</v>
      </c>
      <c r="P630">
        <f>_xlfn.XLOOKUP(G630,products!A:A,products!E:E)</f>
        <v>4.4550000000000001</v>
      </c>
      <c r="Q630">
        <f t="shared" si="39"/>
        <v>26.73</v>
      </c>
      <c r="R630" t="str" cm="1">
        <f t="array" ref="R630">_xlfn.IFS(Q630&lt;=50,"low sales",Q630&lt;=100,"medium sales",Q630&gt;100,"High sales")</f>
        <v>low sales</v>
      </c>
    </row>
    <row r="631" spans="1:18" x14ac:dyDescent="0.35">
      <c r="A631" s="2" t="s">
        <v>4035</v>
      </c>
      <c r="B631" s="3">
        <v>44680</v>
      </c>
      <c r="C631" s="3" t="str">
        <f t="shared" si="36"/>
        <v>Friday</v>
      </c>
      <c r="D631" s="3" t="str">
        <f t="shared" si="37"/>
        <v>April</v>
      </c>
      <c r="E631" s="3" t="str">
        <f t="shared" si="38"/>
        <v>2022</v>
      </c>
      <c r="F631" s="2" t="s">
        <v>4036</v>
      </c>
      <c r="G631" t="s">
        <v>6169</v>
      </c>
      <c r="H631" s="2">
        <v>4</v>
      </c>
      <c r="I631" s="2" t="str">
        <f>_xlfn.XLOOKUP(F631,customers!A:A,customers!B:B)</f>
        <v>Faunie Brigham</v>
      </c>
      <c r="J631" s="2" t="str">
        <f>_xlfn.XLOOKUP(F631,customers!A:A,customers!C:C)</f>
        <v>fbrighamhg@blog.com</v>
      </c>
      <c r="K631" s="2" t="str">
        <f>_xlfn.XLOOKUP(F631,customers!A:A,customers!F:F)</f>
        <v>Castlerea</v>
      </c>
      <c r="L631" s="2" t="str">
        <f>_xlfn.XLOOKUP(F631,customers!A:A,customers!G:G)</f>
        <v>Ireland</v>
      </c>
      <c r="M631" t="str">
        <f>_xlfn.XLOOKUP(G631,products!A:A,products!B:B)</f>
        <v>Lib</v>
      </c>
      <c r="N631" t="str">
        <f>_xlfn.XLOOKUP(G631,products!A:A,products!C:C)</f>
        <v>D</v>
      </c>
      <c r="O631">
        <f>_xlfn.XLOOKUP(G631,products!A:A,products!D:D)</f>
        <v>0.5</v>
      </c>
      <c r="P631">
        <f>_xlfn.XLOOKUP(G631,products!A:A,products!E:E)</f>
        <v>7.77</v>
      </c>
      <c r="Q631">
        <f t="shared" si="39"/>
        <v>31.08</v>
      </c>
      <c r="R631" t="str" cm="1">
        <f t="array" ref="R631">_xlfn.IFS(Q631&lt;=50,"low sales",Q631&lt;=100,"medium sales",Q631&gt;100,"High sales")</f>
        <v>low sales</v>
      </c>
    </row>
    <row r="632" spans="1:18" x14ac:dyDescent="0.35">
      <c r="A632" s="2" t="s">
        <v>4035</v>
      </c>
      <c r="B632" s="3">
        <v>44680</v>
      </c>
      <c r="C632" s="3" t="str">
        <f t="shared" si="36"/>
        <v>Friday</v>
      </c>
      <c r="D632" s="3" t="str">
        <f t="shared" si="37"/>
        <v>April</v>
      </c>
      <c r="E632" s="3" t="str">
        <f t="shared" si="38"/>
        <v>2022</v>
      </c>
      <c r="F632" s="2" t="s">
        <v>4036</v>
      </c>
      <c r="G632" t="s">
        <v>6154</v>
      </c>
      <c r="H632" s="2">
        <v>1</v>
      </c>
      <c r="I632" s="2" t="str">
        <f>_xlfn.XLOOKUP(F632,customers!A:A,customers!B:B)</f>
        <v>Faunie Brigham</v>
      </c>
      <c r="J632" s="2" t="str">
        <f>_xlfn.XLOOKUP(F632,customers!A:A,customers!C:C)</f>
        <v>fbrighamhg@blog.com</v>
      </c>
      <c r="K632" s="2" t="str">
        <f>_xlfn.XLOOKUP(F632,customers!A:A,customers!F:F)</f>
        <v>Castlerea</v>
      </c>
      <c r="L632" s="2" t="str">
        <f>_xlfn.XLOOKUP(F632,customers!A:A,customers!G:G)</f>
        <v>Ireland</v>
      </c>
      <c r="M632" t="str">
        <f>_xlfn.XLOOKUP(G632,products!A:A,products!B:B)</f>
        <v>Ara</v>
      </c>
      <c r="N632" t="str">
        <f>_xlfn.XLOOKUP(G632,products!A:A,products!C:C)</f>
        <v>D</v>
      </c>
      <c r="O632">
        <f>_xlfn.XLOOKUP(G632,products!A:A,products!D:D)</f>
        <v>0.2</v>
      </c>
      <c r="P632">
        <f>_xlfn.XLOOKUP(G632,products!A:A,products!E:E)</f>
        <v>2.9849999999999999</v>
      </c>
      <c r="Q632">
        <f t="shared" si="39"/>
        <v>2.9849999999999999</v>
      </c>
      <c r="R632" t="str" cm="1">
        <f t="array" ref="R632">_xlfn.IFS(Q632&lt;=50,"low sales",Q632&lt;=100,"medium sales",Q632&gt;100,"High sales")</f>
        <v>low sales</v>
      </c>
    </row>
    <row r="633" spans="1:18" x14ac:dyDescent="0.35">
      <c r="A633" s="2" t="s">
        <v>4035</v>
      </c>
      <c r="B633" s="3">
        <v>44680</v>
      </c>
      <c r="C633" s="3" t="str">
        <f t="shared" si="36"/>
        <v>Friday</v>
      </c>
      <c r="D633" s="3" t="str">
        <f t="shared" si="37"/>
        <v>April</v>
      </c>
      <c r="E633" s="3" t="str">
        <f t="shared" si="38"/>
        <v>2022</v>
      </c>
      <c r="F633" s="2" t="s">
        <v>4036</v>
      </c>
      <c r="G633" t="s">
        <v>6149</v>
      </c>
      <c r="H633" s="2">
        <v>5</v>
      </c>
      <c r="I633" s="2" t="str">
        <f>_xlfn.XLOOKUP(F633,customers!A:A,customers!B:B)</f>
        <v>Faunie Brigham</v>
      </c>
      <c r="J633" s="2" t="str">
        <f>_xlfn.XLOOKUP(F633,customers!A:A,customers!C:C)</f>
        <v>fbrighamhg@blog.com</v>
      </c>
      <c r="K633" s="2" t="str">
        <f>_xlfn.XLOOKUP(F633,customers!A:A,customers!F:F)</f>
        <v>Castlerea</v>
      </c>
      <c r="L633" s="2" t="str">
        <f>_xlfn.XLOOKUP(F633,customers!A:A,customers!G:G)</f>
        <v>Ireland</v>
      </c>
      <c r="M633" t="str">
        <f>_xlfn.XLOOKUP(G633,products!A:A,products!B:B)</f>
        <v>Rob</v>
      </c>
      <c r="N633" t="str">
        <f>_xlfn.XLOOKUP(G633,products!A:A,products!C:C)</f>
        <v>D</v>
      </c>
      <c r="O633">
        <f>_xlfn.XLOOKUP(G633,products!A:A,products!D:D)</f>
        <v>2.5</v>
      </c>
      <c r="P633">
        <f>_xlfn.XLOOKUP(G633,products!A:A,products!E:E)</f>
        <v>20.584999999999997</v>
      </c>
      <c r="Q633">
        <f t="shared" si="39"/>
        <v>102.92499999999998</v>
      </c>
      <c r="R633" t="str" cm="1">
        <f t="array" ref="R633">_xlfn.IFS(Q633&lt;=50,"low sales",Q633&lt;=100,"medium sales",Q633&gt;100,"High sales")</f>
        <v>High sales</v>
      </c>
    </row>
    <row r="634" spans="1:18" x14ac:dyDescent="0.35">
      <c r="A634" s="2" t="s">
        <v>4056</v>
      </c>
      <c r="B634" s="3">
        <v>44049</v>
      </c>
      <c r="C634" s="3" t="str">
        <f t="shared" si="36"/>
        <v>Thursday</v>
      </c>
      <c r="D634" s="3" t="str">
        <f t="shared" si="37"/>
        <v>August</v>
      </c>
      <c r="E634" s="3" t="str">
        <f t="shared" si="38"/>
        <v>2020</v>
      </c>
      <c r="F634" s="2" t="s">
        <v>4057</v>
      </c>
      <c r="G634" t="s">
        <v>6176</v>
      </c>
      <c r="H634" s="2">
        <v>4</v>
      </c>
      <c r="I634" s="2" t="str">
        <f>_xlfn.XLOOKUP(F634,customers!A:A,customers!B:B)</f>
        <v>Marjorie Yoxen</v>
      </c>
      <c r="J634" s="2" t="str">
        <f>_xlfn.XLOOKUP(F634,customers!A:A,customers!C:C)</f>
        <v>myoxenhk@google.com</v>
      </c>
      <c r="K634" s="2" t="str">
        <f>_xlfn.XLOOKUP(F634,customers!A:A,customers!F:F)</f>
        <v>Los Angeles</v>
      </c>
      <c r="L634" s="2" t="str">
        <f>_xlfn.XLOOKUP(F634,customers!A:A,customers!G:G)</f>
        <v>United States</v>
      </c>
      <c r="M634" t="str">
        <f>_xlfn.XLOOKUP(G634,products!A:A,products!B:B)</f>
        <v>Exc</v>
      </c>
      <c r="N634" t="str">
        <f>_xlfn.XLOOKUP(G634,products!A:A,products!C:C)</f>
        <v>L</v>
      </c>
      <c r="O634">
        <f>_xlfn.XLOOKUP(G634,products!A:A,products!D:D)</f>
        <v>0.5</v>
      </c>
      <c r="P634">
        <f>_xlfn.XLOOKUP(G634,products!A:A,products!E:E)</f>
        <v>8.91</v>
      </c>
      <c r="Q634">
        <f t="shared" si="39"/>
        <v>35.64</v>
      </c>
      <c r="R634" t="str" cm="1">
        <f t="array" ref="R634">_xlfn.IFS(Q634&lt;=50,"low sales",Q634&lt;=100,"medium sales",Q634&gt;100,"High sales")</f>
        <v>low sales</v>
      </c>
    </row>
    <row r="635" spans="1:18" x14ac:dyDescent="0.35">
      <c r="A635" s="2" t="s">
        <v>4062</v>
      </c>
      <c r="B635" s="3">
        <v>43820</v>
      </c>
      <c r="C635" s="3" t="str">
        <f t="shared" si="36"/>
        <v>Saturday</v>
      </c>
      <c r="D635" s="3" t="str">
        <f t="shared" si="37"/>
        <v>December</v>
      </c>
      <c r="E635" s="3" t="str">
        <f t="shared" si="38"/>
        <v>2019</v>
      </c>
      <c r="F635" s="2" t="s">
        <v>4063</v>
      </c>
      <c r="G635" t="s">
        <v>6179</v>
      </c>
      <c r="H635" s="2">
        <v>4</v>
      </c>
      <c r="I635" s="2" t="str">
        <f>_xlfn.XLOOKUP(F635,customers!A:A,customers!B:B)</f>
        <v>Gaspar McGavin</v>
      </c>
      <c r="J635" s="2" t="str">
        <f>_xlfn.XLOOKUP(F635,customers!A:A,customers!C:C)</f>
        <v>gmcgavinhl@histats.com</v>
      </c>
      <c r="K635" s="2" t="str">
        <f>_xlfn.XLOOKUP(F635,customers!A:A,customers!F:F)</f>
        <v>Wilkes Barre</v>
      </c>
      <c r="L635" s="2" t="str">
        <f>_xlfn.XLOOKUP(F635,customers!A:A,customers!G:G)</f>
        <v>United States</v>
      </c>
      <c r="M635" t="str">
        <f>_xlfn.XLOOKUP(G635,products!A:A,products!B:B)</f>
        <v>Rob</v>
      </c>
      <c r="N635" t="str">
        <f>_xlfn.XLOOKUP(G635,products!A:A,products!C:C)</f>
        <v>L</v>
      </c>
      <c r="O635">
        <f>_xlfn.XLOOKUP(G635,products!A:A,products!D:D)</f>
        <v>1</v>
      </c>
      <c r="P635">
        <f>_xlfn.XLOOKUP(G635,products!A:A,products!E:E)</f>
        <v>11.95</v>
      </c>
      <c r="Q635">
        <f t="shared" si="39"/>
        <v>47.8</v>
      </c>
      <c r="R635" t="str" cm="1">
        <f t="array" ref="R635">_xlfn.IFS(Q635&lt;=50,"low sales",Q635&lt;=100,"medium sales",Q635&gt;100,"High sales")</f>
        <v>low sales</v>
      </c>
    </row>
    <row r="636" spans="1:18" x14ac:dyDescent="0.35">
      <c r="A636" s="2" t="s">
        <v>4068</v>
      </c>
      <c r="B636" s="3">
        <v>43940</v>
      </c>
      <c r="C636" s="3" t="str">
        <f t="shared" si="36"/>
        <v>Sunday</v>
      </c>
      <c r="D636" s="3" t="str">
        <f t="shared" si="37"/>
        <v>April</v>
      </c>
      <c r="E636" s="3" t="str">
        <f t="shared" si="38"/>
        <v>2020</v>
      </c>
      <c r="F636" s="2" t="s">
        <v>4069</v>
      </c>
      <c r="G636" t="s">
        <v>6162</v>
      </c>
      <c r="H636" s="2">
        <v>3</v>
      </c>
      <c r="I636" s="2" t="str">
        <f>_xlfn.XLOOKUP(F636,customers!A:A,customers!B:B)</f>
        <v>Lindy Uttermare</v>
      </c>
      <c r="J636" s="2" t="str">
        <f>_xlfn.XLOOKUP(F636,customers!A:A,customers!C:C)</f>
        <v>luttermarehm@engadget.com</v>
      </c>
      <c r="K636" s="2" t="str">
        <f>_xlfn.XLOOKUP(F636,customers!A:A,customers!F:F)</f>
        <v>Denton</v>
      </c>
      <c r="L636" s="2" t="str">
        <f>_xlfn.XLOOKUP(F636,customers!A:A,customers!G:G)</f>
        <v>United States</v>
      </c>
      <c r="M636" t="str">
        <f>_xlfn.XLOOKUP(G636,products!A:A,products!B:B)</f>
        <v>Lib</v>
      </c>
      <c r="N636" t="str">
        <f>_xlfn.XLOOKUP(G636,products!A:A,products!C:C)</f>
        <v>M</v>
      </c>
      <c r="O636">
        <f>_xlfn.XLOOKUP(G636,products!A:A,products!D:D)</f>
        <v>1</v>
      </c>
      <c r="P636">
        <f>_xlfn.XLOOKUP(G636,products!A:A,products!E:E)</f>
        <v>14.55</v>
      </c>
      <c r="Q636">
        <f t="shared" si="39"/>
        <v>43.650000000000006</v>
      </c>
      <c r="R636" t="str" cm="1">
        <f t="array" ref="R636">_xlfn.IFS(Q636&lt;=50,"low sales",Q636&lt;=100,"medium sales",Q636&gt;100,"High sales")</f>
        <v>low sales</v>
      </c>
    </row>
    <row r="637" spans="1:18" x14ac:dyDescent="0.35">
      <c r="A637" s="2" t="s">
        <v>4074</v>
      </c>
      <c r="B637" s="3">
        <v>44578</v>
      </c>
      <c r="C637" s="3" t="str">
        <f t="shared" si="36"/>
        <v>Monday</v>
      </c>
      <c r="D637" s="3" t="str">
        <f t="shared" si="37"/>
        <v>January</v>
      </c>
      <c r="E637" s="3" t="str">
        <f t="shared" si="38"/>
        <v>2022</v>
      </c>
      <c r="F637" s="2" t="s">
        <v>4075</v>
      </c>
      <c r="G637" t="s">
        <v>6176</v>
      </c>
      <c r="H637" s="2">
        <v>4</v>
      </c>
      <c r="I637" s="2" t="str">
        <f>_xlfn.XLOOKUP(F637,customers!A:A,customers!B:B)</f>
        <v>Eal D'Ambrogio</v>
      </c>
      <c r="J637" s="2" t="str">
        <f>_xlfn.XLOOKUP(F637,customers!A:A,customers!C:C)</f>
        <v>edambrogiohn@techcrunch.com</v>
      </c>
      <c r="K637" s="2" t="str">
        <f>_xlfn.XLOOKUP(F637,customers!A:A,customers!F:F)</f>
        <v>Lees Summit</v>
      </c>
      <c r="L637" s="2" t="str">
        <f>_xlfn.XLOOKUP(F637,customers!A:A,customers!G:G)</f>
        <v>United States</v>
      </c>
      <c r="M637" t="str">
        <f>_xlfn.XLOOKUP(G637,products!A:A,products!B:B)</f>
        <v>Exc</v>
      </c>
      <c r="N637" t="str">
        <f>_xlfn.XLOOKUP(G637,products!A:A,products!C:C)</f>
        <v>L</v>
      </c>
      <c r="O637">
        <f>_xlfn.XLOOKUP(G637,products!A:A,products!D:D)</f>
        <v>0.5</v>
      </c>
      <c r="P637">
        <f>_xlfn.XLOOKUP(G637,products!A:A,products!E:E)</f>
        <v>8.91</v>
      </c>
      <c r="Q637">
        <f t="shared" si="39"/>
        <v>35.64</v>
      </c>
      <c r="R637" t="str" cm="1">
        <f t="array" ref="R637">_xlfn.IFS(Q637&lt;=50,"low sales",Q637&lt;=100,"medium sales",Q637&gt;100,"High sales")</f>
        <v>low sales</v>
      </c>
    </row>
    <row r="638" spans="1:18" x14ac:dyDescent="0.35">
      <c r="A638" s="2" t="s">
        <v>4080</v>
      </c>
      <c r="B638" s="3">
        <v>43487</v>
      </c>
      <c r="C638" s="3" t="str">
        <f t="shared" si="36"/>
        <v>Tuesday</v>
      </c>
      <c r="D638" s="3" t="str">
        <f t="shared" si="37"/>
        <v>January</v>
      </c>
      <c r="E638" s="3" t="str">
        <f t="shared" si="38"/>
        <v>2019</v>
      </c>
      <c r="F638" s="2" t="s">
        <v>4081</v>
      </c>
      <c r="G638" t="s">
        <v>6170</v>
      </c>
      <c r="H638" s="2">
        <v>6</v>
      </c>
      <c r="I638" s="2" t="str">
        <f>_xlfn.XLOOKUP(F638,customers!A:A,customers!B:B)</f>
        <v>Carolee Winchcombe</v>
      </c>
      <c r="J638" s="2" t="str">
        <f>_xlfn.XLOOKUP(F638,customers!A:A,customers!C:C)</f>
        <v>cwinchcombeho@jiathis.com</v>
      </c>
      <c r="K638" s="2" t="str">
        <f>_xlfn.XLOOKUP(F638,customers!A:A,customers!F:F)</f>
        <v>Little Rock</v>
      </c>
      <c r="L638" s="2" t="str">
        <f>_xlfn.XLOOKUP(F638,customers!A:A,customers!G:G)</f>
        <v>United States</v>
      </c>
      <c r="M638" t="str">
        <f>_xlfn.XLOOKUP(G638,products!A:A,products!B:B)</f>
        <v>Lib</v>
      </c>
      <c r="N638" t="str">
        <f>_xlfn.XLOOKUP(G638,products!A:A,products!C:C)</f>
        <v>L</v>
      </c>
      <c r="O638">
        <f>_xlfn.XLOOKUP(G638,products!A:A,products!D:D)</f>
        <v>1</v>
      </c>
      <c r="P638">
        <f>_xlfn.XLOOKUP(G638,products!A:A,products!E:E)</f>
        <v>15.85</v>
      </c>
      <c r="Q638">
        <f t="shared" si="39"/>
        <v>95.1</v>
      </c>
      <c r="R638" t="str" cm="1">
        <f t="array" ref="R638">_xlfn.IFS(Q638&lt;=50,"low sales",Q638&lt;=100,"medium sales",Q638&gt;100,"High sales")</f>
        <v>medium sales</v>
      </c>
    </row>
    <row r="639" spans="1:18" x14ac:dyDescent="0.35">
      <c r="A639" s="2" t="s">
        <v>4086</v>
      </c>
      <c r="B639" s="3">
        <v>43889</v>
      </c>
      <c r="C639" s="3" t="str">
        <f t="shared" si="36"/>
        <v>Friday</v>
      </c>
      <c r="D639" s="3" t="str">
        <f t="shared" si="37"/>
        <v>February</v>
      </c>
      <c r="E639" s="3" t="str">
        <f t="shared" si="38"/>
        <v>2020</v>
      </c>
      <c r="F639" s="2" t="s">
        <v>4087</v>
      </c>
      <c r="G639" t="s">
        <v>6166</v>
      </c>
      <c r="H639" s="2">
        <v>1</v>
      </c>
      <c r="I639" s="2" t="str">
        <f>_xlfn.XLOOKUP(F639,customers!A:A,customers!B:B)</f>
        <v>Benedikta Paumier</v>
      </c>
      <c r="J639" s="2" t="str">
        <f>_xlfn.XLOOKUP(F639,customers!A:A,customers!C:C)</f>
        <v>bpaumierhp@umn.edu</v>
      </c>
      <c r="K639" s="2" t="str">
        <f>_xlfn.XLOOKUP(F639,customers!A:A,customers!F:F)</f>
        <v>Ballisodare</v>
      </c>
      <c r="L639" s="2" t="str">
        <f>_xlfn.XLOOKUP(F639,customers!A:A,customers!G:G)</f>
        <v>Ireland</v>
      </c>
      <c r="M639" t="str">
        <f>_xlfn.XLOOKUP(G639,products!A:A,products!B:B)</f>
        <v>Exc</v>
      </c>
      <c r="N639" t="str">
        <f>_xlfn.XLOOKUP(G639,products!A:A,products!C:C)</f>
        <v>M</v>
      </c>
      <c r="O639">
        <f>_xlfn.XLOOKUP(G639,products!A:A,products!D:D)</f>
        <v>2.5</v>
      </c>
      <c r="P639">
        <f>_xlfn.XLOOKUP(G639,products!A:A,products!E:E)</f>
        <v>31.624999999999996</v>
      </c>
      <c r="Q639">
        <f t="shared" si="39"/>
        <v>31.624999999999996</v>
      </c>
      <c r="R639" t="str" cm="1">
        <f t="array" ref="R639">_xlfn.IFS(Q639&lt;=50,"low sales",Q639&lt;=100,"medium sales",Q639&gt;100,"High sales")</f>
        <v>low sales</v>
      </c>
    </row>
    <row r="640" spans="1:18" x14ac:dyDescent="0.35">
      <c r="A640" s="2" t="s">
        <v>4093</v>
      </c>
      <c r="B640" s="3">
        <v>43684</v>
      </c>
      <c r="C640" s="3" t="str">
        <f t="shared" si="36"/>
        <v>Wednesday</v>
      </c>
      <c r="D640" s="3" t="str">
        <f t="shared" si="37"/>
        <v>August</v>
      </c>
      <c r="E640" s="3" t="str">
        <f t="shared" si="38"/>
        <v>2019</v>
      </c>
      <c r="F640" s="2" t="s">
        <v>4094</v>
      </c>
      <c r="G640" t="s">
        <v>6175</v>
      </c>
      <c r="H640" s="2">
        <v>3</v>
      </c>
      <c r="I640" s="2" t="str">
        <f>_xlfn.XLOOKUP(F640,customers!A:A,customers!B:B)</f>
        <v>Neville Piatto</v>
      </c>
      <c r="J640" s="2">
        <f>_xlfn.XLOOKUP(F640,customers!A:A,customers!C:C)</f>
        <v>0</v>
      </c>
      <c r="K640" s="2" t="str">
        <f>_xlfn.XLOOKUP(F640,customers!A:A,customers!F:F)</f>
        <v>Daingean</v>
      </c>
      <c r="L640" s="2" t="str">
        <f>_xlfn.XLOOKUP(F640,customers!A:A,customers!G:G)</f>
        <v>Ireland</v>
      </c>
      <c r="M640" t="str">
        <f>_xlfn.XLOOKUP(G640,products!A:A,products!B:B)</f>
        <v>Ara</v>
      </c>
      <c r="N640" t="str">
        <f>_xlfn.XLOOKUP(G640,products!A:A,products!C:C)</f>
        <v>M</v>
      </c>
      <c r="O640">
        <f>_xlfn.XLOOKUP(G640,products!A:A,products!D:D)</f>
        <v>2.5</v>
      </c>
      <c r="P640">
        <f>_xlfn.XLOOKUP(G640,products!A:A,products!E:E)</f>
        <v>25.874999999999996</v>
      </c>
      <c r="Q640">
        <f t="shared" si="39"/>
        <v>77.624999999999986</v>
      </c>
      <c r="R640" t="str" cm="1">
        <f t="array" ref="R640">_xlfn.IFS(Q640&lt;=50,"low sales",Q640&lt;=100,"medium sales",Q640&gt;100,"High sales")</f>
        <v>medium sales</v>
      </c>
    </row>
    <row r="641" spans="1:18" x14ac:dyDescent="0.35">
      <c r="A641" s="2" t="s">
        <v>4098</v>
      </c>
      <c r="B641" s="3">
        <v>44331</v>
      </c>
      <c r="C641" s="3" t="str">
        <f t="shared" si="36"/>
        <v>Saturday</v>
      </c>
      <c r="D641" s="3" t="str">
        <f t="shared" si="37"/>
        <v>May</v>
      </c>
      <c r="E641" s="3" t="str">
        <f t="shared" si="38"/>
        <v>2021</v>
      </c>
      <c r="F641" s="2" t="s">
        <v>4099</v>
      </c>
      <c r="G641" t="s">
        <v>6150</v>
      </c>
      <c r="H641" s="2">
        <v>1</v>
      </c>
      <c r="I641" s="2" t="str">
        <f>_xlfn.XLOOKUP(F641,customers!A:A,customers!B:B)</f>
        <v>Jeno Capey</v>
      </c>
      <c r="J641" s="2" t="str">
        <f>_xlfn.XLOOKUP(F641,customers!A:A,customers!C:C)</f>
        <v>jcapeyhr@bravesites.com</v>
      </c>
      <c r="K641" s="2" t="str">
        <f>_xlfn.XLOOKUP(F641,customers!A:A,customers!F:F)</f>
        <v>Erie</v>
      </c>
      <c r="L641" s="2" t="str">
        <f>_xlfn.XLOOKUP(F641,customers!A:A,customers!G:G)</f>
        <v>United States</v>
      </c>
      <c r="M641" t="str">
        <f>_xlfn.XLOOKUP(G641,products!A:A,products!B:B)</f>
        <v>Lib</v>
      </c>
      <c r="N641" t="str">
        <f>_xlfn.XLOOKUP(G641,products!A:A,products!C:C)</f>
        <v>D</v>
      </c>
      <c r="O641">
        <f>_xlfn.XLOOKUP(G641,products!A:A,products!D:D)</f>
        <v>0.2</v>
      </c>
      <c r="P641">
        <f>_xlfn.XLOOKUP(G641,products!A:A,products!E:E)</f>
        <v>3.8849999999999998</v>
      </c>
      <c r="Q641">
        <f t="shared" si="39"/>
        <v>3.8849999999999998</v>
      </c>
      <c r="R641" t="str" cm="1">
        <f t="array" ref="R641">_xlfn.IFS(Q641&lt;=50,"low sales",Q641&lt;=100,"medium sales",Q641&gt;100,"High sales")</f>
        <v>low sales</v>
      </c>
    </row>
    <row r="642" spans="1:18" x14ac:dyDescent="0.35">
      <c r="A642" s="2" t="s">
        <v>4104</v>
      </c>
      <c r="B642" s="3">
        <v>44547</v>
      </c>
      <c r="C642" s="3" t="str">
        <f t="shared" si="36"/>
        <v>Friday</v>
      </c>
      <c r="D642" s="3" t="str">
        <f t="shared" si="37"/>
        <v>December</v>
      </c>
      <c r="E642" s="3" t="str">
        <f t="shared" si="38"/>
        <v>2021</v>
      </c>
      <c r="F642" s="2" t="s">
        <v>4152</v>
      </c>
      <c r="G642" t="s">
        <v>6142</v>
      </c>
      <c r="H642" s="2">
        <v>5</v>
      </c>
      <c r="I642" s="2" t="str">
        <f>_xlfn.XLOOKUP(F642,customers!A:A,customers!B:B)</f>
        <v>Tuckie Mathonnet</v>
      </c>
      <c r="J642" s="2" t="str">
        <f>_xlfn.XLOOKUP(F642,customers!A:A,customers!C:C)</f>
        <v>tmathonneti0@google.co.jp</v>
      </c>
      <c r="K642" s="2" t="str">
        <f>_xlfn.XLOOKUP(F642,customers!A:A,customers!F:F)</f>
        <v>Columbus</v>
      </c>
      <c r="L642" s="2" t="str">
        <f>_xlfn.XLOOKUP(F642,customers!A:A,customers!G:G)</f>
        <v>United States</v>
      </c>
      <c r="M642" t="str">
        <f>_xlfn.XLOOKUP(G642,products!A:A,products!B:B)</f>
        <v>Rob</v>
      </c>
      <c r="N642" t="str">
        <f>_xlfn.XLOOKUP(G642,products!A:A,products!C:C)</f>
        <v>L</v>
      </c>
      <c r="O642">
        <f>_xlfn.XLOOKUP(G642,products!A:A,products!D:D)</f>
        <v>2.5</v>
      </c>
      <c r="P642">
        <f>_xlfn.XLOOKUP(G642,products!A:A,products!E:E)</f>
        <v>27.484999999999996</v>
      </c>
      <c r="Q642">
        <f t="shared" si="39"/>
        <v>137.42499999999998</v>
      </c>
      <c r="R642" t="str" cm="1">
        <f t="array" ref="R642">_xlfn.IFS(Q642&lt;=50,"low sales",Q642&lt;=100,"medium sales",Q642&gt;100,"High sales")</f>
        <v>High sales</v>
      </c>
    </row>
    <row r="643" spans="1:18" x14ac:dyDescent="0.35">
      <c r="A643" s="2" t="s">
        <v>4109</v>
      </c>
      <c r="B643" s="3">
        <v>44448</v>
      </c>
      <c r="C643" s="3" t="str">
        <f t="shared" ref="C643:C706" si="40">TEXT(B643,"DDDD")</f>
        <v>Thursday</v>
      </c>
      <c r="D643" s="3" t="str">
        <f t="shared" ref="D643:D706" si="41">TEXT(B643,"MMMM")</f>
        <v>September</v>
      </c>
      <c r="E643" s="3" t="str">
        <f t="shared" ref="E643:E706" si="42">TEXT(B643,"YYYY")</f>
        <v>2021</v>
      </c>
      <c r="F643" s="2" t="s">
        <v>4110</v>
      </c>
      <c r="G643" t="s">
        <v>6179</v>
      </c>
      <c r="H643" s="2">
        <v>3</v>
      </c>
      <c r="I643" s="2" t="str">
        <f>_xlfn.XLOOKUP(F643,customers!A:A,customers!B:B)</f>
        <v>Yardley Basill</v>
      </c>
      <c r="J643" s="2" t="str">
        <f>_xlfn.XLOOKUP(F643,customers!A:A,customers!C:C)</f>
        <v>ybasillht@theguardian.com</v>
      </c>
      <c r="K643" s="2" t="str">
        <f>_xlfn.XLOOKUP(F643,customers!A:A,customers!F:F)</f>
        <v>Pittsburgh</v>
      </c>
      <c r="L643" s="2" t="str">
        <f>_xlfn.XLOOKUP(F643,customers!A:A,customers!G:G)</f>
        <v>United States</v>
      </c>
      <c r="M643" t="str">
        <f>_xlfn.XLOOKUP(G643,products!A:A,products!B:B)</f>
        <v>Rob</v>
      </c>
      <c r="N643" t="str">
        <f>_xlfn.XLOOKUP(G643,products!A:A,products!C:C)</f>
        <v>L</v>
      </c>
      <c r="O643">
        <f>_xlfn.XLOOKUP(G643,products!A:A,products!D:D)</f>
        <v>1</v>
      </c>
      <c r="P643">
        <f>_xlfn.XLOOKUP(G643,products!A:A,products!E:E)</f>
        <v>11.95</v>
      </c>
      <c r="Q643">
        <f t="shared" ref="Q643:Q706" si="43">P643*H643</f>
        <v>35.849999999999994</v>
      </c>
      <c r="R643" t="str" cm="1">
        <f t="array" ref="R643">_xlfn.IFS(Q643&lt;=50,"low sales",Q643&lt;=100,"medium sales",Q643&gt;100,"High sales")</f>
        <v>low sales</v>
      </c>
    </row>
    <row r="644" spans="1:18" x14ac:dyDescent="0.35">
      <c r="A644" s="2" t="s">
        <v>4115</v>
      </c>
      <c r="B644" s="3">
        <v>43880</v>
      </c>
      <c r="C644" s="3" t="str">
        <f t="shared" si="40"/>
        <v>Wednesday</v>
      </c>
      <c r="D644" s="3" t="str">
        <f t="shared" si="41"/>
        <v>February</v>
      </c>
      <c r="E644" s="3" t="str">
        <f t="shared" si="42"/>
        <v>2020</v>
      </c>
      <c r="F644" s="2" t="s">
        <v>4116</v>
      </c>
      <c r="G644" t="s">
        <v>6156</v>
      </c>
      <c r="H644" s="2">
        <v>2</v>
      </c>
      <c r="I644" s="2" t="str">
        <f>_xlfn.XLOOKUP(F644,customers!A:A,customers!B:B)</f>
        <v>Maggy Baistow</v>
      </c>
      <c r="J644" s="2" t="str">
        <f>_xlfn.XLOOKUP(F644,customers!A:A,customers!C:C)</f>
        <v>mbaistowhu@i2i.jp</v>
      </c>
      <c r="K644" s="2" t="str">
        <f>_xlfn.XLOOKUP(F644,customers!A:A,customers!F:F)</f>
        <v>Ford</v>
      </c>
      <c r="L644" s="2" t="str">
        <f>_xlfn.XLOOKUP(F644,customers!A:A,customers!G:G)</f>
        <v>United Kingdom</v>
      </c>
      <c r="M644" t="str">
        <f>_xlfn.XLOOKUP(G644,products!A:A,products!B:B)</f>
        <v>Exc</v>
      </c>
      <c r="N644" t="str">
        <f>_xlfn.XLOOKUP(G644,products!A:A,products!C:C)</f>
        <v>M</v>
      </c>
      <c r="O644">
        <f>_xlfn.XLOOKUP(G644,products!A:A,products!D:D)</f>
        <v>0.2</v>
      </c>
      <c r="P644">
        <f>_xlfn.XLOOKUP(G644,products!A:A,products!E:E)</f>
        <v>4.125</v>
      </c>
      <c r="Q644">
        <f t="shared" si="43"/>
        <v>8.25</v>
      </c>
      <c r="R644" t="str" cm="1">
        <f t="array" ref="R644">_xlfn.IFS(Q644&lt;=50,"low sales",Q644&lt;=100,"medium sales",Q644&gt;100,"High sales")</f>
        <v>low sales</v>
      </c>
    </row>
    <row r="645" spans="1:18" x14ac:dyDescent="0.35">
      <c r="A645" s="2" t="s">
        <v>4123</v>
      </c>
      <c r="B645" s="3">
        <v>44011</v>
      </c>
      <c r="C645" s="3" t="str">
        <f t="shared" si="40"/>
        <v>Monday</v>
      </c>
      <c r="D645" s="3" t="str">
        <f t="shared" si="41"/>
        <v>June</v>
      </c>
      <c r="E645" s="3" t="str">
        <f t="shared" si="42"/>
        <v>2020</v>
      </c>
      <c r="F645" s="2" t="s">
        <v>4124</v>
      </c>
      <c r="G645" t="s">
        <v>6148</v>
      </c>
      <c r="H645" s="2">
        <v>3</v>
      </c>
      <c r="I645" s="2" t="str">
        <f>_xlfn.XLOOKUP(F645,customers!A:A,customers!B:B)</f>
        <v>Courtney Pallant</v>
      </c>
      <c r="J645" s="2" t="str">
        <f>_xlfn.XLOOKUP(F645,customers!A:A,customers!C:C)</f>
        <v>cpallanthv@typepad.com</v>
      </c>
      <c r="K645" s="2" t="str">
        <f>_xlfn.XLOOKUP(F645,customers!A:A,customers!F:F)</f>
        <v>Dallas</v>
      </c>
      <c r="L645" s="2" t="str">
        <f>_xlfn.XLOOKUP(F645,customers!A:A,customers!G:G)</f>
        <v>United States</v>
      </c>
      <c r="M645" t="str">
        <f>_xlfn.XLOOKUP(G645,products!A:A,products!B:B)</f>
        <v>Exc</v>
      </c>
      <c r="N645" t="str">
        <f>_xlfn.XLOOKUP(G645,products!A:A,products!C:C)</f>
        <v>L</v>
      </c>
      <c r="O645">
        <f>_xlfn.XLOOKUP(G645,products!A:A,products!D:D)</f>
        <v>2.5</v>
      </c>
      <c r="P645">
        <f>_xlfn.XLOOKUP(G645,products!A:A,products!E:E)</f>
        <v>34.154999999999994</v>
      </c>
      <c r="Q645">
        <f t="shared" si="43"/>
        <v>102.46499999999997</v>
      </c>
      <c r="R645" t="str" cm="1">
        <f t="array" ref="R645">_xlfn.IFS(Q645&lt;=50,"low sales",Q645&lt;=100,"medium sales",Q645&gt;100,"High sales")</f>
        <v>High sales</v>
      </c>
    </row>
    <row r="646" spans="1:18" x14ac:dyDescent="0.35">
      <c r="A646" s="2" t="s">
        <v>4128</v>
      </c>
      <c r="B646" s="3">
        <v>44694</v>
      </c>
      <c r="C646" s="3" t="str">
        <f t="shared" si="40"/>
        <v>Friday</v>
      </c>
      <c r="D646" s="3" t="str">
        <f t="shared" si="41"/>
        <v>May</v>
      </c>
      <c r="E646" s="3" t="str">
        <f t="shared" si="42"/>
        <v>2022</v>
      </c>
      <c r="F646" s="2" t="s">
        <v>4129</v>
      </c>
      <c r="G646" t="s">
        <v>6149</v>
      </c>
      <c r="H646" s="2">
        <v>2</v>
      </c>
      <c r="I646" s="2" t="str">
        <f>_xlfn.XLOOKUP(F646,customers!A:A,customers!B:B)</f>
        <v>Marne Mingey</v>
      </c>
      <c r="J646" s="2">
        <f>_xlfn.XLOOKUP(F646,customers!A:A,customers!C:C)</f>
        <v>0</v>
      </c>
      <c r="K646" s="2" t="str">
        <f>_xlfn.XLOOKUP(F646,customers!A:A,customers!F:F)</f>
        <v>Miami</v>
      </c>
      <c r="L646" s="2" t="str">
        <f>_xlfn.XLOOKUP(F646,customers!A:A,customers!G:G)</f>
        <v>United States</v>
      </c>
      <c r="M646" t="str">
        <f>_xlfn.XLOOKUP(G646,products!A:A,products!B:B)</f>
        <v>Rob</v>
      </c>
      <c r="N646" t="str">
        <f>_xlfn.XLOOKUP(G646,products!A:A,products!C:C)</f>
        <v>D</v>
      </c>
      <c r="O646">
        <f>_xlfn.XLOOKUP(G646,products!A:A,products!D:D)</f>
        <v>2.5</v>
      </c>
      <c r="P646">
        <f>_xlfn.XLOOKUP(G646,products!A:A,products!E:E)</f>
        <v>20.584999999999997</v>
      </c>
      <c r="Q646">
        <f t="shared" si="43"/>
        <v>41.169999999999995</v>
      </c>
      <c r="R646" t="str" cm="1">
        <f t="array" ref="R646">_xlfn.IFS(Q646&lt;=50,"low sales",Q646&lt;=100,"medium sales",Q646&gt;100,"High sales")</f>
        <v>low sales</v>
      </c>
    </row>
    <row r="647" spans="1:18" x14ac:dyDescent="0.35">
      <c r="A647" s="2" t="s">
        <v>4133</v>
      </c>
      <c r="B647" s="3">
        <v>44106</v>
      </c>
      <c r="C647" s="3" t="str">
        <f t="shared" si="40"/>
        <v>Friday</v>
      </c>
      <c r="D647" s="3" t="str">
        <f t="shared" si="41"/>
        <v>October</v>
      </c>
      <c r="E647" s="3" t="str">
        <f t="shared" si="42"/>
        <v>2020</v>
      </c>
      <c r="F647" s="2" t="s">
        <v>4134</v>
      </c>
      <c r="G647" t="s">
        <v>6168</v>
      </c>
      <c r="H647" s="2">
        <v>3</v>
      </c>
      <c r="I647" s="2" t="str">
        <f>_xlfn.XLOOKUP(F647,customers!A:A,customers!B:B)</f>
        <v>Denny O' Ronan</v>
      </c>
      <c r="J647" s="2" t="str">
        <f>_xlfn.XLOOKUP(F647,customers!A:A,customers!C:C)</f>
        <v>dohx@redcross.org</v>
      </c>
      <c r="K647" s="2" t="str">
        <f>_xlfn.XLOOKUP(F647,customers!A:A,customers!F:F)</f>
        <v>San Angelo</v>
      </c>
      <c r="L647" s="2" t="str">
        <f>_xlfn.XLOOKUP(F647,customers!A:A,customers!G:G)</f>
        <v>United States</v>
      </c>
      <c r="M647" t="str">
        <f>_xlfn.XLOOKUP(G647,products!A:A,products!B:B)</f>
        <v>Ara</v>
      </c>
      <c r="N647" t="str">
        <f>_xlfn.XLOOKUP(G647,products!A:A,products!C:C)</f>
        <v>D</v>
      </c>
      <c r="O647">
        <f>_xlfn.XLOOKUP(G647,products!A:A,products!D:D)</f>
        <v>2.5</v>
      </c>
      <c r="P647">
        <f>_xlfn.XLOOKUP(G647,products!A:A,products!E:E)</f>
        <v>22.884999999999998</v>
      </c>
      <c r="Q647">
        <f t="shared" si="43"/>
        <v>68.655000000000001</v>
      </c>
      <c r="R647" t="str" cm="1">
        <f t="array" ref="R647">_xlfn.IFS(Q647&lt;=50,"low sales",Q647&lt;=100,"medium sales",Q647&gt;100,"High sales")</f>
        <v>medium sales</v>
      </c>
    </row>
    <row r="648" spans="1:18" x14ac:dyDescent="0.35">
      <c r="A648" s="2" t="s">
        <v>4139</v>
      </c>
      <c r="B648" s="3">
        <v>44532</v>
      </c>
      <c r="C648" s="3" t="str">
        <f t="shared" si="40"/>
        <v>Thursday</v>
      </c>
      <c r="D648" s="3" t="str">
        <f t="shared" si="41"/>
        <v>December</v>
      </c>
      <c r="E648" s="3" t="str">
        <f t="shared" si="42"/>
        <v>2021</v>
      </c>
      <c r="F648" s="2" t="s">
        <v>4140</v>
      </c>
      <c r="G648" t="s">
        <v>6147</v>
      </c>
      <c r="H648" s="2">
        <v>1</v>
      </c>
      <c r="I648" s="2" t="str">
        <f>_xlfn.XLOOKUP(F648,customers!A:A,customers!B:B)</f>
        <v>Dottie Rallin</v>
      </c>
      <c r="J648" s="2" t="str">
        <f>_xlfn.XLOOKUP(F648,customers!A:A,customers!C:C)</f>
        <v>drallinhy@howstuffworks.com</v>
      </c>
      <c r="K648" s="2" t="str">
        <f>_xlfn.XLOOKUP(F648,customers!A:A,customers!F:F)</f>
        <v>Albany</v>
      </c>
      <c r="L648" s="2" t="str">
        <f>_xlfn.XLOOKUP(F648,customers!A:A,customers!G:G)</f>
        <v>United States</v>
      </c>
      <c r="M648" t="str">
        <f>_xlfn.XLOOKUP(G648,products!A:A,products!B:B)</f>
        <v>Ara</v>
      </c>
      <c r="N648" t="str">
        <f>_xlfn.XLOOKUP(G648,products!A:A,products!C:C)</f>
        <v>D</v>
      </c>
      <c r="O648">
        <f>_xlfn.XLOOKUP(G648,products!A:A,products!D:D)</f>
        <v>1</v>
      </c>
      <c r="P648">
        <f>_xlfn.XLOOKUP(G648,products!A:A,products!E:E)</f>
        <v>9.9499999999999993</v>
      </c>
      <c r="Q648">
        <f t="shared" si="43"/>
        <v>9.9499999999999993</v>
      </c>
      <c r="R648" t="str" cm="1">
        <f t="array" ref="R648">_xlfn.IFS(Q648&lt;=50,"low sales",Q648&lt;=100,"medium sales",Q648&gt;100,"High sales")</f>
        <v>low sales</v>
      </c>
    </row>
    <row r="649" spans="1:18" x14ac:dyDescent="0.35">
      <c r="A649" s="2" t="s">
        <v>4145</v>
      </c>
      <c r="B649" s="3">
        <v>44502</v>
      </c>
      <c r="C649" s="3" t="str">
        <f t="shared" si="40"/>
        <v>Tuesday</v>
      </c>
      <c r="D649" s="3" t="str">
        <f t="shared" si="41"/>
        <v>November</v>
      </c>
      <c r="E649" s="3" t="str">
        <f t="shared" si="42"/>
        <v>2021</v>
      </c>
      <c r="F649" s="2" t="s">
        <v>4146</v>
      </c>
      <c r="G649" t="s">
        <v>6161</v>
      </c>
      <c r="H649" s="2">
        <v>3</v>
      </c>
      <c r="I649" s="2" t="str">
        <f>_xlfn.XLOOKUP(F649,customers!A:A,customers!B:B)</f>
        <v>Ardith Chill</v>
      </c>
      <c r="J649" s="2" t="str">
        <f>_xlfn.XLOOKUP(F649,customers!A:A,customers!C:C)</f>
        <v>achillhz@epa.gov</v>
      </c>
      <c r="K649" s="2" t="str">
        <f>_xlfn.XLOOKUP(F649,customers!A:A,customers!F:F)</f>
        <v>Thorpe</v>
      </c>
      <c r="L649" s="2" t="str">
        <f>_xlfn.XLOOKUP(F649,customers!A:A,customers!G:G)</f>
        <v>United Kingdom</v>
      </c>
      <c r="M649" t="str">
        <f>_xlfn.XLOOKUP(G649,products!A:A,products!B:B)</f>
        <v>Lib</v>
      </c>
      <c r="N649" t="str">
        <f>_xlfn.XLOOKUP(G649,products!A:A,products!C:C)</f>
        <v>L</v>
      </c>
      <c r="O649">
        <f>_xlfn.XLOOKUP(G649,products!A:A,products!D:D)</f>
        <v>0.5</v>
      </c>
      <c r="P649">
        <f>_xlfn.XLOOKUP(G649,products!A:A,products!E:E)</f>
        <v>9.51</v>
      </c>
      <c r="Q649">
        <f t="shared" si="43"/>
        <v>28.53</v>
      </c>
      <c r="R649" t="str" cm="1">
        <f t="array" ref="R649">_xlfn.IFS(Q649&lt;=50,"low sales",Q649&lt;=100,"medium sales",Q649&gt;100,"High sales")</f>
        <v>low sales</v>
      </c>
    </row>
    <row r="650" spans="1:18" x14ac:dyDescent="0.35">
      <c r="A650" s="2" t="s">
        <v>4151</v>
      </c>
      <c r="B650" s="3">
        <v>43884</v>
      </c>
      <c r="C650" s="3" t="str">
        <f t="shared" si="40"/>
        <v>Sunday</v>
      </c>
      <c r="D650" s="3" t="str">
        <f t="shared" si="41"/>
        <v>February</v>
      </c>
      <c r="E650" s="3" t="str">
        <f t="shared" si="42"/>
        <v>2020</v>
      </c>
      <c r="F650" s="2" t="s">
        <v>4152</v>
      </c>
      <c r="G650" t="s">
        <v>6163</v>
      </c>
      <c r="H650" s="2">
        <v>6</v>
      </c>
      <c r="I650" s="2" t="str">
        <f>_xlfn.XLOOKUP(F650,customers!A:A,customers!B:B)</f>
        <v>Tuckie Mathonnet</v>
      </c>
      <c r="J650" s="2" t="str">
        <f>_xlfn.XLOOKUP(F650,customers!A:A,customers!C:C)</f>
        <v>tmathonneti0@google.co.jp</v>
      </c>
      <c r="K650" s="2" t="str">
        <f>_xlfn.XLOOKUP(F650,customers!A:A,customers!F:F)</f>
        <v>Columbus</v>
      </c>
      <c r="L650" s="2" t="str">
        <f>_xlfn.XLOOKUP(F650,customers!A:A,customers!G:G)</f>
        <v>United States</v>
      </c>
      <c r="M650" t="str">
        <f>_xlfn.XLOOKUP(G650,products!A:A,products!B:B)</f>
        <v>Rob</v>
      </c>
      <c r="N650" t="str">
        <f>_xlfn.XLOOKUP(G650,products!A:A,products!C:C)</f>
        <v>D</v>
      </c>
      <c r="O650">
        <f>_xlfn.XLOOKUP(G650,products!A:A,products!D:D)</f>
        <v>0.2</v>
      </c>
      <c r="P650">
        <f>_xlfn.XLOOKUP(G650,products!A:A,products!E:E)</f>
        <v>2.6849999999999996</v>
      </c>
      <c r="Q650">
        <f t="shared" si="43"/>
        <v>16.11</v>
      </c>
      <c r="R650" t="str" cm="1">
        <f t="array" ref="R650">_xlfn.IFS(Q650&lt;=50,"low sales",Q650&lt;=100,"medium sales",Q650&gt;100,"High sales")</f>
        <v>low sales</v>
      </c>
    </row>
    <row r="651" spans="1:18" x14ac:dyDescent="0.35">
      <c r="A651" s="2" t="s">
        <v>4157</v>
      </c>
      <c r="B651" s="3">
        <v>44015</v>
      </c>
      <c r="C651" s="3" t="str">
        <f t="shared" si="40"/>
        <v>Friday</v>
      </c>
      <c r="D651" s="3" t="str">
        <f t="shared" si="41"/>
        <v>July</v>
      </c>
      <c r="E651" s="3" t="str">
        <f t="shared" si="42"/>
        <v>2020</v>
      </c>
      <c r="F651" s="2" t="s">
        <v>4158</v>
      </c>
      <c r="G651" t="s">
        <v>6170</v>
      </c>
      <c r="H651" s="2">
        <v>6</v>
      </c>
      <c r="I651" s="2" t="str">
        <f>_xlfn.XLOOKUP(F651,customers!A:A,customers!B:B)</f>
        <v>Charmane Denys</v>
      </c>
      <c r="J651" s="2" t="str">
        <f>_xlfn.XLOOKUP(F651,customers!A:A,customers!C:C)</f>
        <v>cdenysi1@is.gd</v>
      </c>
      <c r="K651" s="2" t="str">
        <f>_xlfn.XLOOKUP(F651,customers!A:A,customers!F:F)</f>
        <v>Carlton</v>
      </c>
      <c r="L651" s="2" t="str">
        <f>_xlfn.XLOOKUP(F651,customers!A:A,customers!G:G)</f>
        <v>United Kingdom</v>
      </c>
      <c r="M651" t="str">
        <f>_xlfn.XLOOKUP(G651,products!A:A,products!B:B)</f>
        <v>Lib</v>
      </c>
      <c r="N651" t="str">
        <f>_xlfn.XLOOKUP(G651,products!A:A,products!C:C)</f>
        <v>L</v>
      </c>
      <c r="O651">
        <f>_xlfn.XLOOKUP(G651,products!A:A,products!D:D)</f>
        <v>1</v>
      </c>
      <c r="P651">
        <f>_xlfn.XLOOKUP(G651,products!A:A,products!E:E)</f>
        <v>15.85</v>
      </c>
      <c r="Q651">
        <f t="shared" si="43"/>
        <v>95.1</v>
      </c>
      <c r="R651" t="str" cm="1">
        <f t="array" ref="R651">_xlfn.IFS(Q651&lt;=50,"low sales",Q651&lt;=100,"medium sales",Q651&gt;100,"High sales")</f>
        <v>medium sales</v>
      </c>
    </row>
    <row r="652" spans="1:18" x14ac:dyDescent="0.35">
      <c r="A652" s="2" t="s">
        <v>4163</v>
      </c>
      <c r="B652" s="3">
        <v>43507</v>
      </c>
      <c r="C652" s="3" t="str">
        <f t="shared" si="40"/>
        <v>Monday</v>
      </c>
      <c r="D652" s="3" t="str">
        <f t="shared" si="41"/>
        <v>February</v>
      </c>
      <c r="E652" s="3" t="str">
        <f t="shared" si="42"/>
        <v>2019</v>
      </c>
      <c r="F652" s="2" t="s">
        <v>4164</v>
      </c>
      <c r="G652" t="s">
        <v>6172</v>
      </c>
      <c r="H652" s="2">
        <v>1</v>
      </c>
      <c r="I652" s="2" t="str">
        <f>_xlfn.XLOOKUP(F652,customers!A:A,customers!B:B)</f>
        <v>Cecily Stebbings</v>
      </c>
      <c r="J652" s="2" t="str">
        <f>_xlfn.XLOOKUP(F652,customers!A:A,customers!C:C)</f>
        <v>cstebbingsi2@drupal.org</v>
      </c>
      <c r="K652" s="2" t="str">
        <f>_xlfn.XLOOKUP(F652,customers!A:A,customers!F:F)</f>
        <v>Corona</v>
      </c>
      <c r="L652" s="2" t="str">
        <f>_xlfn.XLOOKUP(F652,customers!A:A,customers!G:G)</f>
        <v>United States</v>
      </c>
      <c r="M652" t="str">
        <f>_xlfn.XLOOKUP(G652,products!A:A,products!B:B)</f>
        <v>Rob</v>
      </c>
      <c r="N652" t="str">
        <f>_xlfn.XLOOKUP(G652,products!A:A,products!C:C)</f>
        <v>D</v>
      </c>
      <c r="O652">
        <f>_xlfn.XLOOKUP(G652,products!A:A,products!D:D)</f>
        <v>0.5</v>
      </c>
      <c r="P652">
        <f>_xlfn.XLOOKUP(G652,products!A:A,products!E:E)</f>
        <v>5.3699999999999992</v>
      </c>
      <c r="Q652">
        <f t="shared" si="43"/>
        <v>5.3699999999999992</v>
      </c>
      <c r="R652" t="str" cm="1">
        <f t="array" ref="R652">_xlfn.IFS(Q652&lt;=50,"low sales",Q652&lt;=100,"medium sales",Q652&gt;100,"High sales")</f>
        <v>low sales</v>
      </c>
    </row>
    <row r="653" spans="1:18" x14ac:dyDescent="0.35">
      <c r="A653" s="2" t="s">
        <v>4169</v>
      </c>
      <c r="B653" s="3">
        <v>44084</v>
      </c>
      <c r="C653" s="3" t="str">
        <f t="shared" si="40"/>
        <v>Thursday</v>
      </c>
      <c r="D653" s="3" t="str">
        <f t="shared" si="41"/>
        <v>September</v>
      </c>
      <c r="E653" s="3" t="str">
        <f t="shared" si="42"/>
        <v>2020</v>
      </c>
      <c r="F653" s="2" t="s">
        <v>4170</v>
      </c>
      <c r="G653" t="s">
        <v>6179</v>
      </c>
      <c r="H653" s="2">
        <v>4</v>
      </c>
      <c r="I653" s="2" t="str">
        <f>_xlfn.XLOOKUP(F653,customers!A:A,customers!B:B)</f>
        <v>Giana Tonnesen</v>
      </c>
      <c r="J653" s="2">
        <f>_xlfn.XLOOKUP(F653,customers!A:A,customers!C:C)</f>
        <v>0</v>
      </c>
      <c r="K653" s="2" t="str">
        <f>_xlfn.XLOOKUP(F653,customers!A:A,customers!F:F)</f>
        <v>Washington</v>
      </c>
      <c r="L653" s="2" t="str">
        <f>_xlfn.XLOOKUP(F653,customers!A:A,customers!G:G)</f>
        <v>United States</v>
      </c>
      <c r="M653" t="str">
        <f>_xlfn.XLOOKUP(G653,products!A:A,products!B:B)</f>
        <v>Rob</v>
      </c>
      <c r="N653" t="str">
        <f>_xlfn.XLOOKUP(G653,products!A:A,products!C:C)</f>
        <v>L</v>
      </c>
      <c r="O653">
        <f>_xlfn.XLOOKUP(G653,products!A:A,products!D:D)</f>
        <v>1</v>
      </c>
      <c r="P653">
        <f>_xlfn.XLOOKUP(G653,products!A:A,products!E:E)</f>
        <v>11.95</v>
      </c>
      <c r="Q653">
        <f t="shared" si="43"/>
        <v>47.8</v>
      </c>
      <c r="R653" t="str" cm="1">
        <f t="array" ref="R653">_xlfn.IFS(Q653&lt;=50,"low sales",Q653&lt;=100,"medium sales",Q653&gt;100,"High sales")</f>
        <v>low sales</v>
      </c>
    </row>
    <row r="654" spans="1:18" x14ac:dyDescent="0.35">
      <c r="A654" s="2" t="s">
        <v>4174</v>
      </c>
      <c r="B654" s="3">
        <v>43892</v>
      </c>
      <c r="C654" s="3" t="str">
        <f t="shared" si="40"/>
        <v>Monday</v>
      </c>
      <c r="D654" s="3" t="str">
        <f t="shared" si="41"/>
        <v>March</v>
      </c>
      <c r="E654" s="3" t="str">
        <f t="shared" si="42"/>
        <v>2020</v>
      </c>
      <c r="F654" s="2" t="s">
        <v>4175</v>
      </c>
      <c r="G654" t="s">
        <v>6170</v>
      </c>
      <c r="H654" s="2">
        <v>4</v>
      </c>
      <c r="I654" s="2" t="str">
        <f>_xlfn.XLOOKUP(F654,customers!A:A,customers!B:B)</f>
        <v>Rhetta Zywicki</v>
      </c>
      <c r="J654" s="2" t="str">
        <f>_xlfn.XLOOKUP(F654,customers!A:A,customers!C:C)</f>
        <v>rzywickii4@ifeng.com</v>
      </c>
      <c r="K654" s="2" t="str">
        <f>_xlfn.XLOOKUP(F654,customers!A:A,customers!F:F)</f>
        <v>Ballinteer</v>
      </c>
      <c r="L654" s="2" t="str">
        <f>_xlfn.XLOOKUP(F654,customers!A:A,customers!G:G)</f>
        <v>Ireland</v>
      </c>
      <c r="M654" t="str">
        <f>_xlfn.XLOOKUP(G654,products!A:A,products!B:B)</f>
        <v>Lib</v>
      </c>
      <c r="N654" t="str">
        <f>_xlfn.XLOOKUP(G654,products!A:A,products!C:C)</f>
        <v>L</v>
      </c>
      <c r="O654">
        <f>_xlfn.XLOOKUP(G654,products!A:A,products!D:D)</f>
        <v>1</v>
      </c>
      <c r="P654">
        <f>_xlfn.XLOOKUP(G654,products!A:A,products!E:E)</f>
        <v>15.85</v>
      </c>
      <c r="Q654">
        <f t="shared" si="43"/>
        <v>63.4</v>
      </c>
      <c r="R654" t="str" cm="1">
        <f t="array" ref="R654">_xlfn.IFS(Q654&lt;=50,"low sales",Q654&lt;=100,"medium sales",Q654&gt;100,"High sales")</f>
        <v>medium sales</v>
      </c>
    </row>
    <row r="655" spans="1:18" x14ac:dyDescent="0.35">
      <c r="A655" s="2" t="s">
        <v>4179</v>
      </c>
      <c r="B655" s="3">
        <v>44375</v>
      </c>
      <c r="C655" s="3" t="str">
        <f t="shared" si="40"/>
        <v>Monday</v>
      </c>
      <c r="D655" s="3" t="str">
        <f t="shared" si="41"/>
        <v>June</v>
      </c>
      <c r="E655" s="3" t="str">
        <f t="shared" si="42"/>
        <v>2021</v>
      </c>
      <c r="F655" s="2" t="s">
        <v>4180</v>
      </c>
      <c r="G655" t="s">
        <v>6175</v>
      </c>
      <c r="H655" s="2">
        <v>4</v>
      </c>
      <c r="I655" s="2" t="str">
        <f>_xlfn.XLOOKUP(F655,customers!A:A,customers!B:B)</f>
        <v>Almeria Burgett</v>
      </c>
      <c r="J655" s="2" t="str">
        <f>_xlfn.XLOOKUP(F655,customers!A:A,customers!C:C)</f>
        <v>aburgetti5@moonfruit.com</v>
      </c>
      <c r="K655" s="2" t="str">
        <f>_xlfn.XLOOKUP(F655,customers!A:A,customers!F:F)</f>
        <v>Toledo</v>
      </c>
      <c r="L655" s="2" t="str">
        <f>_xlfn.XLOOKUP(F655,customers!A:A,customers!G:G)</f>
        <v>United States</v>
      </c>
      <c r="M655" t="str">
        <f>_xlfn.XLOOKUP(G655,products!A:A,products!B:B)</f>
        <v>Ara</v>
      </c>
      <c r="N655" t="str">
        <f>_xlfn.XLOOKUP(G655,products!A:A,products!C:C)</f>
        <v>M</v>
      </c>
      <c r="O655">
        <f>_xlfn.XLOOKUP(G655,products!A:A,products!D:D)</f>
        <v>2.5</v>
      </c>
      <c r="P655">
        <f>_xlfn.XLOOKUP(G655,products!A:A,products!E:E)</f>
        <v>25.874999999999996</v>
      </c>
      <c r="Q655">
        <f t="shared" si="43"/>
        <v>103.49999999999999</v>
      </c>
      <c r="R655" t="str" cm="1">
        <f t="array" ref="R655">_xlfn.IFS(Q655&lt;=50,"low sales",Q655&lt;=100,"medium sales",Q655&gt;100,"High sales")</f>
        <v>High sales</v>
      </c>
    </row>
    <row r="656" spans="1:18" x14ac:dyDescent="0.35">
      <c r="A656" s="2" t="s">
        <v>4185</v>
      </c>
      <c r="B656" s="3">
        <v>43476</v>
      </c>
      <c r="C656" s="3" t="str">
        <f t="shared" si="40"/>
        <v>Friday</v>
      </c>
      <c r="D656" s="3" t="str">
        <f t="shared" si="41"/>
        <v>January</v>
      </c>
      <c r="E656" s="3" t="str">
        <f t="shared" si="42"/>
        <v>2019</v>
      </c>
      <c r="F656" s="2" t="s">
        <v>4186</v>
      </c>
      <c r="G656" t="s">
        <v>6168</v>
      </c>
      <c r="H656" s="2">
        <v>3</v>
      </c>
      <c r="I656" s="2" t="str">
        <f>_xlfn.XLOOKUP(F656,customers!A:A,customers!B:B)</f>
        <v>Marvin Malloy</v>
      </c>
      <c r="J656" s="2" t="str">
        <f>_xlfn.XLOOKUP(F656,customers!A:A,customers!C:C)</f>
        <v>mmalloyi6@seattletimes.com</v>
      </c>
      <c r="K656" s="2" t="str">
        <f>_xlfn.XLOOKUP(F656,customers!A:A,customers!F:F)</f>
        <v>Washington</v>
      </c>
      <c r="L656" s="2" t="str">
        <f>_xlfn.XLOOKUP(F656,customers!A:A,customers!G:G)</f>
        <v>United States</v>
      </c>
      <c r="M656" t="str">
        <f>_xlfn.XLOOKUP(G656,products!A:A,products!B:B)</f>
        <v>Ara</v>
      </c>
      <c r="N656" t="str">
        <f>_xlfn.XLOOKUP(G656,products!A:A,products!C:C)</f>
        <v>D</v>
      </c>
      <c r="O656">
        <f>_xlfn.XLOOKUP(G656,products!A:A,products!D:D)</f>
        <v>2.5</v>
      </c>
      <c r="P656">
        <f>_xlfn.XLOOKUP(G656,products!A:A,products!E:E)</f>
        <v>22.884999999999998</v>
      </c>
      <c r="Q656">
        <f t="shared" si="43"/>
        <v>68.655000000000001</v>
      </c>
      <c r="R656" t="str" cm="1">
        <f t="array" ref="R656">_xlfn.IFS(Q656&lt;=50,"low sales",Q656&lt;=100,"medium sales",Q656&gt;100,"High sales")</f>
        <v>medium sales</v>
      </c>
    </row>
    <row r="657" spans="1:18" x14ac:dyDescent="0.35">
      <c r="A657" s="2" t="s">
        <v>4191</v>
      </c>
      <c r="B657" s="3">
        <v>43728</v>
      </c>
      <c r="C657" s="3" t="str">
        <f t="shared" si="40"/>
        <v>Friday</v>
      </c>
      <c r="D657" s="3" t="str">
        <f t="shared" si="41"/>
        <v>September</v>
      </c>
      <c r="E657" s="3" t="str">
        <f t="shared" si="42"/>
        <v>2019</v>
      </c>
      <c r="F657" s="2" t="s">
        <v>4192</v>
      </c>
      <c r="G657" t="s">
        <v>6151</v>
      </c>
      <c r="H657" s="2">
        <v>2</v>
      </c>
      <c r="I657" s="2" t="str">
        <f>_xlfn.XLOOKUP(F657,customers!A:A,customers!B:B)</f>
        <v>Maxim McParland</v>
      </c>
      <c r="J657" s="2" t="str">
        <f>_xlfn.XLOOKUP(F657,customers!A:A,customers!C:C)</f>
        <v>mmcparlandi7@w3.org</v>
      </c>
      <c r="K657" s="2" t="str">
        <f>_xlfn.XLOOKUP(F657,customers!A:A,customers!F:F)</f>
        <v>Cedar Rapids</v>
      </c>
      <c r="L657" s="2" t="str">
        <f>_xlfn.XLOOKUP(F657,customers!A:A,customers!G:G)</f>
        <v>United States</v>
      </c>
      <c r="M657" t="str">
        <f>_xlfn.XLOOKUP(G657,products!A:A,products!B:B)</f>
        <v>Rob</v>
      </c>
      <c r="N657" t="str">
        <f>_xlfn.XLOOKUP(G657,products!A:A,products!C:C)</f>
        <v>M</v>
      </c>
      <c r="O657">
        <f>_xlfn.XLOOKUP(G657,products!A:A,products!D:D)</f>
        <v>2.5</v>
      </c>
      <c r="P657">
        <f>_xlfn.XLOOKUP(G657,products!A:A,products!E:E)</f>
        <v>22.884999999999998</v>
      </c>
      <c r="Q657">
        <f t="shared" si="43"/>
        <v>45.769999999999996</v>
      </c>
      <c r="R657" t="str" cm="1">
        <f t="array" ref="R657">_xlfn.IFS(Q657&lt;=50,"low sales",Q657&lt;=100,"medium sales",Q657&gt;100,"High sales")</f>
        <v>low sales</v>
      </c>
    </row>
    <row r="658" spans="1:18" x14ac:dyDescent="0.35">
      <c r="A658" s="2" t="s">
        <v>4196</v>
      </c>
      <c r="B658" s="3">
        <v>44485</v>
      </c>
      <c r="C658" s="3" t="str">
        <f t="shared" si="40"/>
        <v>Saturday</v>
      </c>
      <c r="D658" s="3" t="str">
        <f t="shared" si="41"/>
        <v>October</v>
      </c>
      <c r="E658" s="3" t="str">
        <f t="shared" si="42"/>
        <v>2021</v>
      </c>
      <c r="F658" s="2" t="s">
        <v>4197</v>
      </c>
      <c r="G658" t="s">
        <v>6143</v>
      </c>
      <c r="H658" s="2">
        <v>4</v>
      </c>
      <c r="I658" s="2" t="str">
        <f>_xlfn.XLOOKUP(F658,customers!A:A,customers!B:B)</f>
        <v>Sylas Jennaroy</v>
      </c>
      <c r="J658" s="2" t="str">
        <f>_xlfn.XLOOKUP(F658,customers!A:A,customers!C:C)</f>
        <v>sjennaroyi8@purevolume.com</v>
      </c>
      <c r="K658" s="2" t="str">
        <f>_xlfn.XLOOKUP(F658,customers!A:A,customers!F:F)</f>
        <v>Aurora</v>
      </c>
      <c r="L658" s="2" t="str">
        <f>_xlfn.XLOOKUP(F658,customers!A:A,customers!G:G)</f>
        <v>United States</v>
      </c>
      <c r="M658" t="str">
        <f>_xlfn.XLOOKUP(G658,products!A:A,products!B:B)</f>
        <v>Lib</v>
      </c>
      <c r="N658" t="str">
        <f>_xlfn.XLOOKUP(G658,products!A:A,products!C:C)</f>
        <v>D</v>
      </c>
      <c r="O658">
        <f>_xlfn.XLOOKUP(G658,products!A:A,products!D:D)</f>
        <v>1</v>
      </c>
      <c r="P658">
        <f>_xlfn.XLOOKUP(G658,products!A:A,products!E:E)</f>
        <v>12.95</v>
      </c>
      <c r="Q658">
        <f t="shared" si="43"/>
        <v>51.8</v>
      </c>
      <c r="R658" t="str" cm="1">
        <f t="array" ref="R658">_xlfn.IFS(Q658&lt;=50,"low sales",Q658&lt;=100,"medium sales",Q658&gt;100,"High sales")</f>
        <v>medium sales</v>
      </c>
    </row>
    <row r="659" spans="1:18" x14ac:dyDescent="0.35">
      <c r="A659" s="2" t="s">
        <v>4201</v>
      </c>
      <c r="B659" s="3">
        <v>43831</v>
      </c>
      <c r="C659" s="3" t="str">
        <f t="shared" si="40"/>
        <v>Wednesday</v>
      </c>
      <c r="D659" s="3" t="str">
        <f t="shared" si="41"/>
        <v>January</v>
      </c>
      <c r="E659" s="3" t="str">
        <f t="shared" si="42"/>
        <v>2020</v>
      </c>
      <c r="F659" s="2" t="s">
        <v>4202</v>
      </c>
      <c r="G659" t="s">
        <v>6157</v>
      </c>
      <c r="H659" s="2">
        <v>2</v>
      </c>
      <c r="I659" s="2" t="str">
        <f>_xlfn.XLOOKUP(F659,customers!A:A,customers!B:B)</f>
        <v>Wren Place</v>
      </c>
      <c r="J659" s="2" t="str">
        <f>_xlfn.XLOOKUP(F659,customers!A:A,customers!C:C)</f>
        <v>wplacei9@wsj.com</v>
      </c>
      <c r="K659" s="2" t="str">
        <f>_xlfn.XLOOKUP(F659,customers!A:A,customers!F:F)</f>
        <v>Sunnyvale</v>
      </c>
      <c r="L659" s="2" t="str">
        <f>_xlfn.XLOOKUP(F659,customers!A:A,customers!G:G)</f>
        <v>United States</v>
      </c>
      <c r="M659" t="str">
        <f>_xlfn.XLOOKUP(G659,products!A:A,products!B:B)</f>
        <v>Ara</v>
      </c>
      <c r="N659" t="str">
        <f>_xlfn.XLOOKUP(G659,products!A:A,products!C:C)</f>
        <v>M</v>
      </c>
      <c r="O659">
        <f>_xlfn.XLOOKUP(G659,products!A:A,products!D:D)</f>
        <v>0.5</v>
      </c>
      <c r="P659">
        <f>_xlfn.XLOOKUP(G659,products!A:A,products!E:E)</f>
        <v>6.75</v>
      </c>
      <c r="Q659">
        <f t="shared" si="43"/>
        <v>13.5</v>
      </c>
      <c r="R659" t="str" cm="1">
        <f t="array" ref="R659">_xlfn.IFS(Q659&lt;=50,"low sales",Q659&lt;=100,"medium sales",Q659&gt;100,"High sales")</f>
        <v>low sales</v>
      </c>
    </row>
    <row r="660" spans="1:18" x14ac:dyDescent="0.35">
      <c r="A660" s="2" t="s">
        <v>4207</v>
      </c>
      <c r="B660" s="3">
        <v>44630</v>
      </c>
      <c r="C660" s="3" t="str">
        <f t="shared" si="40"/>
        <v>Thursday</v>
      </c>
      <c r="D660" s="3" t="str">
        <f t="shared" si="41"/>
        <v>March</v>
      </c>
      <c r="E660" s="3" t="str">
        <f t="shared" si="42"/>
        <v>2022</v>
      </c>
      <c r="F660" s="2" t="s">
        <v>4263</v>
      </c>
      <c r="G660" t="s">
        <v>6139</v>
      </c>
      <c r="H660" s="2">
        <v>3</v>
      </c>
      <c r="I660" s="2" t="str">
        <f>_xlfn.XLOOKUP(F660,customers!A:A,customers!B:B)</f>
        <v>Janella Millett</v>
      </c>
      <c r="J660" s="2" t="str">
        <f>_xlfn.XLOOKUP(F660,customers!A:A,customers!C:C)</f>
        <v>jmillettik@addtoany.com</v>
      </c>
      <c r="K660" s="2" t="str">
        <f>_xlfn.XLOOKUP(F660,customers!A:A,customers!F:F)</f>
        <v>Durham</v>
      </c>
      <c r="L660" s="2" t="str">
        <f>_xlfn.XLOOKUP(F660,customers!A:A,customers!G:G)</f>
        <v>United States</v>
      </c>
      <c r="M660" t="str">
        <f>_xlfn.XLOOKUP(G660,products!A:A,products!B:B)</f>
        <v>Exc</v>
      </c>
      <c r="N660" t="str">
        <f>_xlfn.XLOOKUP(G660,products!A:A,products!C:C)</f>
        <v>M</v>
      </c>
      <c r="O660">
        <f>_xlfn.XLOOKUP(G660,products!A:A,products!D:D)</f>
        <v>0.5</v>
      </c>
      <c r="P660">
        <f>_xlfn.XLOOKUP(G660,products!A:A,products!E:E)</f>
        <v>8.25</v>
      </c>
      <c r="Q660">
        <f t="shared" si="43"/>
        <v>24.75</v>
      </c>
      <c r="R660" t="str" cm="1">
        <f t="array" ref="R660">_xlfn.IFS(Q660&lt;=50,"low sales",Q660&lt;=100,"medium sales",Q660&gt;100,"High sales")</f>
        <v>low sales</v>
      </c>
    </row>
    <row r="661" spans="1:18" x14ac:dyDescent="0.35">
      <c r="A661" s="2" t="s">
        <v>4211</v>
      </c>
      <c r="B661" s="3">
        <v>44693</v>
      </c>
      <c r="C661" s="3" t="str">
        <f t="shared" si="40"/>
        <v>Thursday</v>
      </c>
      <c r="D661" s="3" t="str">
        <f t="shared" si="41"/>
        <v>May</v>
      </c>
      <c r="E661" s="3" t="str">
        <f t="shared" si="42"/>
        <v>2022</v>
      </c>
      <c r="F661" s="2" t="s">
        <v>4212</v>
      </c>
      <c r="G661" t="s">
        <v>6168</v>
      </c>
      <c r="H661" s="2">
        <v>2</v>
      </c>
      <c r="I661" s="2" t="str">
        <f>_xlfn.XLOOKUP(F661,customers!A:A,customers!B:B)</f>
        <v>Dollie Gadsden</v>
      </c>
      <c r="J661" s="2" t="str">
        <f>_xlfn.XLOOKUP(F661,customers!A:A,customers!C:C)</f>
        <v>dgadsdenib@google.com.hk</v>
      </c>
      <c r="K661" s="2" t="str">
        <f>_xlfn.XLOOKUP(F661,customers!A:A,customers!F:F)</f>
        <v>Cluain Meala</v>
      </c>
      <c r="L661" s="2" t="str">
        <f>_xlfn.XLOOKUP(F661,customers!A:A,customers!G:G)</f>
        <v>Ireland</v>
      </c>
      <c r="M661" t="str">
        <f>_xlfn.XLOOKUP(G661,products!A:A,products!B:B)</f>
        <v>Ara</v>
      </c>
      <c r="N661" t="str">
        <f>_xlfn.XLOOKUP(G661,products!A:A,products!C:C)</f>
        <v>D</v>
      </c>
      <c r="O661">
        <f>_xlfn.XLOOKUP(G661,products!A:A,products!D:D)</f>
        <v>2.5</v>
      </c>
      <c r="P661">
        <f>_xlfn.XLOOKUP(G661,products!A:A,products!E:E)</f>
        <v>22.884999999999998</v>
      </c>
      <c r="Q661">
        <f t="shared" si="43"/>
        <v>45.769999999999996</v>
      </c>
      <c r="R661" t="str" cm="1">
        <f t="array" ref="R661">_xlfn.IFS(Q661&lt;=50,"low sales",Q661&lt;=100,"medium sales",Q661&gt;100,"High sales")</f>
        <v>low sales</v>
      </c>
    </row>
    <row r="662" spans="1:18" x14ac:dyDescent="0.35">
      <c r="A662" s="2" t="s">
        <v>4217</v>
      </c>
      <c r="B662" s="3">
        <v>44084</v>
      </c>
      <c r="C662" s="3" t="str">
        <f t="shared" si="40"/>
        <v>Thursday</v>
      </c>
      <c r="D662" s="3" t="str">
        <f t="shared" si="41"/>
        <v>September</v>
      </c>
      <c r="E662" s="3" t="str">
        <f t="shared" si="42"/>
        <v>2020</v>
      </c>
      <c r="F662" s="2" t="s">
        <v>4218</v>
      </c>
      <c r="G662" t="s">
        <v>6176</v>
      </c>
      <c r="H662" s="2">
        <v>6</v>
      </c>
      <c r="I662" s="2" t="str">
        <f>_xlfn.XLOOKUP(F662,customers!A:A,customers!B:B)</f>
        <v>Val Wakelin</v>
      </c>
      <c r="J662" s="2" t="str">
        <f>_xlfn.XLOOKUP(F662,customers!A:A,customers!C:C)</f>
        <v>vwakelinic@unesco.org</v>
      </c>
      <c r="K662" s="2" t="str">
        <f>_xlfn.XLOOKUP(F662,customers!A:A,customers!F:F)</f>
        <v>Lansing</v>
      </c>
      <c r="L662" s="2" t="str">
        <f>_xlfn.XLOOKUP(F662,customers!A:A,customers!G:G)</f>
        <v>United States</v>
      </c>
      <c r="M662" t="str">
        <f>_xlfn.XLOOKUP(G662,products!A:A,products!B:B)</f>
        <v>Exc</v>
      </c>
      <c r="N662" t="str">
        <f>_xlfn.XLOOKUP(G662,products!A:A,products!C:C)</f>
        <v>L</v>
      </c>
      <c r="O662">
        <f>_xlfn.XLOOKUP(G662,products!A:A,products!D:D)</f>
        <v>0.5</v>
      </c>
      <c r="P662">
        <f>_xlfn.XLOOKUP(G662,products!A:A,products!E:E)</f>
        <v>8.91</v>
      </c>
      <c r="Q662">
        <f t="shared" si="43"/>
        <v>53.46</v>
      </c>
      <c r="R662" t="str" cm="1">
        <f t="array" ref="R662">_xlfn.IFS(Q662&lt;=50,"low sales",Q662&lt;=100,"medium sales",Q662&gt;100,"High sales")</f>
        <v>medium sales</v>
      </c>
    </row>
    <row r="663" spans="1:18" x14ac:dyDescent="0.35">
      <c r="A663" s="2" t="s">
        <v>4223</v>
      </c>
      <c r="B663" s="3">
        <v>44485</v>
      </c>
      <c r="C663" s="3" t="str">
        <f t="shared" si="40"/>
        <v>Saturday</v>
      </c>
      <c r="D663" s="3" t="str">
        <f t="shared" si="41"/>
        <v>October</v>
      </c>
      <c r="E663" s="3" t="str">
        <f t="shared" si="42"/>
        <v>2021</v>
      </c>
      <c r="F663" s="2" t="s">
        <v>4224</v>
      </c>
      <c r="G663" t="s">
        <v>6152</v>
      </c>
      <c r="H663" s="2">
        <v>6</v>
      </c>
      <c r="I663" s="2" t="str">
        <f>_xlfn.XLOOKUP(F663,customers!A:A,customers!B:B)</f>
        <v>Annie Campsall</v>
      </c>
      <c r="J663" s="2" t="str">
        <f>_xlfn.XLOOKUP(F663,customers!A:A,customers!C:C)</f>
        <v>acampsallid@zimbio.com</v>
      </c>
      <c r="K663" s="2" t="str">
        <f>_xlfn.XLOOKUP(F663,customers!A:A,customers!F:F)</f>
        <v>Houston</v>
      </c>
      <c r="L663" s="2" t="str">
        <f>_xlfn.XLOOKUP(F663,customers!A:A,customers!G:G)</f>
        <v>United States</v>
      </c>
      <c r="M663" t="str">
        <f>_xlfn.XLOOKUP(G663,products!A:A,products!B:B)</f>
        <v>Ara</v>
      </c>
      <c r="N663" t="str">
        <f>_xlfn.XLOOKUP(G663,products!A:A,products!C:C)</f>
        <v>M</v>
      </c>
      <c r="O663">
        <f>_xlfn.XLOOKUP(G663,products!A:A,products!D:D)</f>
        <v>0.2</v>
      </c>
      <c r="P663">
        <f>_xlfn.XLOOKUP(G663,products!A:A,products!E:E)</f>
        <v>3.375</v>
      </c>
      <c r="Q663">
        <f t="shared" si="43"/>
        <v>20.25</v>
      </c>
      <c r="R663" t="str" cm="1">
        <f t="array" ref="R663">_xlfn.IFS(Q663&lt;=50,"low sales",Q663&lt;=100,"medium sales",Q663&gt;100,"High sales")</f>
        <v>low sales</v>
      </c>
    </row>
    <row r="664" spans="1:18" x14ac:dyDescent="0.35">
      <c r="A664" s="2" t="s">
        <v>4229</v>
      </c>
      <c r="B664" s="3">
        <v>44364</v>
      </c>
      <c r="C664" s="3" t="str">
        <f t="shared" si="40"/>
        <v>Thursday</v>
      </c>
      <c r="D664" s="3" t="str">
        <f t="shared" si="41"/>
        <v>June</v>
      </c>
      <c r="E664" s="3" t="str">
        <f t="shared" si="42"/>
        <v>2021</v>
      </c>
      <c r="F664" s="2" t="s">
        <v>4230</v>
      </c>
      <c r="G664" t="s">
        <v>6165</v>
      </c>
      <c r="H664" s="2">
        <v>5</v>
      </c>
      <c r="I664" s="2" t="str">
        <f>_xlfn.XLOOKUP(F664,customers!A:A,customers!B:B)</f>
        <v>Shermy Moseby</v>
      </c>
      <c r="J664" s="2" t="str">
        <f>_xlfn.XLOOKUP(F664,customers!A:A,customers!C:C)</f>
        <v>smosebyie@stanford.edu</v>
      </c>
      <c r="K664" s="2" t="str">
        <f>_xlfn.XLOOKUP(F664,customers!A:A,customers!F:F)</f>
        <v>Murfreesboro</v>
      </c>
      <c r="L664" s="2" t="str">
        <f>_xlfn.XLOOKUP(F664,customers!A:A,customers!G:G)</f>
        <v>United States</v>
      </c>
      <c r="M664" t="str">
        <f>_xlfn.XLOOKUP(G664,products!A:A,products!B:B)</f>
        <v>Lib</v>
      </c>
      <c r="N664" t="str">
        <f>_xlfn.XLOOKUP(G664,products!A:A,products!C:C)</f>
        <v>D</v>
      </c>
      <c r="O664">
        <f>_xlfn.XLOOKUP(G664,products!A:A,products!D:D)</f>
        <v>2.5</v>
      </c>
      <c r="P664">
        <f>_xlfn.XLOOKUP(G664,products!A:A,products!E:E)</f>
        <v>29.784999999999997</v>
      </c>
      <c r="Q664">
        <f t="shared" si="43"/>
        <v>148.92499999999998</v>
      </c>
      <c r="R664" t="str" cm="1">
        <f t="array" ref="R664">_xlfn.IFS(Q664&lt;=50,"low sales",Q664&lt;=100,"medium sales",Q664&gt;100,"High sales")</f>
        <v>High sales</v>
      </c>
    </row>
    <row r="665" spans="1:18" x14ac:dyDescent="0.35">
      <c r="A665" s="2" t="s">
        <v>4234</v>
      </c>
      <c r="B665" s="3">
        <v>43554</v>
      </c>
      <c r="C665" s="3" t="str">
        <f t="shared" si="40"/>
        <v>Saturday</v>
      </c>
      <c r="D665" s="3" t="str">
        <f t="shared" si="41"/>
        <v>March</v>
      </c>
      <c r="E665" s="3" t="str">
        <f t="shared" si="42"/>
        <v>2019</v>
      </c>
      <c r="F665" s="2" t="s">
        <v>4235</v>
      </c>
      <c r="G665" t="s">
        <v>6155</v>
      </c>
      <c r="H665" s="2">
        <v>6</v>
      </c>
      <c r="I665" s="2" t="str">
        <f>_xlfn.XLOOKUP(F665,customers!A:A,customers!B:B)</f>
        <v>Corrie Wass</v>
      </c>
      <c r="J665" s="2" t="str">
        <f>_xlfn.XLOOKUP(F665,customers!A:A,customers!C:C)</f>
        <v>cwassif@prweb.com</v>
      </c>
      <c r="K665" s="2" t="str">
        <f>_xlfn.XLOOKUP(F665,customers!A:A,customers!F:F)</f>
        <v>Charleston</v>
      </c>
      <c r="L665" s="2" t="str">
        <f>_xlfn.XLOOKUP(F665,customers!A:A,customers!G:G)</f>
        <v>United States</v>
      </c>
      <c r="M665" t="str">
        <f>_xlfn.XLOOKUP(G665,products!A:A,products!B:B)</f>
        <v>Ara</v>
      </c>
      <c r="N665" t="str">
        <f>_xlfn.XLOOKUP(G665,products!A:A,products!C:C)</f>
        <v>M</v>
      </c>
      <c r="O665">
        <f>_xlfn.XLOOKUP(G665,products!A:A,products!D:D)</f>
        <v>1</v>
      </c>
      <c r="P665">
        <f>_xlfn.XLOOKUP(G665,products!A:A,products!E:E)</f>
        <v>11.25</v>
      </c>
      <c r="Q665">
        <f t="shared" si="43"/>
        <v>67.5</v>
      </c>
      <c r="R665" t="str" cm="1">
        <f t="array" ref="R665">_xlfn.IFS(Q665&lt;=50,"low sales",Q665&lt;=100,"medium sales",Q665&gt;100,"High sales")</f>
        <v>medium sales</v>
      </c>
    </row>
    <row r="666" spans="1:18" x14ac:dyDescent="0.35">
      <c r="A666" s="2" t="s">
        <v>4239</v>
      </c>
      <c r="B666" s="3">
        <v>44549</v>
      </c>
      <c r="C666" s="3" t="str">
        <f t="shared" si="40"/>
        <v>Sunday</v>
      </c>
      <c r="D666" s="3" t="str">
        <f t="shared" si="41"/>
        <v>December</v>
      </c>
      <c r="E666" s="3" t="str">
        <f t="shared" si="42"/>
        <v>2021</v>
      </c>
      <c r="F666" s="2" t="s">
        <v>4240</v>
      </c>
      <c r="G666" t="s">
        <v>6183</v>
      </c>
      <c r="H666" s="2">
        <v>6</v>
      </c>
      <c r="I666" s="2" t="str">
        <f>_xlfn.XLOOKUP(F666,customers!A:A,customers!B:B)</f>
        <v>Ira Sjostrom</v>
      </c>
      <c r="J666" s="2" t="str">
        <f>_xlfn.XLOOKUP(F666,customers!A:A,customers!C:C)</f>
        <v>isjostromig@pbs.org</v>
      </c>
      <c r="K666" s="2" t="str">
        <f>_xlfn.XLOOKUP(F666,customers!A:A,customers!F:F)</f>
        <v>Erie</v>
      </c>
      <c r="L666" s="2" t="str">
        <f>_xlfn.XLOOKUP(F666,customers!A:A,customers!G:G)</f>
        <v>United States</v>
      </c>
      <c r="M666" t="str">
        <f>_xlfn.XLOOKUP(G666,products!A:A,products!B:B)</f>
        <v>Exc</v>
      </c>
      <c r="N666" t="str">
        <f>_xlfn.XLOOKUP(G666,products!A:A,products!C:C)</f>
        <v>D</v>
      </c>
      <c r="O666">
        <f>_xlfn.XLOOKUP(G666,products!A:A,products!D:D)</f>
        <v>1</v>
      </c>
      <c r="P666">
        <f>_xlfn.XLOOKUP(G666,products!A:A,products!E:E)</f>
        <v>12.15</v>
      </c>
      <c r="Q666">
        <f t="shared" si="43"/>
        <v>72.900000000000006</v>
      </c>
      <c r="R666" t="str" cm="1">
        <f t="array" ref="R666">_xlfn.IFS(Q666&lt;=50,"low sales",Q666&lt;=100,"medium sales",Q666&gt;100,"High sales")</f>
        <v>medium sales</v>
      </c>
    </row>
    <row r="667" spans="1:18" x14ac:dyDescent="0.35">
      <c r="A667" s="2" t="s">
        <v>4239</v>
      </c>
      <c r="B667" s="3">
        <v>44549</v>
      </c>
      <c r="C667" s="3" t="str">
        <f t="shared" si="40"/>
        <v>Sunday</v>
      </c>
      <c r="D667" s="3" t="str">
        <f t="shared" si="41"/>
        <v>December</v>
      </c>
      <c r="E667" s="3" t="str">
        <f t="shared" si="42"/>
        <v>2021</v>
      </c>
      <c r="F667" s="2" t="s">
        <v>4240</v>
      </c>
      <c r="G667" t="s">
        <v>6150</v>
      </c>
      <c r="H667" s="2">
        <v>2</v>
      </c>
      <c r="I667" s="2" t="str">
        <f>_xlfn.XLOOKUP(F667,customers!A:A,customers!B:B)</f>
        <v>Ira Sjostrom</v>
      </c>
      <c r="J667" s="2" t="str">
        <f>_xlfn.XLOOKUP(F667,customers!A:A,customers!C:C)</f>
        <v>isjostromig@pbs.org</v>
      </c>
      <c r="K667" s="2" t="str">
        <f>_xlfn.XLOOKUP(F667,customers!A:A,customers!F:F)</f>
        <v>Erie</v>
      </c>
      <c r="L667" s="2" t="str">
        <f>_xlfn.XLOOKUP(F667,customers!A:A,customers!G:G)</f>
        <v>United States</v>
      </c>
      <c r="M667" t="str">
        <f>_xlfn.XLOOKUP(G667,products!A:A,products!B:B)</f>
        <v>Lib</v>
      </c>
      <c r="N667" t="str">
        <f>_xlfn.XLOOKUP(G667,products!A:A,products!C:C)</f>
        <v>D</v>
      </c>
      <c r="O667">
        <f>_xlfn.XLOOKUP(G667,products!A:A,products!D:D)</f>
        <v>0.2</v>
      </c>
      <c r="P667">
        <f>_xlfn.XLOOKUP(G667,products!A:A,products!E:E)</f>
        <v>3.8849999999999998</v>
      </c>
      <c r="Q667">
        <f t="shared" si="43"/>
        <v>7.77</v>
      </c>
      <c r="R667" t="str" cm="1">
        <f t="array" ref="R667">_xlfn.IFS(Q667&lt;=50,"low sales",Q667&lt;=100,"medium sales",Q667&gt;100,"High sales")</f>
        <v>low sales</v>
      </c>
    </row>
    <row r="668" spans="1:18" x14ac:dyDescent="0.35">
      <c r="A668" s="2" t="s">
        <v>4250</v>
      </c>
      <c r="B668" s="3">
        <v>43987</v>
      </c>
      <c r="C668" s="3" t="str">
        <f t="shared" si="40"/>
        <v>Friday</v>
      </c>
      <c r="D668" s="3" t="str">
        <f t="shared" si="41"/>
        <v>June</v>
      </c>
      <c r="E668" s="3" t="str">
        <f t="shared" si="42"/>
        <v>2020</v>
      </c>
      <c r="F668" s="2" t="s">
        <v>4251</v>
      </c>
      <c r="G668" t="s">
        <v>6168</v>
      </c>
      <c r="H668" s="2">
        <v>4</v>
      </c>
      <c r="I668" s="2" t="str">
        <f>_xlfn.XLOOKUP(F668,customers!A:A,customers!B:B)</f>
        <v>Jermaine Branchett</v>
      </c>
      <c r="J668" s="2" t="str">
        <f>_xlfn.XLOOKUP(F668,customers!A:A,customers!C:C)</f>
        <v>jbranchettii@bravesites.com</v>
      </c>
      <c r="K668" s="2" t="str">
        <f>_xlfn.XLOOKUP(F668,customers!A:A,customers!F:F)</f>
        <v>Lubbock</v>
      </c>
      <c r="L668" s="2" t="str">
        <f>_xlfn.XLOOKUP(F668,customers!A:A,customers!G:G)</f>
        <v>United States</v>
      </c>
      <c r="M668" t="str">
        <f>_xlfn.XLOOKUP(G668,products!A:A,products!B:B)</f>
        <v>Ara</v>
      </c>
      <c r="N668" t="str">
        <f>_xlfn.XLOOKUP(G668,products!A:A,products!C:C)</f>
        <v>D</v>
      </c>
      <c r="O668">
        <f>_xlfn.XLOOKUP(G668,products!A:A,products!D:D)</f>
        <v>2.5</v>
      </c>
      <c r="P668">
        <f>_xlfn.XLOOKUP(G668,products!A:A,products!E:E)</f>
        <v>22.884999999999998</v>
      </c>
      <c r="Q668">
        <f t="shared" si="43"/>
        <v>91.539999999999992</v>
      </c>
      <c r="R668" t="str" cm="1">
        <f t="array" ref="R668">_xlfn.IFS(Q668&lt;=50,"low sales",Q668&lt;=100,"medium sales",Q668&gt;100,"High sales")</f>
        <v>medium sales</v>
      </c>
    </row>
    <row r="669" spans="1:18" x14ac:dyDescent="0.35">
      <c r="A669" s="2" t="s">
        <v>4256</v>
      </c>
      <c r="B669" s="3">
        <v>44451</v>
      </c>
      <c r="C669" s="3" t="str">
        <f t="shared" si="40"/>
        <v>Sunday</v>
      </c>
      <c r="D669" s="3" t="str">
        <f t="shared" si="41"/>
        <v>September</v>
      </c>
      <c r="E669" s="3" t="str">
        <f t="shared" si="42"/>
        <v>2021</v>
      </c>
      <c r="F669" s="2" t="s">
        <v>4257</v>
      </c>
      <c r="G669" t="s">
        <v>6147</v>
      </c>
      <c r="H669" s="2">
        <v>6</v>
      </c>
      <c r="I669" s="2" t="str">
        <f>_xlfn.XLOOKUP(F669,customers!A:A,customers!B:B)</f>
        <v>Nissie Rudland</v>
      </c>
      <c r="J669" s="2" t="str">
        <f>_xlfn.XLOOKUP(F669,customers!A:A,customers!C:C)</f>
        <v>nrudlandij@blogs.com</v>
      </c>
      <c r="K669" s="2" t="str">
        <f>_xlfn.XLOOKUP(F669,customers!A:A,customers!F:F)</f>
        <v>Gorey</v>
      </c>
      <c r="L669" s="2" t="str">
        <f>_xlfn.XLOOKUP(F669,customers!A:A,customers!G:G)</f>
        <v>Ireland</v>
      </c>
      <c r="M669" t="str">
        <f>_xlfn.XLOOKUP(G669,products!A:A,products!B:B)</f>
        <v>Ara</v>
      </c>
      <c r="N669" t="str">
        <f>_xlfn.XLOOKUP(G669,products!A:A,products!C:C)</f>
        <v>D</v>
      </c>
      <c r="O669">
        <f>_xlfn.XLOOKUP(G669,products!A:A,products!D:D)</f>
        <v>1</v>
      </c>
      <c r="P669">
        <f>_xlfn.XLOOKUP(G669,products!A:A,products!E:E)</f>
        <v>9.9499999999999993</v>
      </c>
      <c r="Q669">
        <f t="shared" si="43"/>
        <v>59.699999999999996</v>
      </c>
      <c r="R669" t="str" cm="1">
        <f t="array" ref="R669">_xlfn.IFS(Q669&lt;=50,"low sales",Q669&lt;=100,"medium sales",Q669&gt;100,"High sales")</f>
        <v>medium sales</v>
      </c>
    </row>
    <row r="670" spans="1:18" x14ac:dyDescent="0.35">
      <c r="A670" s="2" t="s">
        <v>4262</v>
      </c>
      <c r="B670" s="3">
        <v>44636</v>
      </c>
      <c r="C670" s="3" t="str">
        <f t="shared" si="40"/>
        <v>Wednesday</v>
      </c>
      <c r="D670" s="3" t="str">
        <f t="shared" si="41"/>
        <v>March</v>
      </c>
      <c r="E670" s="3" t="str">
        <f t="shared" si="42"/>
        <v>2022</v>
      </c>
      <c r="F670" s="2" t="s">
        <v>4263</v>
      </c>
      <c r="G670" t="s">
        <v>6142</v>
      </c>
      <c r="H670" s="2">
        <v>5</v>
      </c>
      <c r="I670" s="2" t="str">
        <f>_xlfn.XLOOKUP(F670,customers!A:A,customers!B:B)</f>
        <v>Janella Millett</v>
      </c>
      <c r="J670" s="2" t="str">
        <f>_xlfn.XLOOKUP(F670,customers!A:A,customers!C:C)</f>
        <v>jmillettik@addtoany.com</v>
      </c>
      <c r="K670" s="2" t="str">
        <f>_xlfn.XLOOKUP(F670,customers!A:A,customers!F:F)</f>
        <v>Durham</v>
      </c>
      <c r="L670" s="2" t="str">
        <f>_xlfn.XLOOKUP(F670,customers!A:A,customers!G:G)</f>
        <v>United States</v>
      </c>
      <c r="M670" t="str">
        <f>_xlfn.XLOOKUP(G670,products!A:A,products!B:B)</f>
        <v>Rob</v>
      </c>
      <c r="N670" t="str">
        <f>_xlfn.XLOOKUP(G670,products!A:A,products!C:C)</f>
        <v>L</v>
      </c>
      <c r="O670">
        <f>_xlfn.XLOOKUP(G670,products!A:A,products!D:D)</f>
        <v>2.5</v>
      </c>
      <c r="P670">
        <f>_xlfn.XLOOKUP(G670,products!A:A,products!E:E)</f>
        <v>27.484999999999996</v>
      </c>
      <c r="Q670">
        <f t="shared" si="43"/>
        <v>137.42499999999998</v>
      </c>
      <c r="R670" t="str" cm="1">
        <f t="array" ref="R670">_xlfn.IFS(Q670&lt;=50,"low sales",Q670&lt;=100,"medium sales",Q670&gt;100,"High sales")</f>
        <v>High sales</v>
      </c>
    </row>
    <row r="671" spans="1:18" x14ac:dyDescent="0.35">
      <c r="A671" s="2" t="s">
        <v>4268</v>
      </c>
      <c r="B671" s="3">
        <v>44551</v>
      </c>
      <c r="C671" s="3" t="str">
        <f t="shared" si="40"/>
        <v>Tuesday</v>
      </c>
      <c r="D671" s="3" t="str">
        <f t="shared" si="41"/>
        <v>December</v>
      </c>
      <c r="E671" s="3" t="str">
        <f t="shared" si="42"/>
        <v>2021</v>
      </c>
      <c r="F671" s="2" t="s">
        <v>4269</v>
      </c>
      <c r="G671" t="s">
        <v>6181</v>
      </c>
      <c r="H671" s="2">
        <v>2</v>
      </c>
      <c r="I671" s="2" t="str">
        <f>_xlfn.XLOOKUP(F671,customers!A:A,customers!B:B)</f>
        <v>Ferdie Tourry</v>
      </c>
      <c r="J671" s="2" t="str">
        <f>_xlfn.XLOOKUP(F671,customers!A:A,customers!C:C)</f>
        <v>ftourryil@google.de</v>
      </c>
      <c r="K671" s="2" t="str">
        <f>_xlfn.XLOOKUP(F671,customers!A:A,customers!F:F)</f>
        <v>Florence</v>
      </c>
      <c r="L671" s="2" t="str">
        <f>_xlfn.XLOOKUP(F671,customers!A:A,customers!G:G)</f>
        <v>United States</v>
      </c>
      <c r="M671" t="str">
        <f>_xlfn.XLOOKUP(G671,products!A:A,products!B:B)</f>
        <v>Lib</v>
      </c>
      <c r="N671" t="str">
        <f>_xlfn.XLOOKUP(G671,products!A:A,products!C:C)</f>
        <v>M</v>
      </c>
      <c r="O671">
        <f>_xlfn.XLOOKUP(G671,products!A:A,products!D:D)</f>
        <v>2.5</v>
      </c>
      <c r="P671">
        <f>_xlfn.XLOOKUP(G671,products!A:A,products!E:E)</f>
        <v>33.464999999999996</v>
      </c>
      <c r="Q671">
        <f t="shared" si="43"/>
        <v>66.929999999999993</v>
      </c>
      <c r="R671" t="str" cm="1">
        <f t="array" ref="R671">_xlfn.IFS(Q671&lt;=50,"low sales",Q671&lt;=100,"medium sales",Q671&gt;100,"High sales")</f>
        <v>medium sales</v>
      </c>
    </row>
    <row r="672" spans="1:18" x14ac:dyDescent="0.35">
      <c r="A672" s="2" t="s">
        <v>4274</v>
      </c>
      <c r="B672" s="3">
        <v>43606</v>
      </c>
      <c r="C672" s="3" t="str">
        <f t="shared" si="40"/>
        <v>Tuesday</v>
      </c>
      <c r="D672" s="3" t="str">
        <f t="shared" si="41"/>
        <v>May</v>
      </c>
      <c r="E672" s="3" t="str">
        <f t="shared" si="42"/>
        <v>2019</v>
      </c>
      <c r="F672" s="2" t="s">
        <v>4275</v>
      </c>
      <c r="G672" t="s">
        <v>6159</v>
      </c>
      <c r="H672" s="2">
        <v>3</v>
      </c>
      <c r="I672" s="2" t="str">
        <f>_xlfn.XLOOKUP(F672,customers!A:A,customers!B:B)</f>
        <v>Cecil Weatherall</v>
      </c>
      <c r="J672" s="2" t="str">
        <f>_xlfn.XLOOKUP(F672,customers!A:A,customers!C:C)</f>
        <v>cweatherallim@toplist.cz</v>
      </c>
      <c r="K672" s="2" t="str">
        <f>_xlfn.XLOOKUP(F672,customers!A:A,customers!F:F)</f>
        <v>Syracuse</v>
      </c>
      <c r="L672" s="2" t="str">
        <f>_xlfn.XLOOKUP(F672,customers!A:A,customers!G:G)</f>
        <v>United States</v>
      </c>
      <c r="M672" t="str">
        <f>_xlfn.XLOOKUP(G672,products!A:A,products!B:B)</f>
        <v>Lib</v>
      </c>
      <c r="N672" t="str">
        <f>_xlfn.XLOOKUP(G672,products!A:A,products!C:C)</f>
        <v>M</v>
      </c>
      <c r="O672">
        <f>_xlfn.XLOOKUP(G672,products!A:A,products!D:D)</f>
        <v>0.2</v>
      </c>
      <c r="P672">
        <f>_xlfn.XLOOKUP(G672,products!A:A,products!E:E)</f>
        <v>4.3650000000000002</v>
      </c>
      <c r="Q672">
        <f t="shared" si="43"/>
        <v>13.095000000000001</v>
      </c>
      <c r="R672" t="str" cm="1">
        <f t="array" ref="R672">_xlfn.IFS(Q672&lt;=50,"low sales",Q672&lt;=100,"medium sales",Q672&gt;100,"High sales")</f>
        <v>low sales</v>
      </c>
    </row>
    <row r="673" spans="1:18" x14ac:dyDescent="0.35">
      <c r="A673" s="2" t="s">
        <v>4280</v>
      </c>
      <c r="B673" s="3">
        <v>44495</v>
      </c>
      <c r="C673" s="3" t="str">
        <f t="shared" si="40"/>
        <v>Tuesday</v>
      </c>
      <c r="D673" s="3" t="str">
        <f t="shared" si="41"/>
        <v>October</v>
      </c>
      <c r="E673" s="3" t="str">
        <f t="shared" si="42"/>
        <v>2021</v>
      </c>
      <c r="F673" s="2" t="s">
        <v>4281</v>
      </c>
      <c r="G673" t="s">
        <v>6179</v>
      </c>
      <c r="H673" s="2">
        <v>5</v>
      </c>
      <c r="I673" s="2" t="str">
        <f>_xlfn.XLOOKUP(F673,customers!A:A,customers!B:B)</f>
        <v>Gale Heindrick</v>
      </c>
      <c r="J673" s="2" t="str">
        <f>_xlfn.XLOOKUP(F673,customers!A:A,customers!C:C)</f>
        <v>gheindrickin@usda.gov</v>
      </c>
      <c r="K673" s="2" t="str">
        <f>_xlfn.XLOOKUP(F673,customers!A:A,customers!F:F)</f>
        <v>Lawrenceville</v>
      </c>
      <c r="L673" s="2" t="str">
        <f>_xlfn.XLOOKUP(F673,customers!A:A,customers!G:G)</f>
        <v>United States</v>
      </c>
      <c r="M673" t="str">
        <f>_xlfn.XLOOKUP(G673,products!A:A,products!B:B)</f>
        <v>Rob</v>
      </c>
      <c r="N673" t="str">
        <f>_xlfn.XLOOKUP(G673,products!A:A,products!C:C)</f>
        <v>L</v>
      </c>
      <c r="O673">
        <f>_xlfn.XLOOKUP(G673,products!A:A,products!D:D)</f>
        <v>1</v>
      </c>
      <c r="P673">
        <f>_xlfn.XLOOKUP(G673,products!A:A,products!E:E)</f>
        <v>11.95</v>
      </c>
      <c r="Q673">
        <f t="shared" si="43"/>
        <v>59.75</v>
      </c>
      <c r="R673" t="str" cm="1">
        <f t="array" ref="R673">_xlfn.IFS(Q673&lt;=50,"low sales",Q673&lt;=100,"medium sales",Q673&gt;100,"High sales")</f>
        <v>medium sales</v>
      </c>
    </row>
    <row r="674" spans="1:18" x14ac:dyDescent="0.35">
      <c r="A674" s="2" t="s">
        <v>4286</v>
      </c>
      <c r="B674" s="3">
        <v>43916</v>
      </c>
      <c r="C674" s="3" t="str">
        <f t="shared" si="40"/>
        <v>Thursday</v>
      </c>
      <c r="D674" s="3" t="str">
        <f t="shared" si="41"/>
        <v>March</v>
      </c>
      <c r="E674" s="3" t="str">
        <f t="shared" si="42"/>
        <v>2020</v>
      </c>
      <c r="F674" s="2" t="s">
        <v>4287</v>
      </c>
      <c r="G674" t="s">
        <v>6160</v>
      </c>
      <c r="H674" s="2">
        <v>5</v>
      </c>
      <c r="I674" s="2" t="str">
        <f>_xlfn.XLOOKUP(F674,customers!A:A,customers!B:B)</f>
        <v>Layne Imason</v>
      </c>
      <c r="J674" s="2" t="str">
        <f>_xlfn.XLOOKUP(F674,customers!A:A,customers!C:C)</f>
        <v>limasonio@discuz.net</v>
      </c>
      <c r="K674" s="2" t="str">
        <f>_xlfn.XLOOKUP(F674,customers!A:A,customers!F:F)</f>
        <v>Houston</v>
      </c>
      <c r="L674" s="2" t="str">
        <f>_xlfn.XLOOKUP(F674,customers!A:A,customers!G:G)</f>
        <v>United States</v>
      </c>
      <c r="M674" t="str">
        <f>_xlfn.XLOOKUP(G674,products!A:A,products!B:B)</f>
        <v>Lib</v>
      </c>
      <c r="N674" t="str">
        <f>_xlfn.XLOOKUP(G674,products!A:A,products!C:C)</f>
        <v>M</v>
      </c>
      <c r="O674">
        <f>_xlfn.XLOOKUP(G674,products!A:A,products!D:D)</f>
        <v>0.5</v>
      </c>
      <c r="P674">
        <f>_xlfn.XLOOKUP(G674,products!A:A,products!E:E)</f>
        <v>8.73</v>
      </c>
      <c r="Q674">
        <f t="shared" si="43"/>
        <v>43.650000000000006</v>
      </c>
      <c r="R674" t="str" cm="1">
        <f t="array" ref="R674">_xlfn.IFS(Q674&lt;=50,"low sales",Q674&lt;=100,"medium sales",Q674&gt;100,"High sales")</f>
        <v>low sales</v>
      </c>
    </row>
    <row r="675" spans="1:18" x14ac:dyDescent="0.35">
      <c r="A675" s="2" t="s">
        <v>4291</v>
      </c>
      <c r="B675" s="3">
        <v>44118</v>
      </c>
      <c r="C675" s="3" t="str">
        <f t="shared" si="40"/>
        <v>Wednesday</v>
      </c>
      <c r="D675" s="3" t="str">
        <f t="shared" si="41"/>
        <v>October</v>
      </c>
      <c r="E675" s="3" t="str">
        <f t="shared" si="42"/>
        <v>2020</v>
      </c>
      <c r="F675" s="2" t="s">
        <v>4292</v>
      </c>
      <c r="G675" t="s">
        <v>6141</v>
      </c>
      <c r="H675" s="2">
        <v>6</v>
      </c>
      <c r="I675" s="2" t="str">
        <f>_xlfn.XLOOKUP(F675,customers!A:A,customers!B:B)</f>
        <v>Hazel Saill</v>
      </c>
      <c r="J675" s="2" t="str">
        <f>_xlfn.XLOOKUP(F675,customers!A:A,customers!C:C)</f>
        <v>hsaillip@odnoklassniki.ru</v>
      </c>
      <c r="K675" s="2" t="str">
        <f>_xlfn.XLOOKUP(F675,customers!A:A,customers!F:F)</f>
        <v>Kansas City</v>
      </c>
      <c r="L675" s="2" t="str">
        <f>_xlfn.XLOOKUP(F675,customers!A:A,customers!G:G)</f>
        <v>United States</v>
      </c>
      <c r="M675" t="str">
        <f>_xlfn.XLOOKUP(G675,products!A:A,products!B:B)</f>
        <v>Exc</v>
      </c>
      <c r="N675" t="str">
        <f>_xlfn.XLOOKUP(G675,products!A:A,products!C:C)</f>
        <v>M</v>
      </c>
      <c r="O675">
        <f>_xlfn.XLOOKUP(G675,products!A:A,products!D:D)</f>
        <v>1</v>
      </c>
      <c r="P675">
        <f>_xlfn.XLOOKUP(G675,products!A:A,products!E:E)</f>
        <v>13.75</v>
      </c>
      <c r="Q675">
        <f t="shared" si="43"/>
        <v>82.5</v>
      </c>
      <c r="R675" t="str" cm="1">
        <f t="array" ref="R675">_xlfn.IFS(Q675&lt;=50,"low sales",Q675&lt;=100,"medium sales",Q675&gt;100,"High sales")</f>
        <v>medium sales</v>
      </c>
    </row>
    <row r="676" spans="1:18" x14ac:dyDescent="0.35">
      <c r="A676" s="2" t="s">
        <v>4297</v>
      </c>
      <c r="B676" s="3">
        <v>44543</v>
      </c>
      <c r="C676" s="3" t="str">
        <f t="shared" si="40"/>
        <v>Monday</v>
      </c>
      <c r="D676" s="3" t="str">
        <f t="shared" si="41"/>
        <v>December</v>
      </c>
      <c r="E676" s="3" t="str">
        <f t="shared" si="42"/>
        <v>2021</v>
      </c>
      <c r="F676" s="2" t="s">
        <v>4298</v>
      </c>
      <c r="G676" t="s">
        <v>6182</v>
      </c>
      <c r="H676" s="2">
        <v>6</v>
      </c>
      <c r="I676" s="2" t="str">
        <f>_xlfn.XLOOKUP(F676,customers!A:A,customers!B:B)</f>
        <v>Hermann Larvor</v>
      </c>
      <c r="J676" s="2" t="str">
        <f>_xlfn.XLOOKUP(F676,customers!A:A,customers!C:C)</f>
        <v>hlarvoriq@last.fm</v>
      </c>
      <c r="K676" s="2" t="str">
        <f>_xlfn.XLOOKUP(F676,customers!A:A,customers!F:F)</f>
        <v>Bradenton</v>
      </c>
      <c r="L676" s="2" t="str">
        <f>_xlfn.XLOOKUP(F676,customers!A:A,customers!G:G)</f>
        <v>United States</v>
      </c>
      <c r="M676" t="str">
        <f>_xlfn.XLOOKUP(G676,products!A:A,products!B:B)</f>
        <v>Ara</v>
      </c>
      <c r="N676" t="str">
        <f>_xlfn.XLOOKUP(G676,products!A:A,products!C:C)</f>
        <v>L</v>
      </c>
      <c r="O676">
        <f>_xlfn.XLOOKUP(G676,products!A:A,products!D:D)</f>
        <v>2.5</v>
      </c>
      <c r="P676">
        <f>_xlfn.XLOOKUP(G676,products!A:A,products!E:E)</f>
        <v>29.784999999999997</v>
      </c>
      <c r="Q676">
        <f t="shared" si="43"/>
        <v>178.70999999999998</v>
      </c>
      <c r="R676" t="str" cm="1">
        <f t="array" ref="R676">_xlfn.IFS(Q676&lt;=50,"low sales",Q676&lt;=100,"medium sales",Q676&gt;100,"High sales")</f>
        <v>High sales</v>
      </c>
    </row>
    <row r="677" spans="1:18" x14ac:dyDescent="0.35">
      <c r="A677" s="2" t="s">
        <v>4303</v>
      </c>
      <c r="B677" s="3">
        <v>44263</v>
      </c>
      <c r="C677" s="3" t="str">
        <f t="shared" si="40"/>
        <v>Monday</v>
      </c>
      <c r="D677" s="3" t="str">
        <f t="shared" si="41"/>
        <v>March</v>
      </c>
      <c r="E677" s="3" t="str">
        <f t="shared" si="42"/>
        <v>2021</v>
      </c>
      <c r="F677" s="2" t="s">
        <v>4304</v>
      </c>
      <c r="G677" t="s">
        <v>6165</v>
      </c>
      <c r="H677" s="2">
        <v>4</v>
      </c>
      <c r="I677" s="2" t="str">
        <f>_xlfn.XLOOKUP(F677,customers!A:A,customers!B:B)</f>
        <v>Terri Lyford</v>
      </c>
      <c r="J677" s="2">
        <f>_xlfn.XLOOKUP(F677,customers!A:A,customers!C:C)</f>
        <v>0</v>
      </c>
      <c r="K677" s="2" t="str">
        <f>_xlfn.XLOOKUP(F677,customers!A:A,customers!F:F)</f>
        <v>Allentown</v>
      </c>
      <c r="L677" s="2" t="str">
        <f>_xlfn.XLOOKUP(F677,customers!A:A,customers!G:G)</f>
        <v>United States</v>
      </c>
      <c r="M677" t="str">
        <f>_xlfn.XLOOKUP(G677,products!A:A,products!B:B)</f>
        <v>Lib</v>
      </c>
      <c r="N677" t="str">
        <f>_xlfn.XLOOKUP(G677,products!A:A,products!C:C)</f>
        <v>D</v>
      </c>
      <c r="O677">
        <f>_xlfn.XLOOKUP(G677,products!A:A,products!D:D)</f>
        <v>2.5</v>
      </c>
      <c r="P677">
        <f>_xlfn.XLOOKUP(G677,products!A:A,products!E:E)</f>
        <v>29.784999999999997</v>
      </c>
      <c r="Q677">
        <f t="shared" si="43"/>
        <v>119.13999999999999</v>
      </c>
      <c r="R677" t="str" cm="1">
        <f t="array" ref="R677">_xlfn.IFS(Q677&lt;=50,"low sales",Q677&lt;=100,"medium sales",Q677&gt;100,"High sales")</f>
        <v>High sales</v>
      </c>
    </row>
    <row r="678" spans="1:18" x14ac:dyDescent="0.35">
      <c r="A678" s="2" t="s">
        <v>4308</v>
      </c>
      <c r="B678" s="3">
        <v>44217</v>
      </c>
      <c r="C678" s="3" t="str">
        <f t="shared" si="40"/>
        <v>Thursday</v>
      </c>
      <c r="D678" s="3" t="str">
        <f t="shared" si="41"/>
        <v>January</v>
      </c>
      <c r="E678" s="3" t="str">
        <f t="shared" si="42"/>
        <v>2021</v>
      </c>
      <c r="F678" s="2" t="s">
        <v>4309</v>
      </c>
      <c r="G678" t="s">
        <v>6161</v>
      </c>
      <c r="H678" s="2">
        <v>5</v>
      </c>
      <c r="I678" s="2" t="str">
        <f>_xlfn.XLOOKUP(F678,customers!A:A,customers!B:B)</f>
        <v>Gabey Cogan</v>
      </c>
      <c r="J678" s="2">
        <f>_xlfn.XLOOKUP(F678,customers!A:A,customers!C:C)</f>
        <v>0</v>
      </c>
      <c r="K678" s="2" t="str">
        <f>_xlfn.XLOOKUP(F678,customers!A:A,customers!F:F)</f>
        <v>Hampton</v>
      </c>
      <c r="L678" s="2" t="str">
        <f>_xlfn.XLOOKUP(F678,customers!A:A,customers!G:G)</f>
        <v>United States</v>
      </c>
      <c r="M678" t="str">
        <f>_xlfn.XLOOKUP(G678,products!A:A,products!B:B)</f>
        <v>Lib</v>
      </c>
      <c r="N678" t="str">
        <f>_xlfn.XLOOKUP(G678,products!A:A,products!C:C)</f>
        <v>L</v>
      </c>
      <c r="O678">
        <f>_xlfn.XLOOKUP(G678,products!A:A,products!D:D)</f>
        <v>0.5</v>
      </c>
      <c r="P678">
        <f>_xlfn.XLOOKUP(G678,products!A:A,products!E:E)</f>
        <v>9.51</v>
      </c>
      <c r="Q678">
        <f t="shared" si="43"/>
        <v>47.55</v>
      </c>
      <c r="R678" t="str" cm="1">
        <f t="array" ref="R678">_xlfn.IFS(Q678&lt;=50,"low sales",Q678&lt;=100,"medium sales",Q678&gt;100,"High sales")</f>
        <v>low sales</v>
      </c>
    </row>
    <row r="679" spans="1:18" x14ac:dyDescent="0.35">
      <c r="A679" s="2" t="s">
        <v>4313</v>
      </c>
      <c r="B679" s="3">
        <v>44206</v>
      </c>
      <c r="C679" s="3" t="str">
        <f t="shared" si="40"/>
        <v>Sunday</v>
      </c>
      <c r="D679" s="3" t="str">
        <f t="shared" si="41"/>
        <v>January</v>
      </c>
      <c r="E679" s="3" t="str">
        <f t="shared" si="42"/>
        <v>2021</v>
      </c>
      <c r="F679" s="2" t="s">
        <v>4314</v>
      </c>
      <c r="G679" t="s">
        <v>6160</v>
      </c>
      <c r="H679" s="2">
        <v>5</v>
      </c>
      <c r="I679" s="2" t="str">
        <f>_xlfn.XLOOKUP(F679,customers!A:A,customers!B:B)</f>
        <v>Charin Penwarden</v>
      </c>
      <c r="J679" s="2" t="str">
        <f>_xlfn.XLOOKUP(F679,customers!A:A,customers!C:C)</f>
        <v>cpenwardenit@mlb.com</v>
      </c>
      <c r="K679" s="2" t="str">
        <f>_xlfn.XLOOKUP(F679,customers!A:A,customers!F:F)</f>
        <v>Whitegate</v>
      </c>
      <c r="L679" s="2" t="str">
        <f>_xlfn.XLOOKUP(F679,customers!A:A,customers!G:G)</f>
        <v>Ireland</v>
      </c>
      <c r="M679" t="str">
        <f>_xlfn.XLOOKUP(G679,products!A:A,products!B:B)</f>
        <v>Lib</v>
      </c>
      <c r="N679" t="str">
        <f>_xlfn.XLOOKUP(G679,products!A:A,products!C:C)</f>
        <v>M</v>
      </c>
      <c r="O679">
        <f>_xlfn.XLOOKUP(G679,products!A:A,products!D:D)</f>
        <v>0.5</v>
      </c>
      <c r="P679">
        <f>_xlfn.XLOOKUP(G679,products!A:A,products!E:E)</f>
        <v>8.73</v>
      </c>
      <c r="Q679">
        <f t="shared" si="43"/>
        <v>43.650000000000006</v>
      </c>
      <c r="R679" t="str" cm="1">
        <f t="array" ref="R679">_xlfn.IFS(Q679&lt;=50,"low sales",Q679&lt;=100,"medium sales",Q679&gt;100,"High sales")</f>
        <v>low sales</v>
      </c>
    </row>
    <row r="680" spans="1:18" x14ac:dyDescent="0.35">
      <c r="A680" s="2" t="s">
        <v>4319</v>
      </c>
      <c r="B680" s="3">
        <v>44281</v>
      </c>
      <c r="C680" s="3" t="str">
        <f t="shared" si="40"/>
        <v>Friday</v>
      </c>
      <c r="D680" s="3" t="str">
        <f t="shared" si="41"/>
        <v>March</v>
      </c>
      <c r="E680" s="3" t="str">
        <f t="shared" si="42"/>
        <v>2021</v>
      </c>
      <c r="F680" s="2" t="s">
        <v>4320</v>
      </c>
      <c r="G680" t="s">
        <v>6182</v>
      </c>
      <c r="H680" s="2">
        <v>6</v>
      </c>
      <c r="I680" s="2" t="str">
        <f>_xlfn.XLOOKUP(F680,customers!A:A,customers!B:B)</f>
        <v>Milty Middis</v>
      </c>
      <c r="J680" s="2" t="str">
        <f>_xlfn.XLOOKUP(F680,customers!A:A,customers!C:C)</f>
        <v>mmiddisiu@dmoz.org</v>
      </c>
      <c r="K680" s="2" t="str">
        <f>_xlfn.XLOOKUP(F680,customers!A:A,customers!F:F)</f>
        <v>Wichita</v>
      </c>
      <c r="L680" s="2" t="str">
        <f>_xlfn.XLOOKUP(F680,customers!A:A,customers!G:G)</f>
        <v>United States</v>
      </c>
      <c r="M680" t="str">
        <f>_xlfn.XLOOKUP(G680,products!A:A,products!B:B)</f>
        <v>Ara</v>
      </c>
      <c r="N680" t="str">
        <f>_xlfn.XLOOKUP(G680,products!A:A,products!C:C)</f>
        <v>L</v>
      </c>
      <c r="O680">
        <f>_xlfn.XLOOKUP(G680,products!A:A,products!D:D)</f>
        <v>2.5</v>
      </c>
      <c r="P680">
        <f>_xlfn.XLOOKUP(G680,products!A:A,products!E:E)</f>
        <v>29.784999999999997</v>
      </c>
      <c r="Q680">
        <f t="shared" si="43"/>
        <v>178.70999999999998</v>
      </c>
      <c r="R680" t="str" cm="1">
        <f t="array" ref="R680">_xlfn.IFS(Q680&lt;=50,"low sales",Q680&lt;=100,"medium sales",Q680&gt;100,"High sales")</f>
        <v>High sales</v>
      </c>
    </row>
    <row r="681" spans="1:18" x14ac:dyDescent="0.35">
      <c r="A681" s="2" t="s">
        <v>4325</v>
      </c>
      <c r="B681" s="3">
        <v>44645</v>
      </c>
      <c r="C681" s="3" t="str">
        <f t="shared" si="40"/>
        <v>Friday</v>
      </c>
      <c r="D681" s="3" t="str">
        <f t="shared" si="41"/>
        <v>March</v>
      </c>
      <c r="E681" s="3" t="str">
        <f t="shared" si="42"/>
        <v>2022</v>
      </c>
      <c r="F681" s="2" t="s">
        <v>4326</v>
      </c>
      <c r="G681" t="s">
        <v>6142</v>
      </c>
      <c r="H681" s="2">
        <v>1</v>
      </c>
      <c r="I681" s="2" t="str">
        <f>_xlfn.XLOOKUP(F681,customers!A:A,customers!B:B)</f>
        <v>Adrianne Vairow</v>
      </c>
      <c r="J681" s="2" t="str">
        <f>_xlfn.XLOOKUP(F681,customers!A:A,customers!C:C)</f>
        <v>avairowiv@studiopress.com</v>
      </c>
      <c r="K681" s="2" t="str">
        <f>_xlfn.XLOOKUP(F681,customers!A:A,customers!F:F)</f>
        <v>Thorpe</v>
      </c>
      <c r="L681" s="2" t="str">
        <f>_xlfn.XLOOKUP(F681,customers!A:A,customers!G:G)</f>
        <v>United Kingdom</v>
      </c>
      <c r="M681" t="str">
        <f>_xlfn.XLOOKUP(G681,products!A:A,products!B:B)</f>
        <v>Rob</v>
      </c>
      <c r="N681" t="str">
        <f>_xlfn.XLOOKUP(G681,products!A:A,products!C:C)</f>
        <v>L</v>
      </c>
      <c r="O681">
        <f>_xlfn.XLOOKUP(G681,products!A:A,products!D:D)</f>
        <v>2.5</v>
      </c>
      <c r="P681">
        <f>_xlfn.XLOOKUP(G681,products!A:A,products!E:E)</f>
        <v>27.484999999999996</v>
      </c>
      <c r="Q681">
        <f t="shared" si="43"/>
        <v>27.484999999999996</v>
      </c>
      <c r="R681" t="str" cm="1">
        <f t="array" ref="R681">_xlfn.IFS(Q681&lt;=50,"low sales",Q681&lt;=100,"medium sales",Q681&gt;100,"High sales")</f>
        <v>low sales</v>
      </c>
    </row>
    <row r="682" spans="1:18" x14ac:dyDescent="0.35">
      <c r="A682" s="2" t="s">
        <v>4331</v>
      </c>
      <c r="B682" s="3">
        <v>44399</v>
      </c>
      <c r="C682" s="3" t="str">
        <f t="shared" si="40"/>
        <v>Thursday</v>
      </c>
      <c r="D682" s="3" t="str">
        <f t="shared" si="41"/>
        <v>July</v>
      </c>
      <c r="E682" s="3" t="str">
        <f t="shared" si="42"/>
        <v>2021</v>
      </c>
      <c r="F682" s="2" t="s">
        <v>4332</v>
      </c>
      <c r="G682" t="s">
        <v>6155</v>
      </c>
      <c r="H682" s="2">
        <v>5</v>
      </c>
      <c r="I682" s="2" t="str">
        <f>_xlfn.XLOOKUP(F682,customers!A:A,customers!B:B)</f>
        <v>Anjanette Goldie</v>
      </c>
      <c r="J682" s="2" t="str">
        <f>_xlfn.XLOOKUP(F682,customers!A:A,customers!C:C)</f>
        <v>agoldieiw@goo.gl</v>
      </c>
      <c r="K682" s="2" t="str">
        <f>_xlfn.XLOOKUP(F682,customers!A:A,customers!F:F)</f>
        <v>Danbury</v>
      </c>
      <c r="L682" s="2" t="str">
        <f>_xlfn.XLOOKUP(F682,customers!A:A,customers!G:G)</f>
        <v>United States</v>
      </c>
      <c r="M682" t="str">
        <f>_xlfn.XLOOKUP(G682,products!A:A,products!B:B)</f>
        <v>Ara</v>
      </c>
      <c r="N682" t="str">
        <f>_xlfn.XLOOKUP(G682,products!A:A,products!C:C)</f>
        <v>M</v>
      </c>
      <c r="O682">
        <f>_xlfn.XLOOKUP(G682,products!A:A,products!D:D)</f>
        <v>1</v>
      </c>
      <c r="P682">
        <f>_xlfn.XLOOKUP(G682,products!A:A,products!E:E)</f>
        <v>11.25</v>
      </c>
      <c r="Q682">
        <f t="shared" si="43"/>
        <v>56.25</v>
      </c>
      <c r="R682" t="str" cm="1">
        <f t="array" ref="R682">_xlfn.IFS(Q682&lt;=50,"low sales",Q682&lt;=100,"medium sales",Q682&gt;100,"High sales")</f>
        <v>medium sales</v>
      </c>
    </row>
    <row r="683" spans="1:18" x14ac:dyDescent="0.35">
      <c r="A683" s="2" t="s">
        <v>4336</v>
      </c>
      <c r="B683" s="3">
        <v>44080</v>
      </c>
      <c r="C683" s="3" t="str">
        <f t="shared" si="40"/>
        <v>Sunday</v>
      </c>
      <c r="D683" s="3" t="str">
        <f t="shared" si="41"/>
        <v>September</v>
      </c>
      <c r="E683" s="3" t="str">
        <f t="shared" si="42"/>
        <v>2020</v>
      </c>
      <c r="F683" s="2" t="s">
        <v>4337</v>
      </c>
      <c r="G683" t="s">
        <v>6145</v>
      </c>
      <c r="H683" s="2">
        <v>2</v>
      </c>
      <c r="I683" s="2" t="str">
        <f>_xlfn.XLOOKUP(F683,customers!A:A,customers!B:B)</f>
        <v>Nicky Ayris</v>
      </c>
      <c r="J683" s="2" t="str">
        <f>_xlfn.XLOOKUP(F683,customers!A:A,customers!C:C)</f>
        <v>nayrisix@t-online.de</v>
      </c>
      <c r="K683" s="2" t="str">
        <f>_xlfn.XLOOKUP(F683,customers!A:A,customers!F:F)</f>
        <v>Kinloch</v>
      </c>
      <c r="L683" s="2" t="str">
        <f>_xlfn.XLOOKUP(F683,customers!A:A,customers!G:G)</f>
        <v>United Kingdom</v>
      </c>
      <c r="M683" t="str">
        <f>_xlfn.XLOOKUP(G683,products!A:A,products!B:B)</f>
        <v>Lib</v>
      </c>
      <c r="N683" t="str">
        <f>_xlfn.XLOOKUP(G683,products!A:A,products!C:C)</f>
        <v>L</v>
      </c>
      <c r="O683">
        <f>_xlfn.XLOOKUP(G683,products!A:A,products!D:D)</f>
        <v>0.2</v>
      </c>
      <c r="P683">
        <f>_xlfn.XLOOKUP(G683,products!A:A,products!E:E)</f>
        <v>4.7549999999999999</v>
      </c>
      <c r="Q683">
        <f t="shared" si="43"/>
        <v>9.51</v>
      </c>
      <c r="R683" t="str" cm="1">
        <f t="array" ref="R683">_xlfn.IFS(Q683&lt;=50,"low sales",Q683&lt;=100,"medium sales",Q683&gt;100,"High sales")</f>
        <v>low sales</v>
      </c>
    </row>
    <row r="684" spans="1:18" x14ac:dyDescent="0.35">
      <c r="A684" s="2" t="s">
        <v>4342</v>
      </c>
      <c r="B684" s="3">
        <v>43827</v>
      </c>
      <c r="C684" s="3" t="str">
        <f t="shared" si="40"/>
        <v>Saturday</v>
      </c>
      <c r="D684" s="3" t="str">
        <f t="shared" si="41"/>
        <v>December</v>
      </c>
      <c r="E684" s="3" t="str">
        <f t="shared" si="42"/>
        <v>2019</v>
      </c>
      <c r="F684" s="2" t="s">
        <v>4343</v>
      </c>
      <c r="G684" t="s">
        <v>6156</v>
      </c>
      <c r="H684" s="2">
        <v>2</v>
      </c>
      <c r="I684" s="2" t="str">
        <f>_xlfn.XLOOKUP(F684,customers!A:A,customers!B:B)</f>
        <v>Laryssa Benediktovich</v>
      </c>
      <c r="J684" s="2" t="str">
        <f>_xlfn.XLOOKUP(F684,customers!A:A,customers!C:C)</f>
        <v>lbenediktovichiy@wunderground.com</v>
      </c>
      <c r="K684" s="2" t="str">
        <f>_xlfn.XLOOKUP(F684,customers!A:A,customers!F:F)</f>
        <v>Jacksonville</v>
      </c>
      <c r="L684" s="2" t="str">
        <f>_xlfn.XLOOKUP(F684,customers!A:A,customers!G:G)</f>
        <v>United States</v>
      </c>
      <c r="M684" t="str">
        <f>_xlfn.XLOOKUP(G684,products!A:A,products!B:B)</f>
        <v>Exc</v>
      </c>
      <c r="N684" t="str">
        <f>_xlfn.XLOOKUP(G684,products!A:A,products!C:C)</f>
        <v>M</v>
      </c>
      <c r="O684">
        <f>_xlfn.XLOOKUP(G684,products!A:A,products!D:D)</f>
        <v>0.2</v>
      </c>
      <c r="P684">
        <f>_xlfn.XLOOKUP(G684,products!A:A,products!E:E)</f>
        <v>4.125</v>
      </c>
      <c r="Q684">
        <f t="shared" si="43"/>
        <v>8.25</v>
      </c>
      <c r="R684" t="str" cm="1">
        <f t="array" ref="R684">_xlfn.IFS(Q684&lt;=50,"low sales",Q684&lt;=100,"medium sales",Q684&gt;100,"High sales")</f>
        <v>low sales</v>
      </c>
    </row>
    <row r="685" spans="1:18" x14ac:dyDescent="0.35">
      <c r="A685" s="2" t="s">
        <v>4348</v>
      </c>
      <c r="B685" s="3">
        <v>43941</v>
      </c>
      <c r="C685" s="3" t="str">
        <f t="shared" si="40"/>
        <v>Monday</v>
      </c>
      <c r="D685" s="3" t="str">
        <f t="shared" si="41"/>
        <v>April</v>
      </c>
      <c r="E685" s="3" t="str">
        <f t="shared" si="42"/>
        <v>2020</v>
      </c>
      <c r="F685" s="2" t="s">
        <v>4349</v>
      </c>
      <c r="G685" t="s">
        <v>6169</v>
      </c>
      <c r="H685" s="2">
        <v>6</v>
      </c>
      <c r="I685" s="2" t="str">
        <f>_xlfn.XLOOKUP(F685,customers!A:A,customers!B:B)</f>
        <v>Theo Jacobovitz</v>
      </c>
      <c r="J685" s="2" t="str">
        <f>_xlfn.XLOOKUP(F685,customers!A:A,customers!C:C)</f>
        <v>tjacobovitziz@cbc.ca</v>
      </c>
      <c r="K685" s="2" t="str">
        <f>_xlfn.XLOOKUP(F685,customers!A:A,customers!F:F)</f>
        <v>Houston</v>
      </c>
      <c r="L685" s="2" t="str">
        <f>_xlfn.XLOOKUP(F685,customers!A:A,customers!G:G)</f>
        <v>United States</v>
      </c>
      <c r="M685" t="str">
        <f>_xlfn.XLOOKUP(G685,products!A:A,products!B:B)</f>
        <v>Lib</v>
      </c>
      <c r="N685" t="str">
        <f>_xlfn.XLOOKUP(G685,products!A:A,products!C:C)</f>
        <v>D</v>
      </c>
      <c r="O685">
        <f>_xlfn.XLOOKUP(G685,products!A:A,products!D:D)</f>
        <v>0.5</v>
      </c>
      <c r="P685">
        <f>_xlfn.XLOOKUP(G685,products!A:A,products!E:E)</f>
        <v>7.77</v>
      </c>
      <c r="Q685">
        <f t="shared" si="43"/>
        <v>46.62</v>
      </c>
      <c r="R685" t="str" cm="1">
        <f t="array" ref="R685">_xlfn.IFS(Q685&lt;=50,"low sales",Q685&lt;=100,"medium sales",Q685&gt;100,"High sales")</f>
        <v>low sales</v>
      </c>
    </row>
    <row r="686" spans="1:18" x14ac:dyDescent="0.35">
      <c r="A686" s="2" t="s">
        <v>4354</v>
      </c>
      <c r="B686" s="3">
        <v>43517</v>
      </c>
      <c r="C686" s="3" t="str">
        <f t="shared" si="40"/>
        <v>Thursday</v>
      </c>
      <c r="D686" s="3" t="str">
        <f t="shared" si="41"/>
        <v>February</v>
      </c>
      <c r="E686" s="3" t="str">
        <f t="shared" si="42"/>
        <v>2019</v>
      </c>
      <c r="F686" s="2" t="s">
        <v>4355</v>
      </c>
      <c r="G686" t="s">
        <v>6179</v>
      </c>
      <c r="H686" s="2">
        <v>6</v>
      </c>
      <c r="I686" s="2" t="str">
        <f>_xlfn.XLOOKUP(F686,customers!A:A,customers!B:B)</f>
        <v>Becca Ableson</v>
      </c>
      <c r="J686" s="2">
        <f>_xlfn.XLOOKUP(F686,customers!A:A,customers!C:C)</f>
        <v>0</v>
      </c>
      <c r="K686" s="2" t="str">
        <f>_xlfn.XLOOKUP(F686,customers!A:A,customers!F:F)</f>
        <v>Portland</v>
      </c>
      <c r="L686" s="2" t="str">
        <f>_xlfn.XLOOKUP(F686,customers!A:A,customers!G:G)</f>
        <v>United States</v>
      </c>
      <c r="M686" t="str">
        <f>_xlfn.XLOOKUP(G686,products!A:A,products!B:B)</f>
        <v>Rob</v>
      </c>
      <c r="N686" t="str">
        <f>_xlfn.XLOOKUP(G686,products!A:A,products!C:C)</f>
        <v>L</v>
      </c>
      <c r="O686">
        <f>_xlfn.XLOOKUP(G686,products!A:A,products!D:D)</f>
        <v>1</v>
      </c>
      <c r="P686">
        <f>_xlfn.XLOOKUP(G686,products!A:A,products!E:E)</f>
        <v>11.95</v>
      </c>
      <c r="Q686">
        <f t="shared" si="43"/>
        <v>71.699999999999989</v>
      </c>
      <c r="R686" t="str" cm="1">
        <f t="array" ref="R686">_xlfn.IFS(Q686&lt;=50,"low sales",Q686&lt;=100,"medium sales",Q686&gt;100,"High sales")</f>
        <v>medium sales</v>
      </c>
    </row>
    <row r="687" spans="1:18" x14ac:dyDescent="0.35">
      <c r="A687" s="2" t="s">
        <v>4359</v>
      </c>
      <c r="B687" s="3">
        <v>44637</v>
      </c>
      <c r="C687" s="3" t="str">
        <f t="shared" si="40"/>
        <v>Thursday</v>
      </c>
      <c r="D687" s="3" t="str">
        <f t="shared" si="41"/>
        <v>March</v>
      </c>
      <c r="E687" s="3" t="str">
        <f t="shared" si="42"/>
        <v>2022</v>
      </c>
      <c r="F687" s="2" t="s">
        <v>4360</v>
      </c>
      <c r="G687" t="s">
        <v>6164</v>
      </c>
      <c r="H687" s="2">
        <v>2</v>
      </c>
      <c r="I687" s="2" t="str">
        <f>_xlfn.XLOOKUP(F687,customers!A:A,customers!B:B)</f>
        <v>Jeno Druitt</v>
      </c>
      <c r="J687" s="2" t="str">
        <f>_xlfn.XLOOKUP(F687,customers!A:A,customers!C:C)</f>
        <v>jdruittj1@feedburner.com</v>
      </c>
      <c r="K687" s="2" t="str">
        <f>_xlfn.XLOOKUP(F687,customers!A:A,customers!F:F)</f>
        <v>Pasadena</v>
      </c>
      <c r="L687" s="2" t="str">
        <f>_xlfn.XLOOKUP(F687,customers!A:A,customers!G:G)</f>
        <v>United States</v>
      </c>
      <c r="M687" t="str">
        <f>_xlfn.XLOOKUP(G687,products!A:A,products!B:B)</f>
        <v>Lib</v>
      </c>
      <c r="N687" t="str">
        <f>_xlfn.XLOOKUP(G687,products!A:A,products!C:C)</f>
        <v>L</v>
      </c>
      <c r="O687">
        <f>_xlfn.XLOOKUP(G687,products!A:A,products!D:D)</f>
        <v>2.5</v>
      </c>
      <c r="P687">
        <f>_xlfn.XLOOKUP(G687,products!A:A,products!E:E)</f>
        <v>36.454999999999998</v>
      </c>
      <c r="Q687">
        <f t="shared" si="43"/>
        <v>72.91</v>
      </c>
      <c r="R687" t="str" cm="1">
        <f t="array" ref="R687">_xlfn.IFS(Q687&lt;=50,"low sales",Q687&lt;=100,"medium sales",Q687&gt;100,"High sales")</f>
        <v>medium sales</v>
      </c>
    </row>
    <row r="688" spans="1:18" x14ac:dyDescent="0.35">
      <c r="A688" s="2" t="s">
        <v>4365</v>
      </c>
      <c r="B688" s="3">
        <v>44330</v>
      </c>
      <c r="C688" s="3" t="str">
        <f t="shared" si="40"/>
        <v>Friday</v>
      </c>
      <c r="D688" s="3" t="str">
        <f t="shared" si="41"/>
        <v>May</v>
      </c>
      <c r="E688" s="3" t="str">
        <f t="shared" si="42"/>
        <v>2021</v>
      </c>
      <c r="F688" s="2" t="s">
        <v>4366</v>
      </c>
      <c r="G688" t="s">
        <v>6163</v>
      </c>
      <c r="H688" s="2">
        <v>3</v>
      </c>
      <c r="I688" s="2" t="str">
        <f>_xlfn.XLOOKUP(F688,customers!A:A,customers!B:B)</f>
        <v>Deonne Shortall</v>
      </c>
      <c r="J688" s="2" t="str">
        <f>_xlfn.XLOOKUP(F688,customers!A:A,customers!C:C)</f>
        <v>dshortallj2@wikipedia.org</v>
      </c>
      <c r="K688" s="2" t="str">
        <f>_xlfn.XLOOKUP(F688,customers!A:A,customers!F:F)</f>
        <v>Santa Ana</v>
      </c>
      <c r="L688" s="2" t="str">
        <f>_xlfn.XLOOKUP(F688,customers!A:A,customers!G:G)</f>
        <v>United States</v>
      </c>
      <c r="M688" t="str">
        <f>_xlfn.XLOOKUP(G688,products!A:A,products!B:B)</f>
        <v>Rob</v>
      </c>
      <c r="N688" t="str">
        <f>_xlfn.XLOOKUP(G688,products!A:A,products!C:C)</f>
        <v>D</v>
      </c>
      <c r="O688">
        <f>_xlfn.XLOOKUP(G688,products!A:A,products!D:D)</f>
        <v>0.2</v>
      </c>
      <c r="P688">
        <f>_xlfn.XLOOKUP(G688,products!A:A,products!E:E)</f>
        <v>2.6849999999999996</v>
      </c>
      <c r="Q688">
        <f t="shared" si="43"/>
        <v>8.0549999999999997</v>
      </c>
      <c r="R688" t="str" cm="1">
        <f t="array" ref="R688">_xlfn.IFS(Q688&lt;=50,"low sales",Q688&lt;=100,"medium sales",Q688&gt;100,"High sales")</f>
        <v>low sales</v>
      </c>
    </row>
    <row r="689" spans="1:18" x14ac:dyDescent="0.35">
      <c r="A689" s="2" t="s">
        <v>4371</v>
      </c>
      <c r="B689" s="3">
        <v>43471</v>
      </c>
      <c r="C689" s="3" t="str">
        <f t="shared" si="40"/>
        <v>Sunday</v>
      </c>
      <c r="D689" s="3" t="str">
        <f t="shared" si="41"/>
        <v>January</v>
      </c>
      <c r="E689" s="3" t="str">
        <f t="shared" si="42"/>
        <v>2019</v>
      </c>
      <c r="F689" s="2" t="s">
        <v>4372</v>
      </c>
      <c r="G689" t="s">
        <v>6139</v>
      </c>
      <c r="H689" s="2">
        <v>2</v>
      </c>
      <c r="I689" s="2" t="str">
        <f>_xlfn.XLOOKUP(F689,customers!A:A,customers!B:B)</f>
        <v>Wilton Cottier</v>
      </c>
      <c r="J689" s="2" t="str">
        <f>_xlfn.XLOOKUP(F689,customers!A:A,customers!C:C)</f>
        <v>wcottierj3@cafepress.com</v>
      </c>
      <c r="K689" s="2" t="str">
        <f>_xlfn.XLOOKUP(F689,customers!A:A,customers!F:F)</f>
        <v>San Jose</v>
      </c>
      <c r="L689" s="2" t="str">
        <f>_xlfn.XLOOKUP(F689,customers!A:A,customers!G:G)</f>
        <v>United States</v>
      </c>
      <c r="M689" t="str">
        <f>_xlfn.XLOOKUP(G689,products!A:A,products!B:B)</f>
        <v>Exc</v>
      </c>
      <c r="N689" t="str">
        <f>_xlfn.XLOOKUP(G689,products!A:A,products!C:C)</f>
        <v>M</v>
      </c>
      <c r="O689">
        <f>_xlfn.XLOOKUP(G689,products!A:A,products!D:D)</f>
        <v>0.5</v>
      </c>
      <c r="P689">
        <f>_xlfn.XLOOKUP(G689,products!A:A,products!E:E)</f>
        <v>8.25</v>
      </c>
      <c r="Q689">
        <f t="shared" si="43"/>
        <v>16.5</v>
      </c>
      <c r="R689" t="str" cm="1">
        <f t="array" ref="R689">_xlfn.IFS(Q689&lt;=50,"low sales",Q689&lt;=100,"medium sales",Q689&gt;100,"High sales")</f>
        <v>low sales</v>
      </c>
    </row>
    <row r="690" spans="1:18" x14ac:dyDescent="0.35">
      <c r="A690" s="2" t="s">
        <v>4377</v>
      </c>
      <c r="B690" s="3">
        <v>43579</v>
      </c>
      <c r="C690" s="3" t="str">
        <f t="shared" si="40"/>
        <v>Wednesday</v>
      </c>
      <c r="D690" s="3" t="str">
        <f t="shared" si="41"/>
        <v>April</v>
      </c>
      <c r="E690" s="3" t="str">
        <f t="shared" si="42"/>
        <v>2019</v>
      </c>
      <c r="F690" s="2" t="s">
        <v>4378</v>
      </c>
      <c r="G690" t="s">
        <v>6140</v>
      </c>
      <c r="H690" s="2">
        <v>5</v>
      </c>
      <c r="I690" s="2" t="str">
        <f>_xlfn.XLOOKUP(F690,customers!A:A,customers!B:B)</f>
        <v>Kevan Grinsted</v>
      </c>
      <c r="J690" s="2" t="str">
        <f>_xlfn.XLOOKUP(F690,customers!A:A,customers!C:C)</f>
        <v>kgrinstedj4@google.com.br</v>
      </c>
      <c r="K690" s="2" t="str">
        <f>_xlfn.XLOOKUP(F690,customers!A:A,customers!F:F)</f>
        <v>Tallaght</v>
      </c>
      <c r="L690" s="2" t="str">
        <f>_xlfn.XLOOKUP(F690,customers!A:A,customers!G:G)</f>
        <v>Ireland</v>
      </c>
      <c r="M690" t="str">
        <f>_xlfn.XLOOKUP(G690,products!A:A,products!B:B)</f>
        <v>Ara</v>
      </c>
      <c r="N690" t="str">
        <f>_xlfn.XLOOKUP(G690,products!A:A,products!C:C)</f>
        <v>L</v>
      </c>
      <c r="O690">
        <f>_xlfn.XLOOKUP(G690,products!A:A,products!D:D)</f>
        <v>1</v>
      </c>
      <c r="P690">
        <f>_xlfn.XLOOKUP(G690,products!A:A,products!E:E)</f>
        <v>12.95</v>
      </c>
      <c r="Q690">
        <f t="shared" si="43"/>
        <v>64.75</v>
      </c>
      <c r="R690" t="str" cm="1">
        <f t="array" ref="R690">_xlfn.IFS(Q690&lt;=50,"low sales",Q690&lt;=100,"medium sales",Q690&gt;100,"High sales")</f>
        <v>medium sales</v>
      </c>
    </row>
    <row r="691" spans="1:18" x14ac:dyDescent="0.35">
      <c r="A691" s="2" t="s">
        <v>4383</v>
      </c>
      <c r="B691" s="3">
        <v>44346</v>
      </c>
      <c r="C691" s="3" t="str">
        <f t="shared" si="40"/>
        <v>Sunday</v>
      </c>
      <c r="D691" s="3" t="str">
        <f t="shared" si="41"/>
        <v>May</v>
      </c>
      <c r="E691" s="3" t="str">
        <f t="shared" si="42"/>
        <v>2021</v>
      </c>
      <c r="F691" s="2" t="s">
        <v>4384</v>
      </c>
      <c r="G691" t="s">
        <v>6157</v>
      </c>
      <c r="H691" s="2">
        <v>5</v>
      </c>
      <c r="I691" s="2" t="str">
        <f>_xlfn.XLOOKUP(F691,customers!A:A,customers!B:B)</f>
        <v>Dionne Skyner</v>
      </c>
      <c r="J691" s="2" t="str">
        <f>_xlfn.XLOOKUP(F691,customers!A:A,customers!C:C)</f>
        <v>dskynerj5@hubpages.com</v>
      </c>
      <c r="K691" s="2" t="str">
        <f>_xlfn.XLOOKUP(F691,customers!A:A,customers!F:F)</f>
        <v>Colorado Springs</v>
      </c>
      <c r="L691" s="2" t="str">
        <f>_xlfn.XLOOKUP(F691,customers!A:A,customers!G:G)</f>
        <v>United States</v>
      </c>
      <c r="M691" t="str">
        <f>_xlfn.XLOOKUP(G691,products!A:A,products!B:B)</f>
        <v>Ara</v>
      </c>
      <c r="N691" t="str">
        <f>_xlfn.XLOOKUP(G691,products!A:A,products!C:C)</f>
        <v>M</v>
      </c>
      <c r="O691">
        <f>_xlfn.XLOOKUP(G691,products!A:A,products!D:D)</f>
        <v>0.5</v>
      </c>
      <c r="P691">
        <f>_xlfn.XLOOKUP(G691,products!A:A,products!E:E)</f>
        <v>6.75</v>
      </c>
      <c r="Q691">
        <f t="shared" si="43"/>
        <v>33.75</v>
      </c>
      <c r="R691" t="str" cm="1">
        <f t="array" ref="R691">_xlfn.IFS(Q691&lt;=50,"low sales",Q691&lt;=100,"medium sales",Q691&gt;100,"High sales")</f>
        <v>low sales</v>
      </c>
    </row>
    <row r="692" spans="1:18" x14ac:dyDescent="0.35">
      <c r="A692" s="2" t="s">
        <v>4389</v>
      </c>
      <c r="B692" s="3">
        <v>44754</v>
      </c>
      <c r="C692" s="3" t="str">
        <f t="shared" si="40"/>
        <v>Tuesday</v>
      </c>
      <c r="D692" s="3" t="str">
        <f t="shared" si="41"/>
        <v>July</v>
      </c>
      <c r="E692" s="3" t="str">
        <f t="shared" si="42"/>
        <v>2022</v>
      </c>
      <c r="F692" s="2" t="s">
        <v>4390</v>
      </c>
      <c r="G692" t="s">
        <v>6165</v>
      </c>
      <c r="H692" s="2">
        <v>6</v>
      </c>
      <c r="I692" s="2" t="str">
        <f>_xlfn.XLOOKUP(F692,customers!A:A,customers!B:B)</f>
        <v>Francesco Dressel</v>
      </c>
      <c r="J692" s="2">
        <f>_xlfn.XLOOKUP(F692,customers!A:A,customers!C:C)</f>
        <v>0</v>
      </c>
      <c r="K692" s="2" t="str">
        <f>_xlfn.XLOOKUP(F692,customers!A:A,customers!F:F)</f>
        <v>Toledo</v>
      </c>
      <c r="L692" s="2" t="str">
        <f>_xlfn.XLOOKUP(F692,customers!A:A,customers!G:G)</f>
        <v>United States</v>
      </c>
      <c r="M692" t="str">
        <f>_xlfn.XLOOKUP(G692,products!A:A,products!B:B)</f>
        <v>Lib</v>
      </c>
      <c r="N692" t="str">
        <f>_xlfn.XLOOKUP(G692,products!A:A,products!C:C)</f>
        <v>D</v>
      </c>
      <c r="O692">
        <f>_xlfn.XLOOKUP(G692,products!A:A,products!D:D)</f>
        <v>2.5</v>
      </c>
      <c r="P692">
        <f>_xlfn.XLOOKUP(G692,products!A:A,products!E:E)</f>
        <v>29.784999999999997</v>
      </c>
      <c r="Q692">
        <f t="shared" si="43"/>
        <v>178.70999999999998</v>
      </c>
      <c r="R692" t="str" cm="1">
        <f t="array" ref="R692">_xlfn.IFS(Q692&lt;=50,"low sales",Q692&lt;=100,"medium sales",Q692&gt;100,"High sales")</f>
        <v>High sales</v>
      </c>
    </row>
    <row r="693" spans="1:18" x14ac:dyDescent="0.35">
      <c r="A693" s="2" t="s">
        <v>4393</v>
      </c>
      <c r="B693" s="3">
        <v>44227</v>
      </c>
      <c r="C693" s="3" t="str">
        <f t="shared" si="40"/>
        <v>Sunday</v>
      </c>
      <c r="D693" s="3" t="str">
        <f t="shared" si="41"/>
        <v>January</v>
      </c>
      <c r="E693" s="3" t="str">
        <f t="shared" si="42"/>
        <v>2021</v>
      </c>
      <c r="F693" s="2" t="s">
        <v>4434</v>
      </c>
      <c r="G693" t="s">
        <v>6155</v>
      </c>
      <c r="H693" s="2">
        <v>2</v>
      </c>
      <c r="I693" s="2" t="str">
        <f>_xlfn.XLOOKUP(F693,customers!A:A,customers!B:B)</f>
        <v>Jimmy Dymoke</v>
      </c>
      <c r="J693" s="2" t="str">
        <f>_xlfn.XLOOKUP(F693,customers!A:A,customers!C:C)</f>
        <v>jdymokeje@prnewswire.com</v>
      </c>
      <c r="K693" s="2" t="str">
        <f>_xlfn.XLOOKUP(F693,customers!A:A,customers!F:F)</f>
        <v>Beaumont</v>
      </c>
      <c r="L693" s="2" t="str">
        <f>_xlfn.XLOOKUP(F693,customers!A:A,customers!G:G)</f>
        <v>Ireland</v>
      </c>
      <c r="M693" t="str">
        <f>_xlfn.XLOOKUP(G693,products!A:A,products!B:B)</f>
        <v>Ara</v>
      </c>
      <c r="N693" t="str">
        <f>_xlfn.XLOOKUP(G693,products!A:A,products!C:C)</f>
        <v>M</v>
      </c>
      <c r="O693">
        <f>_xlfn.XLOOKUP(G693,products!A:A,products!D:D)</f>
        <v>1</v>
      </c>
      <c r="P693">
        <f>_xlfn.XLOOKUP(G693,products!A:A,products!E:E)</f>
        <v>11.25</v>
      </c>
      <c r="Q693">
        <f t="shared" si="43"/>
        <v>22.5</v>
      </c>
      <c r="R693" t="str" cm="1">
        <f t="array" ref="R693">_xlfn.IFS(Q693&lt;=50,"low sales",Q693&lt;=100,"medium sales",Q693&gt;100,"High sales")</f>
        <v>low sales</v>
      </c>
    </row>
    <row r="694" spans="1:18" x14ac:dyDescent="0.35">
      <c r="A694" s="2" t="s">
        <v>4399</v>
      </c>
      <c r="B694" s="3">
        <v>43720</v>
      </c>
      <c r="C694" s="3" t="str">
        <f t="shared" si="40"/>
        <v>Thursday</v>
      </c>
      <c r="D694" s="3" t="str">
        <f t="shared" si="41"/>
        <v>September</v>
      </c>
      <c r="E694" s="3" t="str">
        <f t="shared" si="42"/>
        <v>2019</v>
      </c>
      <c r="F694" s="2" t="s">
        <v>4400</v>
      </c>
      <c r="G694" t="s">
        <v>6143</v>
      </c>
      <c r="H694" s="2">
        <v>1</v>
      </c>
      <c r="I694" s="2" t="str">
        <f>_xlfn.XLOOKUP(F694,customers!A:A,customers!B:B)</f>
        <v>Ambrosio Weinmann</v>
      </c>
      <c r="J694" s="2" t="str">
        <f>_xlfn.XLOOKUP(F694,customers!A:A,customers!C:C)</f>
        <v>aweinmannj8@shinystat.com</v>
      </c>
      <c r="K694" s="2" t="str">
        <f>_xlfn.XLOOKUP(F694,customers!A:A,customers!F:F)</f>
        <v>Cincinnati</v>
      </c>
      <c r="L694" s="2" t="str">
        <f>_xlfn.XLOOKUP(F694,customers!A:A,customers!G:G)</f>
        <v>United States</v>
      </c>
      <c r="M694" t="str">
        <f>_xlfn.XLOOKUP(G694,products!A:A,products!B:B)</f>
        <v>Lib</v>
      </c>
      <c r="N694" t="str">
        <f>_xlfn.XLOOKUP(G694,products!A:A,products!C:C)</f>
        <v>D</v>
      </c>
      <c r="O694">
        <f>_xlfn.XLOOKUP(G694,products!A:A,products!D:D)</f>
        <v>1</v>
      </c>
      <c r="P694">
        <f>_xlfn.XLOOKUP(G694,products!A:A,products!E:E)</f>
        <v>12.95</v>
      </c>
      <c r="Q694">
        <f t="shared" si="43"/>
        <v>12.95</v>
      </c>
      <c r="R694" t="str" cm="1">
        <f t="array" ref="R694">_xlfn.IFS(Q694&lt;=50,"low sales",Q694&lt;=100,"medium sales",Q694&gt;100,"High sales")</f>
        <v>low sales</v>
      </c>
    </row>
    <row r="695" spans="1:18" x14ac:dyDescent="0.35">
      <c r="A695" s="2" t="s">
        <v>4405</v>
      </c>
      <c r="B695" s="3">
        <v>44012</v>
      </c>
      <c r="C695" s="3" t="str">
        <f t="shared" si="40"/>
        <v>Tuesday</v>
      </c>
      <c r="D695" s="3" t="str">
        <f t="shared" si="41"/>
        <v>June</v>
      </c>
      <c r="E695" s="3" t="str">
        <f t="shared" si="42"/>
        <v>2020</v>
      </c>
      <c r="F695" s="2" t="s">
        <v>4406</v>
      </c>
      <c r="G695" t="s">
        <v>6175</v>
      </c>
      <c r="H695" s="2">
        <v>2</v>
      </c>
      <c r="I695" s="2" t="str">
        <f>_xlfn.XLOOKUP(F695,customers!A:A,customers!B:B)</f>
        <v>Elden Andriessen</v>
      </c>
      <c r="J695" s="2" t="str">
        <f>_xlfn.XLOOKUP(F695,customers!A:A,customers!C:C)</f>
        <v>eandriessenj9@europa.eu</v>
      </c>
      <c r="K695" s="2" t="str">
        <f>_xlfn.XLOOKUP(F695,customers!A:A,customers!F:F)</f>
        <v>Saint Louis</v>
      </c>
      <c r="L695" s="2" t="str">
        <f>_xlfn.XLOOKUP(F695,customers!A:A,customers!G:G)</f>
        <v>United States</v>
      </c>
      <c r="M695" t="str">
        <f>_xlfn.XLOOKUP(G695,products!A:A,products!B:B)</f>
        <v>Ara</v>
      </c>
      <c r="N695" t="str">
        <f>_xlfn.XLOOKUP(G695,products!A:A,products!C:C)</f>
        <v>M</v>
      </c>
      <c r="O695">
        <f>_xlfn.XLOOKUP(G695,products!A:A,products!D:D)</f>
        <v>2.5</v>
      </c>
      <c r="P695">
        <f>_xlfn.XLOOKUP(G695,products!A:A,products!E:E)</f>
        <v>25.874999999999996</v>
      </c>
      <c r="Q695">
        <f t="shared" si="43"/>
        <v>51.749999999999993</v>
      </c>
      <c r="R695" t="str" cm="1">
        <f t="array" ref="R695">_xlfn.IFS(Q695&lt;=50,"low sales",Q695&lt;=100,"medium sales",Q695&gt;100,"High sales")</f>
        <v>medium sales</v>
      </c>
    </row>
    <row r="696" spans="1:18" x14ac:dyDescent="0.35">
      <c r="A696" s="2" t="s">
        <v>4411</v>
      </c>
      <c r="B696" s="3">
        <v>43915</v>
      </c>
      <c r="C696" s="3" t="str">
        <f t="shared" si="40"/>
        <v>Wednesday</v>
      </c>
      <c r="D696" s="3" t="str">
        <f t="shared" si="41"/>
        <v>March</v>
      </c>
      <c r="E696" s="3" t="str">
        <f t="shared" si="42"/>
        <v>2020</v>
      </c>
      <c r="F696" s="2" t="s">
        <v>4412</v>
      </c>
      <c r="G696" t="s">
        <v>6144</v>
      </c>
      <c r="H696" s="2">
        <v>5</v>
      </c>
      <c r="I696" s="2" t="str">
        <f>_xlfn.XLOOKUP(F696,customers!A:A,customers!B:B)</f>
        <v>Roxie Deaconson</v>
      </c>
      <c r="J696" s="2" t="str">
        <f>_xlfn.XLOOKUP(F696,customers!A:A,customers!C:C)</f>
        <v>rdeaconsonja@archive.org</v>
      </c>
      <c r="K696" s="2" t="str">
        <f>_xlfn.XLOOKUP(F696,customers!A:A,customers!F:F)</f>
        <v>Yonkers</v>
      </c>
      <c r="L696" s="2" t="str">
        <f>_xlfn.XLOOKUP(F696,customers!A:A,customers!G:G)</f>
        <v>United States</v>
      </c>
      <c r="M696" t="str">
        <f>_xlfn.XLOOKUP(G696,products!A:A,products!B:B)</f>
        <v>Exc</v>
      </c>
      <c r="N696" t="str">
        <f>_xlfn.XLOOKUP(G696,products!A:A,products!C:C)</f>
        <v>D</v>
      </c>
      <c r="O696">
        <f>_xlfn.XLOOKUP(G696,products!A:A,products!D:D)</f>
        <v>0.5</v>
      </c>
      <c r="P696">
        <f>_xlfn.XLOOKUP(G696,products!A:A,products!E:E)</f>
        <v>7.29</v>
      </c>
      <c r="Q696">
        <f t="shared" si="43"/>
        <v>36.450000000000003</v>
      </c>
      <c r="R696" t="str" cm="1">
        <f t="array" ref="R696">_xlfn.IFS(Q696&lt;=50,"low sales",Q696&lt;=100,"medium sales",Q696&gt;100,"High sales")</f>
        <v>low sales</v>
      </c>
    </row>
    <row r="697" spans="1:18" x14ac:dyDescent="0.35">
      <c r="A697" s="2" t="s">
        <v>4417</v>
      </c>
      <c r="B697" s="3">
        <v>44300</v>
      </c>
      <c r="C697" s="3" t="str">
        <f t="shared" si="40"/>
        <v>Wednesday</v>
      </c>
      <c r="D697" s="3" t="str">
        <f t="shared" si="41"/>
        <v>April</v>
      </c>
      <c r="E697" s="3" t="str">
        <f t="shared" si="42"/>
        <v>2021</v>
      </c>
      <c r="F697" s="2" t="s">
        <v>4418</v>
      </c>
      <c r="G697" t="s">
        <v>6164</v>
      </c>
      <c r="H697" s="2">
        <v>5</v>
      </c>
      <c r="I697" s="2" t="str">
        <f>_xlfn.XLOOKUP(F697,customers!A:A,customers!B:B)</f>
        <v>Davida Caro</v>
      </c>
      <c r="J697" s="2" t="str">
        <f>_xlfn.XLOOKUP(F697,customers!A:A,customers!C:C)</f>
        <v>dcarojb@twitter.com</v>
      </c>
      <c r="K697" s="2" t="str">
        <f>_xlfn.XLOOKUP(F697,customers!A:A,customers!F:F)</f>
        <v>Baltimore</v>
      </c>
      <c r="L697" s="2" t="str">
        <f>_xlfn.XLOOKUP(F697,customers!A:A,customers!G:G)</f>
        <v>United States</v>
      </c>
      <c r="M697" t="str">
        <f>_xlfn.XLOOKUP(G697,products!A:A,products!B:B)</f>
        <v>Lib</v>
      </c>
      <c r="N697" t="str">
        <f>_xlfn.XLOOKUP(G697,products!A:A,products!C:C)</f>
        <v>L</v>
      </c>
      <c r="O697">
        <f>_xlfn.XLOOKUP(G697,products!A:A,products!D:D)</f>
        <v>2.5</v>
      </c>
      <c r="P697">
        <f>_xlfn.XLOOKUP(G697,products!A:A,products!E:E)</f>
        <v>36.454999999999998</v>
      </c>
      <c r="Q697">
        <f t="shared" si="43"/>
        <v>182.27499999999998</v>
      </c>
      <c r="R697" t="str" cm="1">
        <f t="array" ref="R697">_xlfn.IFS(Q697&lt;=50,"low sales",Q697&lt;=100,"medium sales",Q697&gt;100,"High sales")</f>
        <v>High sales</v>
      </c>
    </row>
    <row r="698" spans="1:18" x14ac:dyDescent="0.35">
      <c r="A698" s="2" t="s">
        <v>4423</v>
      </c>
      <c r="B698" s="3">
        <v>43693</v>
      </c>
      <c r="C698" s="3" t="str">
        <f t="shared" si="40"/>
        <v>Friday</v>
      </c>
      <c r="D698" s="3" t="str">
        <f t="shared" si="41"/>
        <v>August</v>
      </c>
      <c r="E698" s="3" t="str">
        <f t="shared" si="42"/>
        <v>2019</v>
      </c>
      <c r="F698" s="2" t="s">
        <v>4424</v>
      </c>
      <c r="G698" t="s">
        <v>6169</v>
      </c>
      <c r="H698" s="2">
        <v>4</v>
      </c>
      <c r="I698" s="2" t="str">
        <f>_xlfn.XLOOKUP(F698,customers!A:A,customers!B:B)</f>
        <v>Johna Bluck</v>
      </c>
      <c r="J698" s="2" t="str">
        <f>_xlfn.XLOOKUP(F698,customers!A:A,customers!C:C)</f>
        <v>jbluckjc@imageshack.us</v>
      </c>
      <c r="K698" s="2" t="str">
        <f>_xlfn.XLOOKUP(F698,customers!A:A,customers!F:F)</f>
        <v>Jacksonville</v>
      </c>
      <c r="L698" s="2" t="str">
        <f>_xlfn.XLOOKUP(F698,customers!A:A,customers!G:G)</f>
        <v>United States</v>
      </c>
      <c r="M698" t="str">
        <f>_xlfn.XLOOKUP(G698,products!A:A,products!B:B)</f>
        <v>Lib</v>
      </c>
      <c r="N698" t="str">
        <f>_xlfn.XLOOKUP(G698,products!A:A,products!C:C)</f>
        <v>D</v>
      </c>
      <c r="O698">
        <f>_xlfn.XLOOKUP(G698,products!A:A,products!D:D)</f>
        <v>0.5</v>
      </c>
      <c r="P698">
        <f>_xlfn.XLOOKUP(G698,products!A:A,products!E:E)</f>
        <v>7.77</v>
      </c>
      <c r="Q698">
        <f t="shared" si="43"/>
        <v>31.08</v>
      </c>
      <c r="R698" t="str" cm="1">
        <f t="array" ref="R698">_xlfn.IFS(Q698&lt;=50,"low sales",Q698&lt;=100,"medium sales",Q698&gt;100,"High sales")</f>
        <v>low sales</v>
      </c>
    </row>
    <row r="699" spans="1:18" x14ac:dyDescent="0.35">
      <c r="A699" s="2" t="s">
        <v>4429</v>
      </c>
      <c r="B699" s="3">
        <v>44547</v>
      </c>
      <c r="C699" s="3" t="str">
        <f t="shared" si="40"/>
        <v>Friday</v>
      </c>
      <c r="D699" s="3" t="str">
        <f t="shared" si="41"/>
        <v>December</v>
      </c>
      <c r="E699" s="3" t="str">
        <f t="shared" si="42"/>
        <v>2021</v>
      </c>
      <c r="F699" s="2" t="s">
        <v>4430</v>
      </c>
      <c r="G699" t="s">
        <v>6157</v>
      </c>
      <c r="H699" s="2">
        <v>3</v>
      </c>
      <c r="I699" s="2" t="str">
        <f>_xlfn.XLOOKUP(F699,customers!A:A,customers!B:B)</f>
        <v>Myrle Dearden</v>
      </c>
      <c r="J699" s="2">
        <f>_xlfn.XLOOKUP(F699,customers!A:A,customers!C:C)</f>
        <v>0</v>
      </c>
      <c r="K699" s="2" t="str">
        <f>_xlfn.XLOOKUP(F699,customers!A:A,customers!F:F)</f>
        <v>Bayside</v>
      </c>
      <c r="L699" s="2" t="str">
        <f>_xlfn.XLOOKUP(F699,customers!A:A,customers!G:G)</f>
        <v>Ireland</v>
      </c>
      <c r="M699" t="str">
        <f>_xlfn.XLOOKUP(G699,products!A:A,products!B:B)</f>
        <v>Ara</v>
      </c>
      <c r="N699" t="str">
        <f>_xlfn.XLOOKUP(G699,products!A:A,products!C:C)</f>
        <v>M</v>
      </c>
      <c r="O699">
        <f>_xlfn.XLOOKUP(G699,products!A:A,products!D:D)</f>
        <v>0.5</v>
      </c>
      <c r="P699">
        <f>_xlfn.XLOOKUP(G699,products!A:A,products!E:E)</f>
        <v>6.75</v>
      </c>
      <c r="Q699">
        <f t="shared" si="43"/>
        <v>20.25</v>
      </c>
      <c r="R699" t="str" cm="1">
        <f t="array" ref="R699">_xlfn.IFS(Q699&lt;=50,"low sales",Q699&lt;=100,"medium sales",Q699&gt;100,"High sales")</f>
        <v>low sales</v>
      </c>
    </row>
    <row r="700" spans="1:18" x14ac:dyDescent="0.35">
      <c r="A700" s="2" t="s">
        <v>4433</v>
      </c>
      <c r="B700" s="3">
        <v>43830</v>
      </c>
      <c r="C700" s="3" t="str">
        <f t="shared" si="40"/>
        <v>Tuesday</v>
      </c>
      <c r="D700" s="3" t="str">
        <f t="shared" si="41"/>
        <v>December</v>
      </c>
      <c r="E700" s="3" t="str">
        <f t="shared" si="42"/>
        <v>2019</v>
      </c>
      <c r="F700" s="2" t="s">
        <v>4434</v>
      </c>
      <c r="G700" t="s">
        <v>6143</v>
      </c>
      <c r="H700" s="2">
        <v>2</v>
      </c>
      <c r="I700" s="2" t="str">
        <f>_xlfn.XLOOKUP(F700,customers!A:A,customers!B:B)</f>
        <v>Jimmy Dymoke</v>
      </c>
      <c r="J700" s="2" t="str">
        <f>_xlfn.XLOOKUP(F700,customers!A:A,customers!C:C)</f>
        <v>jdymokeje@prnewswire.com</v>
      </c>
      <c r="K700" s="2" t="str">
        <f>_xlfn.XLOOKUP(F700,customers!A:A,customers!F:F)</f>
        <v>Beaumont</v>
      </c>
      <c r="L700" s="2" t="str">
        <f>_xlfn.XLOOKUP(F700,customers!A:A,customers!G:G)</f>
        <v>Ireland</v>
      </c>
      <c r="M700" t="str">
        <f>_xlfn.XLOOKUP(G700,products!A:A,products!B:B)</f>
        <v>Lib</v>
      </c>
      <c r="N700" t="str">
        <f>_xlfn.XLOOKUP(G700,products!A:A,products!C:C)</f>
        <v>D</v>
      </c>
      <c r="O700">
        <f>_xlfn.XLOOKUP(G700,products!A:A,products!D:D)</f>
        <v>1</v>
      </c>
      <c r="P700">
        <f>_xlfn.XLOOKUP(G700,products!A:A,products!E:E)</f>
        <v>12.95</v>
      </c>
      <c r="Q700">
        <f t="shared" si="43"/>
        <v>25.9</v>
      </c>
      <c r="R700" t="str" cm="1">
        <f t="array" ref="R700">_xlfn.IFS(Q700&lt;=50,"low sales",Q700&lt;=100,"medium sales",Q700&gt;100,"High sales")</f>
        <v>low sales</v>
      </c>
    </row>
    <row r="701" spans="1:18" x14ac:dyDescent="0.35">
      <c r="A701" s="2" t="s">
        <v>4439</v>
      </c>
      <c r="B701" s="3">
        <v>44298</v>
      </c>
      <c r="C701" s="3" t="str">
        <f t="shared" si="40"/>
        <v>Monday</v>
      </c>
      <c r="D701" s="3" t="str">
        <f t="shared" si="41"/>
        <v>April</v>
      </c>
      <c r="E701" s="3" t="str">
        <f t="shared" si="42"/>
        <v>2021</v>
      </c>
      <c r="F701" s="2" t="s">
        <v>4440</v>
      </c>
      <c r="G701" t="s">
        <v>6158</v>
      </c>
      <c r="H701" s="2">
        <v>4</v>
      </c>
      <c r="I701" s="2" t="str">
        <f>_xlfn.XLOOKUP(F701,customers!A:A,customers!B:B)</f>
        <v>Orland Tadman</v>
      </c>
      <c r="J701" s="2" t="str">
        <f>_xlfn.XLOOKUP(F701,customers!A:A,customers!C:C)</f>
        <v>otadmanjf@ft.com</v>
      </c>
      <c r="K701" s="2" t="str">
        <f>_xlfn.XLOOKUP(F701,customers!A:A,customers!F:F)</f>
        <v>Miami</v>
      </c>
      <c r="L701" s="2" t="str">
        <f>_xlfn.XLOOKUP(F701,customers!A:A,customers!G:G)</f>
        <v>United States</v>
      </c>
      <c r="M701" t="str">
        <f>_xlfn.XLOOKUP(G701,products!A:A,products!B:B)</f>
        <v>Ara</v>
      </c>
      <c r="N701" t="str">
        <f>_xlfn.XLOOKUP(G701,products!A:A,products!C:C)</f>
        <v>D</v>
      </c>
      <c r="O701">
        <f>_xlfn.XLOOKUP(G701,products!A:A,products!D:D)</f>
        <v>0.5</v>
      </c>
      <c r="P701">
        <f>_xlfn.XLOOKUP(G701,products!A:A,products!E:E)</f>
        <v>5.97</v>
      </c>
      <c r="Q701">
        <f t="shared" si="43"/>
        <v>23.88</v>
      </c>
      <c r="R701" t="str" cm="1">
        <f t="array" ref="R701">_xlfn.IFS(Q701&lt;=50,"low sales",Q701&lt;=100,"medium sales",Q701&gt;100,"High sales")</f>
        <v>low sales</v>
      </c>
    </row>
    <row r="702" spans="1:18" x14ac:dyDescent="0.35">
      <c r="A702" s="2" t="s">
        <v>4445</v>
      </c>
      <c r="B702" s="3">
        <v>43736</v>
      </c>
      <c r="C702" s="3" t="str">
        <f t="shared" si="40"/>
        <v>Saturday</v>
      </c>
      <c r="D702" s="3" t="str">
        <f t="shared" si="41"/>
        <v>September</v>
      </c>
      <c r="E702" s="3" t="str">
        <f t="shared" si="42"/>
        <v>2019</v>
      </c>
      <c r="F702" s="2" t="s">
        <v>4446</v>
      </c>
      <c r="G702" t="s">
        <v>6161</v>
      </c>
      <c r="H702" s="2">
        <v>2</v>
      </c>
      <c r="I702" s="2" t="str">
        <f>_xlfn.XLOOKUP(F702,customers!A:A,customers!B:B)</f>
        <v>Barrett Gudde</v>
      </c>
      <c r="J702" s="2" t="str">
        <f>_xlfn.XLOOKUP(F702,customers!A:A,customers!C:C)</f>
        <v>bguddejg@dailymotion.com</v>
      </c>
      <c r="K702" s="2" t="str">
        <f>_xlfn.XLOOKUP(F702,customers!A:A,customers!F:F)</f>
        <v>San Francisco</v>
      </c>
      <c r="L702" s="2" t="str">
        <f>_xlfn.XLOOKUP(F702,customers!A:A,customers!G:G)</f>
        <v>United States</v>
      </c>
      <c r="M702" t="str">
        <f>_xlfn.XLOOKUP(G702,products!A:A,products!B:B)</f>
        <v>Lib</v>
      </c>
      <c r="N702" t="str">
        <f>_xlfn.XLOOKUP(G702,products!A:A,products!C:C)</f>
        <v>L</v>
      </c>
      <c r="O702">
        <f>_xlfn.XLOOKUP(G702,products!A:A,products!D:D)</f>
        <v>0.5</v>
      </c>
      <c r="P702">
        <f>_xlfn.XLOOKUP(G702,products!A:A,products!E:E)</f>
        <v>9.51</v>
      </c>
      <c r="Q702">
        <f t="shared" si="43"/>
        <v>19.02</v>
      </c>
      <c r="R702" t="str" cm="1">
        <f t="array" ref="R702">_xlfn.IFS(Q702&lt;=50,"low sales",Q702&lt;=100,"medium sales",Q702&gt;100,"High sales")</f>
        <v>low sales</v>
      </c>
    </row>
    <row r="703" spans="1:18" x14ac:dyDescent="0.35">
      <c r="A703" s="2" t="s">
        <v>4450</v>
      </c>
      <c r="B703" s="3">
        <v>44727</v>
      </c>
      <c r="C703" s="3" t="str">
        <f t="shared" si="40"/>
        <v>Wednesday</v>
      </c>
      <c r="D703" s="3" t="str">
        <f t="shared" si="41"/>
        <v>June</v>
      </c>
      <c r="E703" s="3" t="str">
        <f t="shared" si="42"/>
        <v>2022</v>
      </c>
      <c r="F703" s="2" t="s">
        <v>4451</v>
      </c>
      <c r="G703" t="s">
        <v>6158</v>
      </c>
      <c r="H703" s="2">
        <v>5</v>
      </c>
      <c r="I703" s="2" t="str">
        <f>_xlfn.XLOOKUP(F703,customers!A:A,customers!B:B)</f>
        <v>Nathan Sictornes</v>
      </c>
      <c r="J703" s="2" t="str">
        <f>_xlfn.XLOOKUP(F703,customers!A:A,customers!C:C)</f>
        <v>nsictornesjh@buzzfeed.com</v>
      </c>
      <c r="K703" s="2" t="str">
        <f>_xlfn.XLOOKUP(F703,customers!A:A,customers!F:F)</f>
        <v>Sandyford</v>
      </c>
      <c r="L703" s="2" t="str">
        <f>_xlfn.XLOOKUP(F703,customers!A:A,customers!G:G)</f>
        <v>Ireland</v>
      </c>
      <c r="M703" t="str">
        <f>_xlfn.XLOOKUP(G703,products!A:A,products!B:B)</f>
        <v>Ara</v>
      </c>
      <c r="N703" t="str">
        <f>_xlfn.XLOOKUP(G703,products!A:A,products!C:C)</f>
        <v>D</v>
      </c>
      <c r="O703">
        <f>_xlfn.XLOOKUP(G703,products!A:A,products!D:D)</f>
        <v>0.5</v>
      </c>
      <c r="P703">
        <f>_xlfn.XLOOKUP(G703,products!A:A,products!E:E)</f>
        <v>5.97</v>
      </c>
      <c r="Q703">
        <f t="shared" si="43"/>
        <v>29.849999999999998</v>
      </c>
      <c r="R703" t="str" cm="1">
        <f t="array" ref="R703">_xlfn.IFS(Q703&lt;=50,"low sales",Q703&lt;=100,"medium sales",Q703&gt;100,"High sales")</f>
        <v>low sales</v>
      </c>
    </row>
    <row r="704" spans="1:18" x14ac:dyDescent="0.35">
      <c r="A704" s="2" t="s">
        <v>4456</v>
      </c>
      <c r="B704" s="3">
        <v>43661</v>
      </c>
      <c r="C704" s="3" t="str">
        <f t="shared" si="40"/>
        <v>Monday</v>
      </c>
      <c r="D704" s="3" t="str">
        <f t="shared" si="41"/>
        <v>July</v>
      </c>
      <c r="E704" s="3" t="str">
        <f t="shared" si="42"/>
        <v>2019</v>
      </c>
      <c r="F704" s="2" t="s">
        <v>4457</v>
      </c>
      <c r="G704" t="s">
        <v>6180</v>
      </c>
      <c r="H704" s="2">
        <v>1</v>
      </c>
      <c r="I704" s="2" t="str">
        <f>_xlfn.XLOOKUP(F704,customers!A:A,customers!B:B)</f>
        <v>Vivyan Dunning</v>
      </c>
      <c r="J704" s="2" t="str">
        <f>_xlfn.XLOOKUP(F704,customers!A:A,customers!C:C)</f>
        <v>vdunningji@independent.co.uk</v>
      </c>
      <c r="K704" s="2" t="str">
        <f>_xlfn.XLOOKUP(F704,customers!A:A,customers!F:F)</f>
        <v>Punta Gorda</v>
      </c>
      <c r="L704" s="2" t="str">
        <f>_xlfn.XLOOKUP(F704,customers!A:A,customers!G:G)</f>
        <v>United States</v>
      </c>
      <c r="M704" t="str">
        <f>_xlfn.XLOOKUP(G704,products!A:A,products!B:B)</f>
        <v>Ara</v>
      </c>
      <c r="N704" t="str">
        <f>_xlfn.XLOOKUP(G704,products!A:A,products!C:C)</f>
        <v>L</v>
      </c>
      <c r="O704">
        <f>_xlfn.XLOOKUP(G704,products!A:A,products!D:D)</f>
        <v>0.5</v>
      </c>
      <c r="P704">
        <f>_xlfn.XLOOKUP(G704,products!A:A,products!E:E)</f>
        <v>7.77</v>
      </c>
      <c r="Q704">
        <f t="shared" si="43"/>
        <v>7.77</v>
      </c>
      <c r="R704" t="str" cm="1">
        <f t="array" ref="R704">_xlfn.IFS(Q704&lt;=50,"low sales",Q704&lt;=100,"medium sales",Q704&gt;100,"High sales")</f>
        <v>low sales</v>
      </c>
    </row>
    <row r="705" spans="1:18" x14ac:dyDescent="0.35">
      <c r="A705" s="2" t="s">
        <v>4461</v>
      </c>
      <c r="B705" s="3">
        <v>43506</v>
      </c>
      <c r="C705" s="3" t="str">
        <f t="shared" si="40"/>
        <v>Sunday</v>
      </c>
      <c r="D705" s="3" t="str">
        <f t="shared" si="41"/>
        <v>February</v>
      </c>
      <c r="E705" s="3" t="str">
        <f t="shared" si="42"/>
        <v>2019</v>
      </c>
      <c r="F705" s="2" t="s">
        <v>4462</v>
      </c>
      <c r="G705" t="s">
        <v>6165</v>
      </c>
      <c r="H705" s="2">
        <v>4</v>
      </c>
      <c r="I705" s="2" t="str">
        <f>_xlfn.XLOOKUP(F705,customers!A:A,customers!B:B)</f>
        <v>Doralin Baison</v>
      </c>
      <c r="J705" s="2">
        <f>_xlfn.XLOOKUP(F705,customers!A:A,customers!C:C)</f>
        <v>0</v>
      </c>
      <c r="K705" s="2" t="str">
        <f>_xlfn.XLOOKUP(F705,customers!A:A,customers!F:F)</f>
        <v>Ballivor</v>
      </c>
      <c r="L705" s="2" t="str">
        <f>_xlfn.XLOOKUP(F705,customers!A:A,customers!G:G)</f>
        <v>Ireland</v>
      </c>
      <c r="M705" t="str">
        <f>_xlfn.XLOOKUP(G705,products!A:A,products!B:B)</f>
        <v>Lib</v>
      </c>
      <c r="N705" t="str">
        <f>_xlfn.XLOOKUP(G705,products!A:A,products!C:C)</f>
        <v>D</v>
      </c>
      <c r="O705">
        <f>_xlfn.XLOOKUP(G705,products!A:A,products!D:D)</f>
        <v>2.5</v>
      </c>
      <c r="P705">
        <f>_xlfn.XLOOKUP(G705,products!A:A,products!E:E)</f>
        <v>29.784999999999997</v>
      </c>
      <c r="Q705">
        <f t="shared" si="43"/>
        <v>119.13999999999999</v>
      </c>
      <c r="R705" t="str" cm="1">
        <f t="array" ref="R705">_xlfn.IFS(Q705&lt;=50,"low sales",Q705&lt;=100,"medium sales",Q705&gt;100,"High sales")</f>
        <v>High sales</v>
      </c>
    </row>
    <row r="706" spans="1:18" x14ac:dyDescent="0.35">
      <c r="A706" s="2" t="s">
        <v>4466</v>
      </c>
      <c r="B706" s="3">
        <v>44716</v>
      </c>
      <c r="C706" s="3" t="str">
        <f t="shared" si="40"/>
        <v>Saturday</v>
      </c>
      <c r="D706" s="3" t="str">
        <f t="shared" si="41"/>
        <v>June</v>
      </c>
      <c r="E706" s="3" t="str">
        <f t="shared" si="42"/>
        <v>2022</v>
      </c>
      <c r="F706" s="2" t="s">
        <v>4467</v>
      </c>
      <c r="G706" t="s">
        <v>6153</v>
      </c>
      <c r="H706" s="2">
        <v>6</v>
      </c>
      <c r="I706" s="2" t="str">
        <f>_xlfn.XLOOKUP(F706,customers!A:A,customers!B:B)</f>
        <v>Josefina Ferens</v>
      </c>
      <c r="J706" s="2">
        <f>_xlfn.XLOOKUP(F706,customers!A:A,customers!C:C)</f>
        <v>0</v>
      </c>
      <c r="K706" s="2" t="str">
        <f>_xlfn.XLOOKUP(F706,customers!A:A,customers!F:F)</f>
        <v>New York City</v>
      </c>
      <c r="L706" s="2" t="str">
        <f>_xlfn.XLOOKUP(F706,customers!A:A,customers!G:G)</f>
        <v>United States</v>
      </c>
      <c r="M706" t="str">
        <f>_xlfn.XLOOKUP(G706,products!A:A,products!B:B)</f>
        <v>Exc</v>
      </c>
      <c r="N706" t="str">
        <f>_xlfn.XLOOKUP(G706,products!A:A,products!C:C)</f>
        <v>D</v>
      </c>
      <c r="O706">
        <f>_xlfn.XLOOKUP(G706,products!A:A,products!D:D)</f>
        <v>0.2</v>
      </c>
      <c r="P706">
        <f>_xlfn.XLOOKUP(G706,products!A:A,products!E:E)</f>
        <v>3.645</v>
      </c>
      <c r="Q706">
        <f t="shared" si="43"/>
        <v>21.87</v>
      </c>
      <c r="R706" t="str" cm="1">
        <f t="array" ref="R706">_xlfn.IFS(Q706&lt;=50,"low sales",Q706&lt;=100,"medium sales",Q706&gt;100,"High sales")</f>
        <v>low sales</v>
      </c>
    </row>
    <row r="707" spans="1:18" x14ac:dyDescent="0.35">
      <c r="A707" s="2" t="s">
        <v>4471</v>
      </c>
      <c r="B707" s="3">
        <v>44114</v>
      </c>
      <c r="C707" s="3" t="str">
        <f t="shared" ref="C707:C770" si="44">TEXT(B707,"DDDD")</f>
        <v>Saturday</v>
      </c>
      <c r="D707" s="3" t="str">
        <f t="shared" ref="D707:D770" si="45">TEXT(B707,"MMMM")</f>
        <v>October</v>
      </c>
      <c r="E707" s="3" t="str">
        <f t="shared" ref="E707:E770" si="46">TEXT(B707,"YYYY")</f>
        <v>2020</v>
      </c>
      <c r="F707" s="2" t="s">
        <v>4472</v>
      </c>
      <c r="G707" t="s">
        <v>6176</v>
      </c>
      <c r="H707" s="2">
        <v>2</v>
      </c>
      <c r="I707" s="2" t="str">
        <f>_xlfn.XLOOKUP(F707,customers!A:A,customers!B:B)</f>
        <v>Shelley Gehring</v>
      </c>
      <c r="J707" s="2" t="str">
        <f>_xlfn.XLOOKUP(F707,customers!A:A,customers!C:C)</f>
        <v>sgehringjl@gnu.org</v>
      </c>
      <c r="K707" s="2" t="str">
        <f>_xlfn.XLOOKUP(F707,customers!A:A,customers!F:F)</f>
        <v>Spartanburg</v>
      </c>
      <c r="L707" s="2" t="str">
        <f>_xlfn.XLOOKUP(F707,customers!A:A,customers!G:G)</f>
        <v>United States</v>
      </c>
      <c r="M707" t="str">
        <f>_xlfn.XLOOKUP(G707,products!A:A,products!B:B)</f>
        <v>Exc</v>
      </c>
      <c r="N707" t="str">
        <f>_xlfn.XLOOKUP(G707,products!A:A,products!C:C)</f>
        <v>L</v>
      </c>
      <c r="O707">
        <f>_xlfn.XLOOKUP(G707,products!A:A,products!D:D)</f>
        <v>0.5</v>
      </c>
      <c r="P707">
        <f>_xlfn.XLOOKUP(G707,products!A:A,products!E:E)</f>
        <v>8.91</v>
      </c>
      <c r="Q707">
        <f t="shared" ref="Q707:Q770" si="47">P707*H707</f>
        <v>17.82</v>
      </c>
      <c r="R707" t="str" cm="1">
        <f t="array" ref="R707">_xlfn.IFS(Q707&lt;=50,"low sales",Q707&lt;=100,"medium sales",Q707&gt;100,"High sales")</f>
        <v>low sales</v>
      </c>
    </row>
    <row r="708" spans="1:18" x14ac:dyDescent="0.35">
      <c r="A708" s="2" t="s">
        <v>4477</v>
      </c>
      <c r="B708" s="3">
        <v>44353</v>
      </c>
      <c r="C708" s="3" t="str">
        <f t="shared" si="44"/>
        <v>Sunday</v>
      </c>
      <c r="D708" s="3" t="str">
        <f t="shared" si="45"/>
        <v>June</v>
      </c>
      <c r="E708" s="3" t="str">
        <f t="shared" si="46"/>
        <v>2021</v>
      </c>
      <c r="F708" s="2" t="s">
        <v>4478</v>
      </c>
      <c r="G708" t="s">
        <v>6156</v>
      </c>
      <c r="H708" s="2">
        <v>3</v>
      </c>
      <c r="I708" s="2" t="str">
        <f>_xlfn.XLOOKUP(F708,customers!A:A,customers!B:B)</f>
        <v>Barrie Fallowes</v>
      </c>
      <c r="J708" s="2" t="str">
        <f>_xlfn.XLOOKUP(F708,customers!A:A,customers!C:C)</f>
        <v>bfallowesjm@purevolume.com</v>
      </c>
      <c r="K708" s="2" t="str">
        <f>_xlfn.XLOOKUP(F708,customers!A:A,customers!F:F)</f>
        <v>Bakersfield</v>
      </c>
      <c r="L708" s="2" t="str">
        <f>_xlfn.XLOOKUP(F708,customers!A:A,customers!G:G)</f>
        <v>United States</v>
      </c>
      <c r="M708" t="str">
        <f>_xlfn.XLOOKUP(G708,products!A:A,products!B:B)</f>
        <v>Exc</v>
      </c>
      <c r="N708" t="str">
        <f>_xlfn.XLOOKUP(G708,products!A:A,products!C:C)</f>
        <v>M</v>
      </c>
      <c r="O708">
        <f>_xlfn.XLOOKUP(G708,products!A:A,products!D:D)</f>
        <v>0.2</v>
      </c>
      <c r="P708">
        <f>_xlfn.XLOOKUP(G708,products!A:A,products!E:E)</f>
        <v>4.125</v>
      </c>
      <c r="Q708">
        <f t="shared" si="47"/>
        <v>12.375</v>
      </c>
      <c r="R708" t="str" cm="1">
        <f t="array" ref="R708">_xlfn.IFS(Q708&lt;=50,"low sales",Q708&lt;=100,"medium sales",Q708&gt;100,"High sales")</f>
        <v>low sales</v>
      </c>
    </row>
    <row r="709" spans="1:18" x14ac:dyDescent="0.35">
      <c r="A709" s="2" t="s">
        <v>4483</v>
      </c>
      <c r="B709" s="3">
        <v>43540</v>
      </c>
      <c r="C709" s="3" t="str">
        <f t="shared" si="44"/>
        <v>Saturday</v>
      </c>
      <c r="D709" s="3" t="str">
        <f t="shared" si="45"/>
        <v>March</v>
      </c>
      <c r="E709" s="3" t="str">
        <f t="shared" si="46"/>
        <v>2019</v>
      </c>
      <c r="F709" s="2" t="s">
        <v>4484</v>
      </c>
      <c r="G709" t="s">
        <v>6143</v>
      </c>
      <c r="H709" s="2">
        <v>2</v>
      </c>
      <c r="I709" s="2" t="str">
        <f>_xlfn.XLOOKUP(F709,customers!A:A,customers!B:B)</f>
        <v>Nicolas Aiton</v>
      </c>
      <c r="J709" s="2">
        <f>_xlfn.XLOOKUP(F709,customers!A:A,customers!C:C)</f>
        <v>0</v>
      </c>
      <c r="K709" s="2" t="str">
        <f>_xlfn.XLOOKUP(F709,customers!A:A,customers!F:F)</f>
        <v>Dungarvan</v>
      </c>
      <c r="L709" s="2" t="str">
        <f>_xlfn.XLOOKUP(F709,customers!A:A,customers!G:G)</f>
        <v>Ireland</v>
      </c>
      <c r="M709" t="str">
        <f>_xlfn.XLOOKUP(G709,products!A:A,products!B:B)</f>
        <v>Lib</v>
      </c>
      <c r="N709" t="str">
        <f>_xlfn.XLOOKUP(G709,products!A:A,products!C:C)</f>
        <v>D</v>
      </c>
      <c r="O709">
        <f>_xlfn.XLOOKUP(G709,products!A:A,products!D:D)</f>
        <v>1</v>
      </c>
      <c r="P709">
        <f>_xlfn.XLOOKUP(G709,products!A:A,products!E:E)</f>
        <v>12.95</v>
      </c>
      <c r="Q709">
        <f t="shared" si="47"/>
        <v>25.9</v>
      </c>
      <c r="R709" t="str" cm="1">
        <f t="array" ref="R709">_xlfn.IFS(Q709&lt;=50,"low sales",Q709&lt;=100,"medium sales",Q709&gt;100,"High sales")</f>
        <v>low sales</v>
      </c>
    </row>
    <row r="710" spans="1:18" x14ac:dyDescent="0.35">
      <c r="A710" s="2" t="s">
        <v>4488</v>
      </c>
      <c r="B710" s="3">
        <v>43804</v>
      </c>
      <c r="C710" s="3" t="str">
        <f t="shared" si="44"/>
        <v>Thursday</v>
      </c>
      <c r="D710" s="3" t="str">
        <f t="shared" si="45"/>
        <v>December</v>
      </c>
      <c r="E710" s="3" t="str">
        <f t="shared" si="46"/>
        <v>2019</v>
      </c>
      <c r="F710" s="2" t="s">
        <v>4489</v>
      </c>
      <c r="G710" t="s">
        <v>6157</v>
      </c>
      <c r="H710" s="2">
        <v>2</v>
      </c>
      <c r="I710" s="2" t="str">
        <f>_xlfn.XLOOKUP(F710,customers!A:A,customers!B:B)</f>
        <v>Shelli De Banke</v>
      </c>
      <c r="J710" s="2" t="str">
        <f>_xlfn.XLOOKUP(F710,customers!A:A,customers!C:C)</f>
        <v>sdejo@newsvine.com</v>
      </c>
      <c r="K710" s="2" t="str">
        <f>_xlfn.XLOOKUP(F710,customers!A:A,customers!F:F)</f>
        <v>Saint Louis</v>
      </c>
      <c r="L710" s="2" t="str">
        <f>_xlfn.XLOOKUP(F710,customers!A:A,customers!G:G)</f>
        <v>United States</v>
      </c>
      <c r="M710" t="str">
        <f>_xlfn.XLOOKUP(G710,products!A:A,products!B:B)</f>
        <v>Ara</v>
      </c>
      <c r="N710" t="str">
        <f>_xlfn.XLOOKUP(G710,products!A:A,products!C:C)</f>
        <v>M</v>
      </c>
      <c r="O710">
        <f>_xlfn.XLOOKUP(G710,products!A:A,products!D:D)</f>
        <v>0.5</v>
      </c>
      <c r="P710">
        <f>_xlfn.XLOOKUP(G710,products!A:A,products!E:E)</f>
        <v>6.75</v>
      </c>
      <c r="Q710">
        <f t="shared" si="47"/>
        <v>13.5</v>
      </c>
      <c r="R710" t="str" cm="1">
        <f t="array" ref="R710">_xlfn.IFS(Q710&lt;=50,"low sales",Q710&lt;=100,"medium sales",Q710&gt;100,"High sales")</f>
        <v>low sales</v>
      </c>
    </row>
    <row r="711" spans="1:18" x14ac:dyDescent="0.35">
      <c r="A711" s="2" t="s">
        <v>4494</v>
      </c>
      <c r="B711" s="3">
        <v>43485</v>
      </c>
      <c r="C711" s="3" t="str">
        <f t="shared" si="44"/>
        <v>Sunday</v>
      </c>
      <c r="D711" s="3" t="str">
        <f t="shared" si="45"/>
        <v>January</v>
      </c>
      <c r="E711" s="3" t="str">
        <f t="shared" si="46"/>
        <v>2019</v>
      </c>
      <c r="F711" s="2" t="s">
        <v>4495</v>
      </c>
      <c r="G711" t="s">
        <v>6176</v>
      </c>
      <c r="H711" s="2">
        <v>2</v>
      </c>
      <c r="I711" s="2" t="str">
        <f>_xlfn.XLOOKUP(F711,customers!A:A,customers!B:B)</f>
        <v>Lyell Murch</v>
      </c>
      <c r="J711" s="2">
        <f>_xlfn.XLOOKUP(F711,customers!A:A,customers!C:C)</f>
        <v>0</v>
      </c>
      <c r="K711" s="2" t="str">
        <f>_xlfn.XLOOKUP(F711,customers!A:A,customers!F:F)</f>
        <v>Fort Wayne</v>
      </c>
      <c r="L711" s="2" t="str">
        <f>_xlfn.XLOOKUP(F711,customers!A:A,customers!G:G)</f>
        <v>United States</v>
      </c>
      <c r="M711" t="str">
        <f>_xlfn.XLOOKUP(G711,products!A:A,products!B:B)</f>
        <v>Exc</v>
      </c>
      <c r="N711" t="str">
        <f>_xlfn.XLOOKUP(G711,products!A:A,products!C:C)</f>
        <v>L</v>
      </c>
      <c r="O711">
        <f>_xlfn.XLOOKUP(G711,products!A:A,products!D:D)</f>
        <v>0.5</v>
      </c>
      <c r="P711">
        <f>_xlfn.XLOOKUP(G711,products!A:A,products!E:E)</f>
        <v>8.91</v>
      </c>
      <c r="Q711">
        <f t="shared" si="47"/>
        <v>17.82</v>
      </c>
      <c r="R711" t="str" cm="1">
        <f t="array" ref="R711">_xlfn.IFS(Q711&lt;=50,"low sales",Q711&lt;=100,"medium sales",Q711&gt;100,"High sales")</f>
        <v>low sales</v>
      </c>
    </row>
    <row r="712" spans="1:18" x14ac:dyDescent="0.35">
      <c r="A712" s="2" t="s">
        <v>4499</v>
      </c>
      <c r="B712" s="3">
        <v>44655</v>
      </c>
      <c r="C712" s="3" t="str">
        <f t="shared" si="44"/>
        <v>Monday</v>
      </c>
      <c r="D712" s="3" t="str">
        <f t="shared" si="45"/>
        <v>April</v>
      </c>
      <c r="E712" s="3" t="str">
        <f t="shared" si="46"/>
        <v>2022</v>
      </c>
      <c r="F712" s="2" t="s">
        <v>4500</v>
      </c>
      <c r="G712" t="s">
        <v>6139</v>
      </c>
      <c r="H712" s="2">
        <v>3</v>
      </c>
      <c r="I712" s="2" t="str">
        <f>_xlfn.XLOOKUP(F712,customers!A:A,customers!B:B)</f>
        <v>Stearne Count</v>
      </c>
      <c r="J712" s="2" t="str">
        <f>_xlfn.XLOOKUP(F712,customers!A:A,customers!C:C)</f>
        <v>scountjq@nba.com</v>
      </c>
      <c r="K712" s="2" t="str">
        <f>_xlfn.XLOOKUP(F712,customers!A:A,customers!F:F)</f>
        <v>Young America</v>
      </c>
      <c r="L712" s="2" t="str">
        <f>_xlfn.XLOOKUP(F712,customers!A:A,customers!G:G)</f>
        <v>United States</v>
      </c>
      <c r="M712" t="str">
        <f>_xlfn.XLOOKUP(G712,products!A:A,products!B:B)</f>
        <v>Exc</v>
      </c>
      <c r="N712" t="str">
        <f>_xlfn.XLOOKUP(G712,products!A:A,products!C:C)</f>
        <v>M</v>
      </c>
      <c r="O712">
        <f>_xlfn.XLOOKUP(G712,products!A:A,products!D:D)</f>
        <v>0.5</v>
      </c>
      <c r="P712">
        <f>_xlfn.XLOOKUP(G712,products!A:A,products!E:E)</f>
        <v>8.25</v>
      </c>
      <c r="Q712">
        <f t="shared" si="47"/>
        <v>24.75</v>
      </c>
      <c r="R712" t="str" cm="1">
        <f t="array" ref="R712">_xlfn.IFS(Q712&lt;=50,"low sales",Q712&lt;=100,"medium sales",Q712&gt;100,"High sales")</f>
        <v>low sales</v>
      </c>
    </row>
    <row r="713" spans="1:18" x14ac:dyDescent="0.35">
      <c r="A713" s="2" t="s">
        <v>4505</v>
      </c>
      <c r="B713" s="3">
        <v>44600</v>
      </c>
      <c r="C713" s="3" t="str">
        <f t="shared" si="44"/>
        <v>Tuesday</v>
      </c>
      <c r="D713" s="3" t="str">
        <f t="shared" si="45"/>
        <v>February</v>
      </c>
      <c r="E713" s="3" t="str">
        <f t="shared" si="46"/>
        <v>2022</v>
      </c>
      <c r="F713" s="2" t="s">
        <v>4506</v>
      </c>
      <c r="G713" t="s">
        <v>6174</v>
      </c>
      <c r="H713" s="2">
        <v>6</v>
      </c>
      <c r="I713" s="2" t="str">
        <f>_xlfn.XLOOKUP(F713,customers!A:A,customers!B:B)</f>
        <v>Selia Ragles</v>
      </c>
      <c r="J713" s="2" t="str">
        <f>_xlfn.XLOOKUP(F713,customers!A:A,customers!C:C)</f>
        <v>sraglesjr@blogtalkradio.com</v>
      </c>
      <c r="K713" s="2" t="str">
        <f>_xlfn.XLOOKUP(F713,customers!A:A,customers!F:F)</f>
        <v>Fort Smith</v>
      </c>
      <c r="L713" s="2" t="str">
        <f>_xlfn.XLOOKUP(F713,customers!A:A,customers!G:G)</f>
        <v>United States</v>
      </c>
      <c r="M713" t="str">
        <f>_xlfn.XLOOKUP(G713,products!A:A,products!B:B)</f>
        <v>Rob</v>
      </c>
      <c r="N713" t="str">
        <f>_xlfn.XLOOKUP(G713,products!A:A,products!C:C)</f>
        <v>M</v>
      </c>
      <c r="O713">
        <f>_xlfn.XLOOKUP(G713,products!A:A,products!D:D)</f>
        <v>0.2</v>
      </c>
      <c r="P713">
        <f>_xlfn.XLOOKUP(G713,products!A:A,products!E:E)</f>
        <v>2.9849999999999999</v>
      </c>
      <c r="Q713">
        <f t="shared" si="47"/>
        <v>17.91</v>
      </c>
      <c r="R713" t="str" cm="1">
        <f t="array" ref="R713">_xlfn.IFS(Q713&lt;=50,"low sales",Q713&lt;=100,"medium sales",Q713&gt;100,"High sales")</f>
        <v>low sales</v>
      </c>
    </row>
    <row r="714" spans="1:18" x14ac:dyDescent="0.35">
      <c r="A714" s="2" t="s">
        <v>4512</v>
      </c>
      <c r="B714" s="3">
        <v>43646</v>
      </c>
      <c r="C714" s="3" t="str">
        <f t="shared" si="44"/>
        <v>Sunday</v>
      </c>
      <c r="D714" s="3" t="str">
        <f t="shared" si="45"/>
        <v>June</v>
      </c>
      <c r="E714" s="3" t="str">
        <f t="shared" si="46"/>
        <v>2019</v>
      </c>
      <c r="F714" s="2" t="s">
        <v>4513</v>
      </c>
      <c r="G714" t="s">
        <v>6139</v>
      </c>
      <c r="H714" s="2">
        <v>2</v>
      </c>
      <c r="I714" s="2" t="str">
        <f>_xlfn.XLOOKUP(F714,customers!A:A,customers!B:B)</f>
        <v>Silas Deehan</v>
      </c>
      <c r="J714" s="2">
        <f>_xlfn.XLOOKUP(F714,customers!A:A,customers!C:C)</f>
        <v>0</v>
      </c>
      <c r="K714" s="2" t="str">
        <f>_xlfn.XLOOKUP(F714,customers!A:A,customers!F:F)</f>
        <v>Charlton</v>
      </c>
      <c r="L714" s="2" t="str">
        <f>_xlfn.XLOOKUP(F714,customers!A:A,customers!G:G)</f>
        <v>United Kingdom</v>
      </c>
      <c r="M714" t="str">
        <f>_xlfn.XLOOKUP(G714,products!A:A,products!B:B)</f>
        <v>Exc</v>
      </c>
      <c r="N714" t="str">
        <f>_xlfn.XLOOKUP(G714,products!A:A,products!C:C)</f>
        <v>M</v>
      </c>
      <c r="O714">
        <f>_xlfn.XLOOKUP(G714,products!A:A,products!D:D)</f>
        <v>0.5</v>
      </c>
      <c r="P714">
        <f>_xlfn.XLOOKUP(G714,products!A:A,products!E:E)</f>
        <v>8.25</v>
      </c>
      <c r="Q714">
        <f t="shared" si="47"/>
        <v>16.5</v>
      </c>
      <c r="R714" t="str" cm="1">
        <f t="array" ref="R714">_xlfn.IFS(Q714&lt;=50,"low sales",Q714&lt;=100,"medium sales",Q714&gt;100,"High sales")</f>
        <v>low sales</v>
      </c>
    </row>
    <row r="715" spans="1:18" x14ac:dyDescent="0.35">
      <c r="A715" s="2" t="s">
        <v>4516</v>
      </c>
      <c r="B715" s="3">
        <v>43960</v>
      </c>
      <c r="C715" s="3" t="str">
        <f t="shared" si="44"/>
        <v>Saturday</v>
      </c>
      <c r="D715" s="3" t="str">
        <f t="shared" si="45"/>
        <v>May</v>
      </c>
      <c r="E715" s="3" t="str">
        <f t="shared" si="46"/>
        <v>2020</v>
      </c>
      <c r="F715" s="2" t="s">
        <v>4517</v>
      </c>
      <c r="G715" t="s">
        <v>6174</v>
      </c>
      <c r="H715" s="2">
        <v>1</v>
      </c>
      <c r="I715" s="2" t="str">
        <f>_xlfn.XLOOKUP(F715,customers!A:A,customers!B:B)</f>
        <v>Sacha Bruun</v>
      </c>
      <c r="J715" s="2" t="str">
        <f>_xlfn.XLOOKUP(F715,customers!A:A,customers!C:C)</f>
        <v>sbruunjt@blogtalkradio.com</v>
      </c>
      <c r="K715" s="2" t="str">
        <f>_xlfn.XLOOKUP(F715,customers!A:A,customers!F:F)</f>
        <v>Stockton</v>
      </c>
      <c r="L715" s="2" t="str">
        <f>_xlfn.XLOOKUP(F715,customers!A:A,customers!G:G)</f>
        <v>United States</v>
      </c>
      <c r="M715" t="str">
        <f>_xlfn.XLOOKUP(G715,products!A:A,products!B:B)</f>
        <v>Rob</v>
      </c>
      <c r="N715" t="str">
        <f>_xlfn.XLOOKUP(G715,products!A:A,products!C:C)</f>
        <v>M</v>
      </c>
      <c r="O715">
        <f>_xlfn.XLOOKUP(G715,products!A:A,products!D:D)</f>
        <v>0.2</v>
      </c>
      <c r="P715">
        <f>_xlfn.XLOOKUP(G715,products!A:A,products!E:E)</f>
        <v>2.9849999999999999</v>
      </c>
      <c r="Q715">
        <f t="shared" si="47"/>
        <v>2.9849999999999999</v>
      </c>
      <c r="R715" t="str" cm="1">
        <f t="array" ref="R715">_xlfn.IFS(Q715&lt;=50,"low sales",Q715&lt;=100,"medium sales",Q715&gt;100,"High sales")</f>
        <v>low sales</v>
      </c>
    </row>
    <row r="716" spans="1:18" x14ac:dyDescent="0.35">
      <c r="A716" s="2" t="s">
        <v>4522</v>
      </c>
      <c r="B716" s="3">
        <v>44358</v>
      </c>
      <c r="C716" s="3" t="str">
        <f t="shared" si="44"/>
        <v>Friday</v>
      </c>
      <c r="D716" s="3" t="str">
        <f t="shared" si="45"/>
        <v>June</v>
      </c>
      <c r="E716" s="3" t="str">
        <f t="shared" si="46"/>
        <v>2021</v>
      </c>
      <c r="F716" s="2" t="s">
        <v>4523</v>
      </c>
      <c r="G716" t="s">
        <v>6153</v>
      </c>
      <c r="H716" s="2">
        <v>4</v>
      </c>
      <c r="I716" s="2" t="str">
        <f>_xlfn.XLOOKUP(F716,customers!A:A,customers!B:B)</f>
        <v>Alon Pllu</v>
      </c>
      <c r="J716" s="2" t="str">
        <f>_xlfn.XLOOKUP(F716,customers!A:A,customers!C:C)</f>
        <v>aplluju@dagondesign.com</v>
      </c>
      <c r="K716" s="2" t="str">
        <f>_xlfn.XLOOKUP(F716,customers!A:A,customers!F:F)</f>
        <v>Navan</v>
      </c>
      <c r="L716" s="2" t="str">
        <f>_xlfn.XLOOKUP(F716,customers!A:A,customers!G:G)</f>
        <v>Ireland</v>
      </c>
      <c r="M716" t="str">
        <f>_xlfn.XLOOKUP(G716,products!A:A,products!B:B)</f>
        <v>Exc</v>
      </c>
      <c r="N716" t="str">
        <f>_xlfn.XLOOKUP(G716,products!A:A,products!C:C)</f>
        <v>D</v>
      </c>
      <c r="O716">
        <f>_xlfn.XLOOKUP(G716,products!A:A,products!D:D)</f>
        <v>0.2</v>
      </c>
      <c r="P716">
        <f>_xlfn.XLOOKUP(G716,products!A:A,products!E:E)</f>
        <v>3.645</v>
      </c>
      <c r="Q716">
        <f t="shared" si="47"/>
        <v>14.58</v>
      </c>
      <c r="R716" t="str" cm="1">
        <f t="array" ref="R716">_xlfn.IFS(Q716&lt;=50,"low sales",Q716&lt;=100,"medium sales",Q716&gt;100,"High sales")</f>
        <v>low sales</v>
      </c>
    </row>
    <row r="717" spans="1:18" x14ac:dyDescent="0.35">
      <c r="A717" s="2" t="s">
        <v>4528</v>
      </c>
      <c r="B717" s="3">
        <v>44504</v>
      </c>
      <c r="C717" s="3" t="str">
        <f t="shared" si="44"/>
        <v>Thursday</v>
      </c>
      <c r="D717" s="3" t="str">
        <f t="shared" si="45"/>
        <v>November</v>
      </c>
      <c r="E717" s="3" t="str">
        <f t="shared" si="46"/>
        <v>2021</v>
      </c>
      <c r="F717" s="2" t="s">
        <v>4529</v>
      </c>
      <c r="G717" t="s">
        <v>6171</v>
      </c>
      <c r="H717" s="2">
        <v>6</v>
      </c>
      <c r="I717" s="2" t="str">
        <f>_xlfn.XLOOKUP(F717,customers!A:A,customers!B:B)</f>
        <v>Gilberto Cornier</v>
      </c>
      <c r="J717" s="2" t="str">
        <f>_xlfn.XLOOKUP(F717,customers!A:A,customers!C:C)</f>
        <v>gcornierjv@techcrunch.com</v>
      </c>
      <c r="K717" s="2" t="str">
        <f>_xlfn.XLOOKUP(F717,customers!A:A,customers!F:F)</f>
        <v>Tampa</v>
      </c>
      <c r="L717" s="2" t="str">
        <f>_xlfn.XLOOKUP(F717,customers!A:A,customers!G:G)</f>
        <v>United States</v>
      </c>
      <c r="M717" t="str">
        <f>_xlfn.XLOOKUP(G717,products!A:A,products!B:B)</f>
        <v>Exc</v>
      </c>
      <c r="N717" t="str">
        <f>_xlfn.XLOOKUP(G717,products!A:A,products!C:C)</f>
        <v>L</v>
      </c>
      <c r="O717">
        <f>_xlfn.XLOOKUP(G717,products!A:A,products!D:D)</f>
        <v>1</v>
      </c>
      <c r="P717">
        <f>_xlfn.XLOOKUP(G717,products!A:A,products!E:E)</f>
        <v>14.85</v>
      </c>
      <c r="Q717">
        <f t="shared" si="47"/>
        <v>89.1</v>
      </c>
      <c r="R717" t="str" cm="1">
        <f t="array" ref="R717">_xlfn.IFS(Q717&lt;=50,"low sales",Q717&lt;=100,"medium sales",Q717&gt;100,"High sales")</f>
        <v>medium sales</v>
      </c>
    </row>
    <row r="718" spans="1:18" x14ac:dyDescent="0.35">
      <c r="A718" s="2" t="s">
        <v>4533</v>
      </c>
      <c r="B718" s="3">
        <v>44612</v>
      </c>
      <c r="C718" s="3" t="str">
        <f t="shared" si="44"/>
        <v>Sunday</v>
      </c>
      <c r="D718" s="3" t="str">
        <f t="shared" si="45"/>
        <v>February</v>
      </c>
      <c r="E718" s="3" t="str">
        <f t="shared" si="46"/>
        <v>2022</v>
      </c>
      <c r="F718" s="2" t="s">
        <v>4434</v>
      </c>
      <c r="G718" t="s">
        <v>6179</v>
      </c>
      <c r="H718" s="2">
        <v>3</v>
      </c>
      <c r="I718" s="2" t="str">
        <f>_xlfn.XLOOKUP(F718,customers!A:A,customers!B:B)</f>
        <v>Jimmy Dymoke</v>
      </c>
      <c r="J718" s="2" t="str">
        <f>_xlfn.XLOOKUP(F718,customers!A:A,customers!C:C)</f>
        <v>jdymokeje@prnewswire.com</v>
      </c>
      <c r="K718" s="2" t="str">
        <f>_xlfn.XLOOKUP(F718,customers!A:A,customers!F:F)</f>
        <v>Beaumont</v>
      </c>
      <c r="L718" s="2" t="str">
        <f>_xlfn.XLOOKUP(F718,customers!A:A,customers!G:G)</f>
        <v>Ireland</v>
      </c>
      <c r="M718" t="str">
        <f>_xlfn.XLOOKUP(G718,products!A:A,products!B:B)</f>
        <v>Rob</v>
      </c>
      <c r="N718" t="str">
        <f>_xlfn.XLOOKUP(G718,products!A:A,products!C:C)</f>
        <v>L</v>
      </c>
      <c r="O718">
        <f>_xlfn.XLOOKUP(G718,products!A:A,products!D:D)</f>
        <v>1</v>
      </c>
      <c r="P718">
        <f>_xlfn.XLOOKUP(G718,products!A:A,products!E:E)</f>
        <v>11.95</v>
      </c>
      <c r="Q718">
        <f t="shared" si="47"/>
        <v>35.849999999999994</v>
      </c>
      <c r="R718" t="str" cm="1">
        <f t="array" ref="R718">_xlfn.IFS(Q718&lt;=50,"low sales",Q718&lt;=100,"medium sales",Q718&gt;100,"High sales")</f>
        <v>low sales</v>
      </c>
    </row>
    <row r="719" spans="1:18" x14ac:dyDescent="0.35">
      <c r="A719" s="2" t="s">
        <v>4539</v>
      </c>
      <c r="B719" s="3">
        <v>43649</v>
      </c>
      <c r="C719" s="3" t="str">
        <f t="shared" si="44"/>
        <v>Wednesday</v>
      </c>
      <c r="D719" s="3" t="str">
        <f t="shared" si="45"/>
        <v>July</v>
      </c>
      <c r="E719" s="3" t="str">
        <f t="shared" si="46"/>
        <v>2019</v>
      </c>
      <c r="F719" s="2" t="s">
        <v>4540</v>
      </c>
      <c r="G719" t="s">
        <v>6168</v>
      </c>
      <c r="H719" s="2">
        <v>3</v>
      </c>
      <c r="I719" s="2" t="str">
        <f>_xlfn.XLOOKUP(F719,customers!A:A,customers!B:B)</f>
        <v>Willabella Harvison</v>
      </c>
      <c r="J719" s="2" t="str">
        <f>_xlfn.XLOOKUP(F719,customers!A:A,customers!C:C)</f>
        <v>wharvisonjx@gizmodo.com</v>
      </c>
      <c r="K719" s="2" t="str">
        <f>_xlfn.XLOOKUP(F719,customers!A:A,customers!F:F)</f>
        <v>Philadelphia</v>
      </c>
      <c r="L719" s="2" t="str">
        <f>_xlfn.XLOOKUP(F719,customers!A:A,customers!G:G)</f>
        <v>United States</v>
      </c>
      <c r="M719" t="str">
        <f>_xlfn.XLOOKUP(G719,products!A:A,products!B:B)</f>
        <v>Ara</v>
      </c>
      <c r="N719" t="str">
        <f>_xlfn.XLOOKUP(G719,products!A:A,products!C:C)</f>
        <v>D</v>
      </c>
      <c r="O719">
        <f>_xlfn.XLOOKUP(G719,products!A:A,products!D:D)</f>
        <v>2.5</v>
      </c>
      <c r="P719">
        <f>_xlfn.XLOOKUP(G719,products!A:A,products!E:E)</f>
        <v>22.884999999999998</v>
      </c>
      <c r="Q719">
        <f t="shared" si="47"/>
        <v>68.655000000000001</v>
      </c>
      <c r="R719" t="str" cm="1">
        <f t="array" ref="R719">_xlfn.IFS(Q719&lt;=50,"low sales",Q719&lt;=100,"medium sales",Q719&gt;100,"High sales")</f>
        <v>medium sales</v>
      </c>
    </row>
    <row r="720" spans="1:18" x14ac:dyDescent="0.35">
      <c r="A720" s="2" t="s">
        <v>4545</v>
      </c>
      <c r="B720" s="3">
        <v>44348</v>
      </c>
      <c r="C720" s="3" t="str">
        <f t="shared" si="44"/>
        <v>Tuesday</v>
      </c>
      <c r="D720" s="3" t="str">
        <f t="shared" si="45"/>
        <v>June</v>
      </c>
      <c r="E720" s="3" t="str">
        <f t="shared" si="46"/>
        <v>2021</v>
      </c>
      <c r="F720" s="2" t="s">
        <v>4546</v>
      </c>
      <c r="G720" t="s">
        <v>6143</v>
      </c>
      <c r="H720" s="2">
        <v>3</v>
      </c>
      <c r="I720" s="2" t="str">
        <f>_xlfn.XLOOKUP(F720,customers!A:A,customers!B:B)</f>
        <v>Darice Heaford</v>
      </c>
      <c r="J720" s="2" t="str">
        <f>_xlfn.XLOOKUP(F720,customers!A:A,customers!C:C)</f>
        <v>dheafordjy@twitpic.com</v>
      </c>
      <c r="K720" s="2" t="str">
        <f>_xlfn.XLOOKUP(F720,customers!A:A,customers!F:F)</f>
        <v>San Angelo</v>
      </c>
      <c r="L720" s="2" t="str">
        <f>_xlfn.XLOOKUP(F720,customers!A:A,customers!G:G)</f>
        <v>United States</v>
      </c>
      <c r="M720" t="str">
        <f>_xlfn.XLOOKUP(G720,products!A:A,products!B:B)</f>
        <v>Lib</v>
      </c>
      <c r="N720" t="str">
        <f>_xlfn.XLOOKUP(G720,products!A:A,products!C:C)</f>
        <v>D</v>
      </c>
      <c r="O720">
        <f>_xlfn.XLOOKUP(G720,products!A:A,products!D:D)</f>
        <v>1</v>
      </c>
      <c r="P720">
        <f>_xlfn.XLOOKUP(G720,products!A:A,products!E:E)</f>
        <v>12.95</v>
      </c>
      <c r="Q720">
        <f t="shared" si="47"/>
        <v>38.849999999999994</v>
      </c>
      <c r="R720" t="str" cm="1">
        <f t="array" ref="R720">_xlfn.IFS(Q720&lt;=50,"low sales",Q720&lt;=100,"medium sales",Q720&gt;100,"High sales")</f>
        <v>low sales</v>
      </c>
    </row>
    <row r="721" spans="1:18" x14ac:dyDescent="0.35">
      <c r="A721" s="2" t="s">
        <v>4551</v>
      </c>
      <c r="B721" s="3">
        <v>44150</v>
      </c>
      <c r="C721" s="3" t="str">
        <f t="shared" si="44"/>
        <v>Sunday</v>
      </c>
      <c r="D721" s="3" t="str">
        <f t="shared" si="45"/>
        <v>November</v>
      </c>
      <c r="E721" s="3" t="str">
        <f t="shared" si="46"/>
        <v>2020</v>
      </c>
      <c r="F721" s="2" t="s">
        <v>4552</v>
      </c>
      <c r="G721" t="s">
        <v>6170</v>
      </c>
      <c r="H721" s="2">
        <v>5</v>
      </c>
      <c r="I721" s="2" t="str">
        <f>_xlfn.XLOOKUP(F721,customers!A:A,customers!B:B)</f>
        <v>Granger Fantham</v>
      </c>
      <c r="J721" s="2" t="str">
        <f>_xlfn.XLOOKUP(F721,customers!A:A,customers!C:C)</f>
        <v>gfanthamjz@hexun.com</v>
      </c>
      <c r="K721" s="2" t="str">
        <f>_xlfn.XLOOKUP(F721,customers!A:A,customers!F:F)</f>
        <v>Los Angeles</v>
      </c>
      <c r="L721" s="2" t="str">
        <f>_xlfn.XLOOKUP(F721,customers!A:A,customers!G:G)</f>
        <v>United States</v>
      </c>
      <c r="M721" t="str">
        <f>_xlfn.XLOOKUP(G721,products!A:A,products!B:B)</f>
        <v>Lib</v>
      </c>
      <c r="N721" t="str">
        <f>_xlfn.XLOOKUP(G721,products!A:A,products!C:C)</f>
        <v>L</v>
      </c>
      <c r="O721">
        <f>_xlfn.XLOOKUP(G721,products!A:A,products!D:D)</f>
        <v>1</v>
      </c>
      <c r="P721">
        <f>_xlfn.XLOOKUP(G721,products!A:A,products!E:E)</f>
        <v>15.85</v>
      </c>
      <c r="Q721">
        <f t="shared" si="47"/>
        <v>79.25</v>
      </c>
      <c r="R721" t="str" cm="1">
        <f t="array" ref="R721">_xlfn.IFS(Q721&lt;=50,"low sales",Q721&lt;=100,"medium sales",Q721&gt;100,"High sales")</f>
        <v>medium sales</v>
      </c>
    </row>
    <row r="722" spans="1:18" x14ac:dyDescent="0.35">
      <c r="A722" s="2" t="s">
        <v>4557</v>
      </c>
      <c r="B722" s="3">
        <v>44215</v>
      </c>
      <c r="C722" s="3" t="str">
        <f t="shared" si="44"/>
        <v>Tuesday</v>
      </c>
      <c r="D722" s="3" t="str">
        <f t="shared" si="45"/>
        <v>January</v>
      </c>
      <c r="E722" s="3" t="str">
        <f t="shared" si="46"/>
        <v>2021</v>
      </c>
      <c r="F722" s="2" t="s">
        <v>4558</v>
      </c>
      <c r="G722" t="s">
        <v>6144</v>
      </c>
      <c r="H722" s="2">
        <v>5</v>
      </c>
      <c r="I722" s="2" t="str">
        <f>_xlfn.XLOOKUP(F722,customers!A:A,customers!B:B)</f>
        <v>Reynolds Crookshanks</v>
      </c>
      <c r="J722" s="2" t="str">
        <f>_xlfn.XLOOKUP(F722,customers!A:A,customers!C:C)</f>
        <v>rcrookshanksk0@unc.edu</v>
      </c>
      <c r="K722" s="2" t="str">
        <f>_xlfn.XLOOKUP(F722,customers!A:A,customers!F:F)</f>
        <v>Lansing</v>
      </c>
      <c r="L722" s="2" t="str">
        <f>_xlfn.XLOOKUP(F722,customers!A:A,customers!G:G)</f>
        <v>United States</v>
      </c>
      <c r="M722" t="str">
        <f>_xlfn.XLOOKUP(G722,products!A:A,products!B:B)</f>
        <v>Exc</v>
      </c>
      <c r="N722" t="str">
        <f>_xlfn.XLOOKUP(G722,products!A:A,products!C:C)</f>
        <v>D</v>
      </c>
      <c r="O722">
        <f>_xlfn.XLOOKUP(G722,products!A:A,products!D:D)</f>
        <v>0.5</v>
      </c>
      <c r="P722">
        <f>_xlfn.XLOOKUP(G722,products!A:A,products!E:E)</f>
        <v>7.29</v>
      </c>
      <c r="Q722">
        <f t="shared" si="47"/>
        <v>36.450000000000003</v>
      </c>
      <c r="R722" t="str" cm="1">
        <f t="array" ref="R722">_xlfn.IFS(Q722&lt;=50,"low sales",Q722&lt;=100,"medium sales",Q722&gt;100,"High sales")</f>
        <v>low sales</v>
      </c>
    </row>
    <row r="723" spans="1:18" x14ac:dyDescent="0.35">
      <c r="A723" s="2" t="s">
        <v>4563</v>
      </c>
      <c r="B723" s="3">
        <v>44479</v>
      </c>
      <c r="C723" s="3" t="str">
        <f t="shared" si="44"/>
        <v>Sunday</v>
      </c>
      <c r="D723" s="3" t="str">
        <f t="shared" si="45"/>
        <v>October</v>
      </c>
      <c r="E723" s="3" t="str">
        <f t="shared" si="46"/>
        <v>2021</v>
      </c>
      <c r="F723" s="2" t="s">
        <v>4564</v>
      </c>
      <c r="G723" t="s">
        <v>6174</v>
      </c>
      <c r="H723" s="2">
        <v>3</v>
      </c>
      <c r="I723" s="2" t="str">
        <f>_xlfn.XLOOKUP(F723,customers!A:A,customers!B:B)</f>
        <v>Niels Leake</v>
      </c>
      <c r="J723" s="2" t="str">
        <f>_xlfn.XLOOKUP(F723,customers!A:A,customers!C:C)</f>
        <v>nleakek1@cmu.edu</v>
      </c>
      <c r="K723" s="2" t="str">
        <f>_xlfn.XLOOKUP(F723,customers!A:A,customers!F:F)</f>
        <v>Clearwater</v>
      </c>
      <c r="L723" s="2" t="str">
        <f>_xlfn.XLOOKUP(F723,customers!A:A,customers!G:G)</f>
        <v>United States</v>
      </c>
      <c r="M723" t="str">
        <f>_xlfn.XLOOKUP(G723,products!A:A,products!B:B)</f>
        <v>Rob</v>
      </c>
      <c r="N723" t="str">
        <f>_xlfn.XLOOKUP(G723,products!A:A,products!C:C)</f>
        <v>M</v>
      </c>
      <c r="O723">
        <f>_xlfn.XLOOKUP(G723,products!A:A,products!D:D)</f>
        <v>0.2</v>
      </c>
      <c r="P723">
        <f>_xlfn.XLOOKUP(G723,products!A:A,products!E:E)</f>
        <v>2.9849999999999999</v>
      </c>
      <c r="Q723">
        <f t="shared" si="47"/>
        <v>8.9550000000000001</v>
      </c>
      <c r="R723" t="str" cm="1">
        <f t="array" ref="R723">_xlfn.IFS(Q723&lt;=50,"low sales",Q723&lt;=100,"medium sales",Q723&gt;100,"High sales")</f>
        <v>low sales</v>
      </c>
    </row>
    <row r="724" spans="1:18" x14ac:dyDescent="0.35">
      <c r="A724" s="2" t="s">
        <v>4569</v>
      </c>
      <c r="B724" s="3">
        <v>44620</v>
      </c>
      <c r="C724" s="3" t="str">
        <f t="shared" si="44"/>
        <v>Monday</v>
      </c>
      <c r="D724" s="3" t="str">
        <f t="shared" si="45"/>
        <v>February</v>
      </c>
      <c r="E724" s="3" t="str">
        <f t="shared" si="46"/>
        <v>2022</v>
      </c>
      <c r="F724" s="2" t="s">
        <v>4570</v>
      </c>
      <c r="G724" t="s">
        <v>6183</v>
      </c>
      <c r="H724" s="2">
        <v>2</v>
      </c>
      <c r="I724" s="2" t="str">
        <f>_xlfn.XLOOKUP(F724,customers!A:A,customers!B:B)</f>
        <v>Hetti Measures</v>
      </c>
      <c r="J724" s="2">
        <f>_xlfn.XLOOKUP(F724,customers!A:A,customers!C:C)</f>
        <v>0</v>
      </c>
      <c r="K724" s="2" t="str">
        <f>_xlfn.XLOOKUP(F724,customers!A:A,customers!F:F)</f>
        <v>Whittier</v>
      </c>
      <c r="L724" s="2" t="str">
        <f>_xlfn.XLOOKUP(F724,customers!A:A,customers!G:G)</f>
        <v>United States</v>
      </c>
      <c r="M724" t="str">
        <f>_xlfn.XLOOKUP(G724,products!A:A,products!B:B)</f>
        <v>Exc</v>
      </c>
      <c r="N724" t="str">
        <f>_xlfn.XLOOKUP(G724,products!A:A,products!C:C)</f>
        <v>D</v>
      </c>
      <c r="O724">
        <f>_xlfn.XLOOKUP(G724,products!A:A,products!D:D)</f>
        <v>1</v>
      </c>
      <c r="P724">
        <f>_xlfn.XLOOKUP(G724,products!A:A,products!E:E)</f>
        <v>12.15</v>
      </c>
      <c r="Q724">
        <f t="shared" si="47"/>
        <v>24.3</v>
      </c>
      <c r="R724" t="str" cm="1">
        <f t="array" ref="R724">_xlfn.IFS(Q724&lt;=50,"low sales",Q724&lt;=100,"medium sales",Q724&gt;100,"High sales")</f>
        <v>low sales</v>
      </c>
    </row>
    <row r="725" spans="1:18" x14ac:dyDescent="0.35">
      <c r="A725" s="2" t="s">
        <v>4574</v>
      </c>
      <c r="B725" s="3">
        <v>44470</v>
      </c>
      <c r="C725" s="3" t="str">
        <f t="shared" si="44"/>
        <v>Friday</v>
      </c>
      <c r="D725" s="3" t="str">
        <f t="shared" si="45"/>
        <v>October</v>
      </c>
      <c r="E725" s="3" t="str">
        <f t="shared" si="46"/>
        <v>2021</v>
      </c>
      <c r="F725" s="2" t="s">
        <v>4575</v>
      </c>
      <c r="G725" t="s">
        <v>6166</v>
      </c>
      <c r="H725" s="2">
        <v>2</v>
      </c>
      <c r="I725" s="2" t="str">
        <f>_xlfn.XLOOKUP(F725,customers!A:A,customers!B:B)</f>
        <v>Gay Eilhersen</v>
      </c>
      <c r="J725" s="2" t="str">
        <f>_xlfn.XLOOKUP(F725,customers!A:A,customers!C:C)</f>
        <v>geilhersenk3@networksolutions.com</v>
      </c>
      <c r="K725" s="2" t="str">
        <f>_xlfn.XLOOKUP(F725,customers!A:A,customers!F:F)</f>
        <v>Fresno</v>
      </c>
      <c r="L725" s="2" t="str">
        <f>_xlfn.XLOOKUP(F725,customers!A:A,customers!G:G)</f>
        <v>United States</v>
      </c>
      <c r="M725" t="str">
        <f>_xlfn.XLOOKUP(G725,products!A:A,products!B:B)</f>
        <v>Exc</v>
      </c>
      <c r="N725" t="str">
        <f>_xlfn.XLOOKUP(G725,products!A:A,products!C:C)</f>
        <v>M</v>
      </c>
      <c r="O725">
        <f>_xlfn.XLOOKUP(G725,products!A:A,products!D:D)</f>
        <v>2.5</v>
      </c>
      <c r="P725">
        <f>_xlfn.XLOOKUP(G725,products!A:A,products!E:E)</f>
        <v>31.624999999999996</v>
      </c>
      <c r="Q725">
        <f t="shared" si="47"/>
        <v>63.249999999999993</v>
      </c>
      <c r="R725" t="str" cm="1">
        <f t="array" ref="R725">_xlfn.IFS(Q725&lt;=50,"low sales",Q725&lt;=100,"medium sales",Q725&gt;100,"High sales")</f>
        <v>medium sales</v>
      </c>
    </row>
    <row r="726" spans="1:18" x14ac:dyDescent="0.35">
      <c r="A726" s="2" t="s">
        <v>4580</v>
      </c>
      <c r="B726" s="3">
        <v>44076</v>
      </c>
      <c r="C726" s="3" t="str">
        <f t="shared" si="44"/>
        <v>Wednesday</v>
      </c>
      <c r="D726" s="3" t="str">
        <f t="shared" si="45"/>
        <v>September</v>
      </c>
      <c r="E726" s="3" t="str">
        <f t="shared" si="46"/>
        <v>2020</v>
      </c>
      <c r="F726" s="2" t="s">
        <v>4581</v>
      </c>
      <c r="G726" t="s">
        <v>6152</v>
      </c>
      <c r="H726" s="2">
        <v>2</v>
      </c>
      <c r="I726" s="2" t="str">
        <f>_xlfn.XLOOKUP(F726,customers!A:A,customers!B:B)</f>
        <v>Nico Hubert</v>
      </c>
      <c r="J726" s="2">
        <f>_xlfn.XLOOKUP(F726,customers!A:A,customers!C:C)</f>
        <v>0</v>
      </c>
      <c r="K726" s="2" t="str">
        <f>_xlfn.XLOOKUP(F726,customers!A:A,customers!F:F)</f>
        <v>New York City</v>
      </c>
      <c r="L726" s="2" t="str">
        <f>_xlfn.XLOOKUP(F726,customers!A:A,customers!G:G)</f>
        <v>United States</v>
      </c>
      <c r="M726" t="str">
        <f>_xlfn.XLOOKUP(G726,products!A:A,products!B:B)</f>
        <v>Ara</v>
      </c>
      <c r="N726" t="str">
        <f>_xlfn.XLOOKUP(G726,products!A:A,products!C:C)</f>
        <v>M</v>
      </c>
      <c r="O726">
        <f>_xlfn.XLOOKUP(G726,products!A:A,products!D:D)</f>
        <v>0.2</v>
      </c>
      <c r="P726">
        <f>_xlfn.XLOOKUP(G726,products!A:A,products!E:E)</f>
        <v>3.375</v>
      </c>
      <c r="Q726">
        <f t="shared" si="47"/>
        <v>6.75</v>
      </c>
      <c r="R726" t="str" cm="1">
        <f t="array" ref="R726">_xlfn.IFS(Q726&lt;=50,"low sales",Q726&lt;=100,"medium sales",Q726&gt;100,"High sales")</f>
        <v>low sales</v>
      </c>
    </row>
    <row r="727" spans="1:18" x14ac:dyDescent="0.35">
      <c r="A727" s="2" t="s">
        <v>4585</v>
      </c>
      <c r="B727" s="3">
        <v>44043</v>
      </c>
      <c r="C727" s="3" t="str">
        <f t="shared" si="44"/>
        <v>Friday</v>
      </c>
      <c r="D727" s="3" t="str">
        <f t="shared" si="45"/>
        <v>July</v>
      </c>
      <c r="E727" s="3" t="str">
        <f t="shared" si="46"/>
        <v>2020</v>
      </c>
      <c r="F727" s="2" t="s">
        <v>4586</v>
      </c>
      <c r="G727" t="s">
        <v>6167</v>
      </c>
      <c r="H727" s="2">
        <v>6</v>
      </c>
      <c r="I727" s="2" t="str">
        <f>_xlfn.XLOOKUP(F727,customers!A:A,customers!B:B)</f>
        <v>Cristina Aleixo</v>
      </c>
      <c r="J727" s="2" t="str">
        <f>_xlfn.XLOOKUP(F727,customers!A:A,customers!C:C)</f>
        <v>caleixok5@globo.com</v>
      </c>
      <c r="K727" s="2" t="str">
        <f>_xlfn.XLOOKUP(F727,customers!A:A,customers!F:F)</f>
        <v>Colorado Springs</v>
      </c>
      <c r="L727" s="2" t="str">
        <f>_xlfn.XLOOKUP(F727,customers!A:A,customers!G:G)</f>
        <v>United States</v>
      </c>
      <c r="M727" t="str">
        <f>_xlfn.XLOOKUP(G727,products!A:A,products!B:B)</f>
        <v>Ara</v>
      </c>
      <c r="N727" t="str">
        <f>_xlfn.XLOOKUP(G727,products!A:A,products!C:C)</f>
        <v>L</v>
      </c>
      <c r="O727">
        <f>_xlfn.XLOOKUP(G727,products!A:A,products!D:D)</f>
        <v>0.2</v>
      </c>
      <c r="P727">
        <f>_xlfn.XLOOKUP(G727,products!A:A,products!E:E)</f>
        <v>3.8849999999999998</v>
      </c>
      <c r="Q727">
        <f t="shared" si="47"/>
        <v>23.31</v>
      </c>
      <c r="R727" t="str" cm="1">
        <f t="array" ref="R727">_xlfn.IFS(Q727&lt;=50,"low sales",Q727&lt;=100,"medium sales",Q727&gt;100,"High sales")</f>
        <v>low sales</v>
      </c>
    </row>
    <row r="728" spans="1:18" x14ac:dyDescent="0.35">
      <c r="A728" s="2" t="s">
        <v>4591</v>
      </c>
      <c r="B728" s="3">
        <v>44571</v>
      </c>
      <c r="C728" s="3" t="str">
        <f t="shared" si="44"/>
        <v>Monday</v>
      </c>
      <c r="D728" s="3" t="str">
        <f t="shared" si="45"/>
        <v>January</v>
      </c>
      <c r="E728" s="3" t="str">
        <f t="shared" si="46"/>
        <v>2022</v>
      </c>
      <c r="F728" s="2" t="s">
        <v>4592</v>
      </c>
      <c r="G728" t="s">
        <v>6164</v>
      </c>
      <c r="H728" s="2">
        <v>4</v>
      </c>
      <c r="I728" s="2" t="str">
        <f>_xlfn.XLOOKUP(F728,customers!A:A,customers!B:B)</f>
        <v>Derrek Allpress</v>
      </c>
      <c r="J728" s="2">
        <f>_xlfn.XLOOKUP(F728,customers!A:A,customers!C:C)</f>
        <v>0</v>
      </c>
      <c r="K728" s="2" t="str">
        <f>_xlfn.XLOOKUP(F728,customers!A:A,customers!F:F)</f>
        <v>Long Beach</v>
      </c>
      <c r="L728" s="2" t="str">
        <f>_xlfn.XLOOKUP(F728,customers!A:A,customers!G:G)</f>
        <v>United States</v>
      </c>
      <c r="M728" t="str">
        <f>_xlfn.XLOOKUP(G728,products!A:A,products!B:B)</f>
        <v>Lib</v>
      </c>
      <c r="N728" t="str">
        <f>_xlfn.XLOOKUP(G728,products!A:A,products!C:C)</f>
        <v>L</v>
      </c>
      <c r="O728">
        <f>_xlfn.XLOOKUP(G728,products!A:A,products!D:D)</f>
        <v>2.5</v>
      </c>
      <c r="P728">
        <f>_xlfn.XLOOKUP(G728,products!A:A,products!E:E)</f>
        <v>36.454999999999998</v>
      </c>
      <c r="Q728">
        <f t="shared" si="47"/>
        <v>145.82</v>
      </c>
      <c r="R728" t="str" cm="1">
        <f t="array" ref="R728">_xlfn.IFS(Q728&lt;=50,"low sales",Q728&lt;=100,"medium sales",Q728&gt;100,"High sales")</f>
        <v>High sales</v>
      </c>
    </row>
    <row r="729" spans="1:18" x14ac:dyDescent="0.35">
      <c r="A729" s="2" t="s">
        <v>4596</v>
      </c>
      <c r="B729" s="3">
        <v>44264</v>
      </c>
      <c r="C729" s="3" t="str">
        <f t="shared" si="44"/>
        <v>Tuesday</v>
      </c>
      <c r="D729" s="3" t="str">
        <f t="shared" si="45"/>
        <v>March</v>
      </c>
      <c r="E729" s="3" t="str">
        <f t="shared" si="46"/>
        <v>2021</v>
      </c>
      <c r="F729" s="2" t="s">
        <v>4597</v>
      </c>
      <c r="G729" t="s">
        <v>6146</v>
      </c>
      <c r="H729" s="2">
        <v>5</v>
      </c>
      <c r="I729" s="2" t="str">
        <f>_xlfn.XLOOKUP(F729,customers!A:A,customers!B:B)</f>
        <v>Rikki Tomkowicz</v>
      </c>
      <c r="J729" s="2" t="str">
        <f>_xlfn.XLOOKUP(F729,customers!A:A,customers!C:C)</f>
        <v>rtomkowiczk7@bravesites.com</v>
      </c>
      <c r="K729" s="2" t="str">
        <f>_xlfn.XLOOKUP(F729,customers!A:A,customers!F:F)</f>
        <v>Lusk</v>
      </c>
      <c r="L729" s="2" t="str">
        <f>_xlfn.XLOOKUP(F729,customers!A:A,customers!G:G)</f>
        <v>Ireland</v>
      </c>
      <c r="M729" t="str">
        <f>_xlfn.XLOOKUP(G729,products!A:A,products!B:B)</f>
        <v>Rob</v>
      </c>
      <c r="N729" t="str">
        <f>_xlfn.XLOOKUP(G729,products!A:A,products!C:C)</f>
        <v>M</v>
      </c>
      <c r="O729">
        <f>_xlfn.XLOOKUP(G729,products!A:A,products!D:D)</f>
        <v>0.5</v>
      </c>
      <c r="P729">
        <f>_xlfn.XLOOKUP(G729,products!A:A,products!E:E)</f>
        <v>5.97</v>
      </c>
      <c r="Q729">
        <f t="shared" si="47"/>
        <v>29.849999999999998</v>
      </c>
      <c r="R729" t="str" cm="1">
        <f t="array" ref="R729">_xlfn.IFS(Q729&lt;=50,"low sales",Q729&lt;=100,"medium sales",Q729&gt;100,"High sales")</f>
        <v>low sales</v>
      </c>
    </row>
    <row r="730" spans="1:18" x14ac:dyDescent="0.35">
      <c r="A730" s="2" t="s">
        <v>4602</v>
      </c>
      <c r="B730" s="3">
        <v>44155</v>
      </c>
      <c r="C730" s="3" t="str">
        <f t="shared" si="44"/>
        <v>Friday</v>
      </c>
      <c r="D730" s="3" t="str">
        <f t="shared" si="45"/>
        <v>November</v>
      </c>
      <c r="E730" s="3" t="str">
        <f t="shared" si="46"/>
        <v>2020</v>
      </c>
      <c r="F730" s="2" t="s">
        <v>4603</v>
      </c>
      <c r="G730" t="s">
        <v>6144</v>
      </c>
      <c r="H730" s="2">
        <v>3</v>
      </c>
      <c r="I730" s="2" t="str">
        <f>_xlfn.XLOOKUP(F730,customers!A:A,customers!B:B)</f>
        <v>Rochette Huscroft</v>
      </c>
      <c r="J730" s="2" t="str">
        <f>_xlfn.XLOOKUP(F730,customers!A:A,customers!C:C)</f>
        <v>rhuscroftk8@jimdo.com</v>
      </c>
      <c r="K730" s="2" t="str">
        <f>_xlfn.XLOOKUP(F730,customers!A:A,customers!F:F)</f>
        <v>Reno</v>
      </c>
      <c r="L730" s="2" t="str">
        <f>_xlfn.XLOOKUP(F730,customers!A:A,customers!G:G)</f>
        <v>United States</v>
      </c>
      <c r="M730" t="str">
        <f>_xlfn.XLOOKUP(G730,products!A:A,products!B:B)</f>
        <v>Exc</v>
      </c>
      <c r="N730" t="str">
        <f>_xlfn.XLOOKUP(G730,products!A:A,products!C:C)</f>
        <v>D</v>
      </c>
      <c r="O730">
        <f>_xlfn.XLOOKUP(G730,products!A:A,products!D:D)</f>
        <v>0.5</v>
      </c>
      <c r="P730">
        <f>_xlfn.XLOOKUP(G730,products!A:A,products!E:E)</f>
        <v>7.29</v>
      </c>
      <c r="Q730">
        <f t="shared" si="47"/>
        <v>21.87</v>
      </c>
      <c r="R730" t="str" cm="1">
        <f t="array" ref="R730">_xlfn.IFS(Q730&lt;=50,"low sales",Q730&lt;=100,"medium sales",Q730&gt;100,"High sales")</f>
        <v>low sales</v>
      </c>
    </row>
    <row r="731" spans="1:18" x14ac:dyDescent="0.35">
      <c r="A731" s="2" t="s">
        <v>4608</v>
      </c>
      <c r="B731" s="3">
        <v>44634</v>
      </c>
      <c r="C731" s="3" t="str">
        <f t="shared" si="44"/>
        <v>Monday</v>
      </c>
      <c r="D731" s="3" t="str">
        <f t="shared" si="45"/>
        <v>March</v>
      </c>
      <c r="E731" s="3" t="str">
        <f t="shared" si="46"/>
        <v>2022</v>
      </c>
      <c r="F731" s="2" t="s">
        <v>4609</v>
      </c>
      <c r="G731" t="s">
        <v>6159</v>
      </c>
      <c r="H731" s="2">
        <v>1</v>
      </c>
      <c r="I731" s="2" t="str">
        <f>_xlfn.XLOOKUP(F731,customers!A:A,customers!B:B)</f>
        <v>Selle Scurrer</v>
      </c>
      <c r="J731" s="2" t="str">
        <f>_xlfn.XLOOKUP(F731,customers!A:A,customers!C:C)</f>
        <v>sscurrerk9@flavors.me</v>
      </c>
      <c r="K731" s="2" t="str">
        <f>_xlfn.XLOOKUP(F731,customers!A:A,customers!F:F)</f>
        <v>Upton</v>
      </c>
      <c r="L731" s="2" t="str">
        <f>_xlfn.XLOOKUP(F731,customers!A:A,customers!G:G)</f>
        <v>United Kingdom</v>
      </c>
      <c r="M731" t="str">
        <f>_xlfn.XLOOKUP(G731,products!A:A,products!B:B)</f>
        <v>Lib</v>
      </c>
      <c r="N731" t="str">
        <f>_xlfn.XLOOKUP(G731,products!A:A,products!C:C)</f>
        <v>M</v>
      </c>
      <c r="O731">
        <f>_xlfn.XLOOKUP(G731,products!A:A,products!D:D)</f>
        <v>0.2</v>
      </c>
      <c r="P731">
        <f>_xlfn.XLOOKUP(G731,products!A:A,products!E:E)</f>
        <v>4.3650000000000002</v>
      </c>
      <c r="Q731">
        <f t="shared" si="47"/>
        <v>4.3650000000000002</v>
      </c>
      <c r="R731" t="str" cm="1">
        <f t="array" ref="R731">_xlfn.IFS(Q731&lt;=50,"low sales",Q731&lt;=100,"medium sales",Q731&gt;100,"High sales")</f>
        <v>low sales</v>
      </c>
    </row>
    <row r="732" spans="1:18" x14ac:dyDescent="0.35">
      <c r="A732" s="2" t="s">
        <v>4614</v>
      </c>
      <c r="B732" s="3">
        <v>43475</v>
      </c>
      <c r="C732" s="3" t="str">
        <f t="shared" si="44"/>
        <v>Thursday</v>
      </c>
      <c r="D732" s="3" t="str">
        <f t="shared" si="45"/>
        <v>January</v>
      </c>
      <c r="E732" s="3" t="str">
        <f t="shared" si="46"/>
        <v>2019</v>
      </c>
      <c r="F732" s="2" t="s">
        <v>4615</v>
      </c>
      <c r="G732" t="s">
        <v>6164</v>
      </c>
      <c r="H732" s="2">
        <v>1</v>
      </c>
      <c r="I732" s="2" t="str">
        <f>_xlfn.XLOOKUP(F732,customers!A:A,customers!B:B)</f>
        <v>Andie Rudram</v>
      </c>
      <c r="J732" s="2" t="str">
        <f>_xlfn.XLOOKUP(F732,customers!A:A,customers!C:C)</f>
        <v>arudramka@prnewswire.com</v>
      </c>
      <c r="K732" s="2" t="str">
        <f>_xlfn.XLOOKUP(F732,customers!A:A,customers!F:F)</f>
        <v>Las Vegas</v>
      </c>
      <c r="L732" s="2" t="str">
        <f>_xlfn.XLOOKUP(F732,customers!A:A,customers!G:G)</f>
        <v>United States</v>
      </c>
      <c r="M732" t="str">
        <f>_xlfn.XLOOKUP(G732,products!A:A,products!B:B)</f>
        <v>Lib</v>
      </c>
      <c r="N732" t="str">
        <f>_xlfn.XLOOKUP(G732,products!A:A,products!C:C)</f>
        <v>L</v>
      </c>
      <c r="O732">
        <f>_xlfn.XLOOKUP(G732,products!A:A,products!D:D)</f>
        <v>2.5</v>
      </c>
      <c r="P732">
        <f>_xlfn.XLOOKUP(G732,products!A:A,products!E:E)</f>
        <v>36.454999999999998</v>
      </c>
      <c r="Q732">
        <f t="shared" si="47"/>
        <v>36.454999999999998</v>
      </c>
      <c r="R732" t="str" cm="1">
        <f t="array" ref="R732">_xlfn.IFS(Q732&lt;=50,"low sales",Q732&lt;=100,"medium sales",Q732&gt;100,"High sales")</f>
        <v>low sales</v>
      </c>
    </row>
    <row r="733" spans="1:18" x14ac:dyDescent="0.35">
      <c r="A733" s="2" t="s">
        <v>4620</v>
      </c>
      <c r="B733" s="3">
        <v>44222</v>
      </c>
      <c r="C733" s="3" t="str">
        <f t="shared" si="44"/>
        <v>Tuesday</v>
      </c>
      <c r="D733" s="3" t="str">
        <f t="shared" si="45"/>
        <v>January</v>
      </c>
      <c r="E733" s="3" t="str">
        <f t="shared" si="46"/>
        <v>2021</v>
      </c>
      <c r="F733" s="2" t="s">
        <v>4621</v>
      </c>
      <c r="G733" t="s">
        <v>6150</v>
      </c>
      <c r="H733" s="2">
        <v>4</v>
      </c>
      <c r="I733" s="2" t="str">
        <f>_xlfn.XLOOKUP(F733,customers!A:A,customers!B:B)</f>
        <v>Leta Clarricoates</v>
      </c>
      <c r="J733" s="2">
        <f>_xlfn.XLOOKUP(F733,customers!A:A,customers!C:C)</f>
        <v>0</v>
      </c>
      <c r="K733" s="2" t="str">
        <f>_xlfn.XLOOKUP(F733,customers!A:A,customers!F:F)</f>
        <v>Wilmington</v>
      </c>
      <c r="L733" s="2" t="str">
        <f>_xlfn.XLOOKUP(F733,customers!A:A,customers!G:G)</f>
        <v>United States</v>
      </c>
      <c r="M733" t="str">
        <f>_xlfn.XLOOKUP(G733,products!A:A,products!B:B)</f>
        <v>Lib</v>
      </c>
      <c r="N733" t="str">
        <f>_xlfn.XLOOKUP(G733,products!A:A,products!C:C)</f>
        <v>D</v>
      </c>
      <c r="O733">
        <f>_xlfn.XLOOKUP(G733,products!A:A,products!D:D)</f>
        <v>0.2</v>
      </c>
      <c r="P733">
        <f>_xlfn.XLOOKUP(G733,products!A:A,products!E:E)</f>
        <v>3.8849999999999998</v>
      </c>
      <c r="Q733">
        <f t="shared" si="47"/>
        <v>15.54</v>
      </c>
      <c r="R733" t="str" cm="1">
        <f t="array" ref="R733">_xlfn.IFS(Q733&lt;=50,"low sales",Q733&lt;=100,"medium sales",Q733&gt;100,"High sales")</f>
        <v>low sales</v>
      </c>
    </row>
    <row r="734" spans="1:18" x14ac:dyDescent="0.35">
      <c r="A734" s="2" t="s">
        <v>4625</v>
      </c>
      <c r="B734" s="3">
        <v>44312</v>
      </c>
      <c r="C734" s="3" t="str">
        <f t="shared" si="44"/>
        <v>Monday</v>
      </c>
      <c r="D734" s="3" t="str">
        <f t="shared" si="45"/>
        <v>April</v>
      </c>
      <c r="E734" s="3" t="str">
        <f t="shared" si="46"/>
        <v>2021</v>
      </c>
      <c r="F734" s="2" t="s">
        <v>4626</v>
      </c>
      <c r="G734" t="s">
        <v>6184</v>
      </c>
      <c r="H734" s="2">
        <v>2</v>
      </c>
      <c r="I734" s="2" t="str">
        <f>_xlfn.XLOOKUP(F734,customers!A:A,customers!B:B)</f>
        <v>Jacquelyn Maha</v>
      </c>
      <c r="J734" s="2" t="str">
        <f>_xlfn.XLOOKUP(F734,customers!A:A,customers!C:C)</f>
        <v>jmahakc@cyberchimps.com</v>
      </c>
      <c r="K734" s="2" t="str">
        <f>_xlfn.XLOOKUP(F734,customers!A:A,customers!F:F)</f>
        <v>Reno</v>
      </c>
      <c r="L734" s="2" t="str">
        <f>_xlfn.XLOOKUP(F734,customers!A:A,customers!G:G)</f>
        <v>United States</v>
      </c>
      <c r="M734" t="str">
        <f>_xlfn.XLOOKUP(G734,products!A:A,products!B:B)</f>
        <v>Exc</v>
      </c>
      <c r="N734" t="str">
        <f>_xlfn.XLOOKUP(G734,products!A:A,products!C:C)</f>
        <v>L</v>
      </c>
      <c r="O734">
        <f>_xlfn.XLOOKUP(G734,products!A:A,products!D:D)</f>
        <v>0.2</v>
      </c>
      <c r="P734">
        <f>_xlfn.XLOOKUP(G734,products!A:A,products!E:E)</f>
        <v>4.4550000000000001</v>
      </c>
      <c r="Q734">
        <f t="shared" si="47"/>
        <v>8.91</v>
      </c>
      <c r="R734" t="str" cm="1">
        <f t="array" ref="R734">_xlfn.IFS(Q734&lt;=50,"low sales",Q734&lt;=100,"medium sales",Q734&gt;100,"High sales")</f>
        <v>low sales</v>
      </c>
    </row>
    <row r="735" spans="1:18" x14ac:dyDescent="0.35">
      <c r="A735" s="2" t="s">
        <v>4631</v>
      </c>
      <c r="B735" s="3">
        <v>44565</v>
      </c>
      <c r="C735" s="3" t="str">
        <f t="shared" si="44"/>
        <v>Tuesday</v>
      </c>
      <c r="D735" s="3" t="str">
        <f t="shared" si="45"/>
        <v>January</v>
      </c>
      <c r="E735" s="3" t="str">
        <f t="shared" si="46"/>
        <v>2022</v>
      </c>
      <c r="F735" s="2" t="s">
        <v>4632</v>
      </c>
      <c r="G735" t="s">
        <v>6181</v>
      </c>
      <c r="H735" s="2">
        <v>3</v>
      </c>
      <c r="I735" s="2" t="str">
        <f>_xlfn.XLOOKUP(F735,customers!A:A,customers!B:B)</f>
        <v>Glory Clemon</v>
      </c>
      <c r="J735" s="2" t="str">
        <f>_xlfn.XLOOKUP(F735,customers!A:A,customers!C:C)</f>
        <v>gclemonkd@networksolutions.com</v>
      </c>
      <c r="K735" s="2" t="str">
        <f>_xlfn.XLOOKUP(F735,customers!A:A,customers!F:F)</f>
        <v>Tuscaloosa</v>
      </c>
      <c r="L735" s="2" t="str">
        <f>_xlfn.XLOOKUP(F735,customers!A:A,customers!G:G)</f>
        <v>United States</v>
      </c>
      <c r="M735" t="str">
        <f>_xlfn.XLOOKUP(G735,products!A:A,products!B:B)</f>
        <v>Lib</v>
      </c>
      <c r="N735" t="str">
        <f>_xlfn.XLOOKUP(G735,products!A:A,products!C:C)</f>
        <v>M</v>
      </c>
      <c r="O735">
        <f>_xlfn.XLOOKUP(G735,products!A:A,products!D:D)</f>
        <v>2.5</v>
      </c>
      <c r="P735">
        <f>_xlfn.XLOOKUP(G735,products!A:A,products!E:E)</f>
        <v>33.464999999999996</v>
      </c>
      <c r="Q735">
        <f t="shared" si="47"/>
        <v>100.39499999999998</v>
      </c>
      <c r="R735" t="str" cm="1">
        <f t="array" ref="R735">_xlfn.IFS(Q735&lt;=50,"low sales",Q735&lt;=100,"medium sales",Q735&gt;100,"High sales")</f>
        <v>High sales</v>
      </c>
    </row>
    <row r="736" spans="1:18" x14ac:dyDescent="0.35">
      <c r="A736" s="2" t="s">
        <v>4637</v>
      </c>
      <c r="B736" s="3">
        <v>43697</v>
      </c>
      <c r="C736" s="3" t="str">
        <f t="shared" si="44"/>
        <v>Tuesday</v>
      </c>
      <c r="D736" s="3" t="str">
        <f t="shared" si="45"/>
        <v>August</v>
      </c>
      <c r="E736" s="3" t="str">
        <f t="shared" si="46"/>
        <v>2019</v>
      </c>
      <c r="F736" s="2" t="s">
        <v>4638</v>
      </c>
      <c r="G736" t="s">
        <v>6163</v>
      </c>
      <c r="H736" s="2">
        <v>5</v>
      </c>
      <c r="I736" s="2" t="str">
        <f>_xlfn.XLOOKUP(F736,customers!A:A,customers!B:B)</f>
        <v>Alica Kift</v>
      </c>
      <c r="J736" s="2">
        <f>_xlfn.XLOOKUP(F736,customers!A:A,customers!C:C)</f>
        <v>0</v>
      </c>
      <c r="K736" s="2" t="str">
        <f>_xlfn.XLOOKUP(F736,customers!A:A,customers!F:F)</f>
        <v>Garden Grove</v>
      </c>
      <c r="L736" s="2" t="str">
        <f>_xlfn.XLOOKUP(F736,customers!A:A,customers!G:G)</f>
        <v>United States</v>
      </c>
      <c r="M736" t="str">
        <f>_xlfn.XLOOKUP(G736,products!A:A,products!B:B)</f>
        <v>Rob</v>
      </c>
      <c r="N736" t="str">
        <f>_xlfn.XLOOKUP(G736,products!A:A,products!C:C)</f>
        <v>D</v>
      </c>
      <c r="O736">
        <f>_xlfn.XLOOKUP(G736,products!A:A,products!D:D)</f>
        <v>0.2</v>
      </c>
      <c r="P736">
        <f>_xlfn.XLOOKUP(G736,products!A:A,products!E:E)</f>
        <v>2.6849999999999996</v>
      </c>
      <c r="Q736">
        <f t="shared" si="47"/>
        <v>13.424999999999997</v>
      </c>
      <c r="R736" t="str" cm="1">
        <f t="array" ref="R736">_xlfn.IFS(Q736&lt;=50,"low sales",Q736&lt;=100,"medium sales",Q736&gt;100,"High sales")</f>
        <v>low sales</v>
      </c>
    </row>
    <row r="737" spans="1:18" x14ac:dyDescent="0.35">
      <c r="A737" s="2" t="s">
        <v>4642</v>
      </c>
      <c r="B737" s="3">
        <v>44757</v>
      </c>
      <c r="C737" s="3" t="str">
        <f t="shared" si="44"/>
        <v>Friday</v>
      </c>
      <c r="D737" s="3" t="str">
        <f t="shared" si="45"/>
        <v>July</v>
      </c>
      <c r="E737" s="3" t="str">
        <f t="shared" si="46"/>
        <v>2022</v>
      </c>
      <c r="F737" s="2" t="s">
        <v>4643</v>
      </c>
      <c r="G737" t="s">
        <v>6153</v>
      </c>
      <c r="H737" s="2">
        <v>6</v>
      </c>
      <c r="I737" s="2" t="str">
        <f>_xlfn.XLOOKUP(F737,customers!A:A,customers!B:B)</f>
        <v>Babb Pollins</v>
      </c>
      <c r="J737" s="2" t="str">
        <f>_xlfn.XLOOKUP(F737,customers!A:A,customers!C:C)</f>
        <v>bpollinskf@shinystat.com</v>
      </c>
      <c r="K737" s="2" t="str">
        <f>_xlfn.XLOOKUP(F737,customers!A:A,customers!F:F)</f>
        <v>Shawnee Mission</v>
      </c>
      <c r="L737" s="2" t="str">
        <f>_xlfn.XLOOKUP(F737,customers!A:A,customers!G:G)</f>
        <v>United States</v>
      </c>
      <c r="M737" t="str">
        <f>_xlfn.XLOOKUP(G737,products!A:A,products!B:B)</f>
        <v>Exc</v>
      </c>
      <c r="N737" t="str">
        <f>_xlfn.XLOOKUP(G737,products!A:A,products!C:C)</f>
        <v>D</v>
      </c>
      <c r="O737">
        <f>_xlfn.XLOOKUP(G737,products!A:A,products!D:D)</f>
        <v>0.2</v>
      </c>
      <c r="P737">
        <f>_xlfn.XLOOKUP(G737,products!A:A,products!E:E)</f>
        <v>3.645</v>
      </c>
      <c r="Q737">
        <f t="shared" si="47"/>
        <v>21.87</v>
      </c>
      <c r="R737" t="str" cm="1">
        <f t="array" ref="R737">_xlfn.IFS(Q737&lt;=50,"low sales",Q737&lt;=100,"medium sales",Q737&gt;100,"High sales")</f>
        <v>low sales</v>
      </c>
    </row>
    <row r="738" spans="1:18" x14ac:dyDescent="0.35">
      <c r="A738" s="2" t="s">
        <v>4647</v>
      </c>
      <c r="B738" s="3">
        <v>43508</v>
      </c>
      <c r="C738" s="3" t="str">
        <f t="shared" si="44"/>
        <v>Tuesday</v>
      </c>
      <c r="D738" s="3" t="str">
        <f t="shared" si="45"/>
        <v>February</v>
      </c>
      <c r="E738" s="3" t="str">
        <f t="shared" si="46"/>
        <v>2019</v>
      </c>
      <c r="F738" s="2" t="s">
        <v>4648</v>
      </c>
      <c r="G738" t="s">
        <v>6143</v>
      </c>
      <c r="H738" s="2">
        <v>2</v>
      </c>
      <c r="I738" s="2" t="str">
        <f>_xlfn.XLOOKUP(F738,customers!A:A,customers!B:B)</f>
        <v>Jarret Toye</v>
      </c>
      <c r="J738" s="2" t="str">
        <f>_xlfn.XLOOKUP(F738,customers!A:A,customers!C:C)</f>
        <v>jtoyekg@pinterest.com</v>
      </c>
      <c r="K738" s="2" t="str">
        <f>_xlfn.XLOOKUP(F738,customers!A:A,customers!F:F)</f>
        <v>Ballivor</v>
      </c>
      <c r="L738" s="2" t="str">
        <f>_xlfn.XLOOKUP(F738,customers!A:A,customers!G:G)</f>
        <v>Ireland</v>
      </c>
      <c r="M738" t="str">
        <f>_xlfn.XLOOKUP(G738,products!A:A,products!B:B)</f>
        <v>Lib</v>
      </c>
      <c r="N738" t="str">
        <f>_xlfn.XLOOKUP(G738,products!A:A,products!C:C)</f>
        <v>D</v>
      </c>
      <c r="O738">
        <f>_xlfn.XLOOKUP(G738,products!A:A,products!D:D)</f>
        <v>1</v>
      </c>
      <c r="P738">
        <f>_xlfn.XLOOKUP(G738,products!A:A,products!E:E)</f>
        <v>12.95</v>
      </c>
      <c r="Q738">
        <f t="shared" si="47"/>
        <v>25.9</v>
      </c>
      <c r="R738" t="str" cm="1">
        <f t="array" ref="R738">_xlfn.IFS(Q738&lt;=50,"low sales",Q738&lt;=100,"medium sales",Q738&gt;100,"High sales")</f>
        <v>low sales</v>
      </c>
    </row>
    <row r="739" spans="1:18" x14ac:dyDescent="0.35">
      <c r="A739" s="2" t="s">
        <v>4653</v>
      </c>
      <c r="B739" s="3">
        <v>44447</v>
      </c>
      <c r="C739" s="3" t="str">
        <f t="shared" si="44"/>
        <v>Wednesday</v>
      </c>
      <c r="D739" s="3" t="str">
        <f t="shared" si="45"/>
        <v>September</v>
      </c>
      <c r="E739" s="3" t="str">
        <f t="shared" si="46"/>
        <v>2021</v>
      </c>
      <c r="F739" s="2" t="s">
        <v>4654</v>
      </c>
      <c r="G739" t="s">
        <v>6155</v>
      </c>
      <c r="H739" s="2">
        <v>5</v>
      </c>
      <c r="I739" s="2" t="str">
        <f>_xlfn.XLOOKUP(F739,customers!A:A,customers!B:B)</f>
        <v>Carlie Linskill</v>
      </c>
      <c r="J739" s="2" t="str">
        <f>_xlfn.XLOOKUP(F739,customers!A:A,customers!C:C)</f>
        <v>clinskillkh@sphinn.com</v>
      </c>
      <c r="K739" s="2" t="str">
        <f>_xlfn.XLOOKUP(F739,customers!A:A,customers!F:F)</f>
        <v>Cincinnati</v>
      </c>
      <c r="L739" s="2" t="str">
        <f>_xlfn.XLOOKUP(F739,customers!A:A,customers!G:G)</f>
        <v>United States</v>
      </c>
      <c r="M739" t="str">
        <f>_xlfn.XLOOKUP(G739,products!A:A,products!B:B)</f>
        <v>Ara</v>
      </c>
      <c r="N739" t="str">
        <f>_xlfn.XLOOKUP(G739,products!A:A,products!C:C)</f>
        <v>M</v>
      </c>
      <c r="O739">
        <f>_xlfn.XLOOKUP(G739,products!A:A,products!D:D)</f>
        <v>1</v>
      </c>
      <c r="P739">
        <f>_xlfn.XLOOKUP(G739,products!A:A,products!E:E)</f>
        <v>11.25</v>
      </c>
      <c r="Q739">
        <f t="shared" si="47"/>
        <v>56.25</v>
      </c>
      <c r="R739" t="str" cm="1">
        <f t="array" ref="R739">_xlfn.IFS(Q739&lt;=50,"low sales",Q739&lt;=100,"medium sales",Q739&gt;100,"High sales")</f>
        <v>medium sales</v>
      </c>
    </row>
    <row r="740" spans="1:18" x14ac:dyDescent="0.35">
      <c r="A740" s="2" t="s">
        <v>4659</v>
      </c>
      <c r="B740" s="3">
        <v>43812</v>
      </c>
      <c r="C740" s="3" t="str">
        <f t="shared" si="44"/>
        <v>Friday</v>
      </c>
      <c r="D740" s="3" t="str">
        <f t="shared" si="45"/>
        <v>December</v>
      </c>
      <c r="E740" s="3" t="str">
        <f t="shared" si="46"/>
        <v>2019</v>
      </c>
      <c r="F740" s="2" t="s">
        <v>4660</v>
      </c>
      <c r="G740" t="s">
        <v>6178</v>
      </c>
      <c r="H740" s="2">
        <v>3</v>
      </c>
      <c r="I740" s="2" t="str">
        <f>_xlfn.XLOOKUP(F740,customers!A:A,customers!B:B)</f>
        <v>Natal Vigrass</v>
      </c>
      <c r="J740" s="2" t="str">
        <f>_xlfn.XLOOKUP(F740,customers!A:A,customers!C:C)</f>
        <v>nvigrasski@ezinearticles.com</v>
      </c>
      <c r="K740" s="2" t="str">
        <f>_xlfn.XLOOKUP(F740,customers!A:A,customers!F:F)</f>
        <v>Whitwell</v>
      </c>
      <c r="L740" s="2" t="str">
        <f>_xlfn.XLOOKUP(F740,customers!A:A,customers!G:G)</f>
        <v>United Kingdom</v>
      </c>
      <c r="M740" t="str">
        <f>_xlfn.XLOOKUP(G740,products!A:A,products!B:B)</f>
        <v>Rob</v>
      </c>
      <c r="N740" t="str">
        <f>_xlfn.XLOOKUP(G740,products!A:A,products!C:C)</f>
        <v>L</v>
      </c>
      <c r="O740">
        <f>_xlfn.XLOOKUP(G740,products!A:A,products!D:D)</f>
        <v>0.2</v>
      </c>
      <c r="P740">
        <f>_xlfn.XLOOKUP(G740,products!A:A,products!E:E)</f>
        <v>3.5849999999999995</v>
      </c>
      <c r="Q740">
        <f t="shared" si="47"/>
        <v>10.754999999999999</v>
      </c>
      <c r="R740" t="str" cm="1">
        <f t="array" ref="R740">_xlfn.IFS(Q740&lt;=50,"low sales",Q740&lt;=100,"medium sales",Q740&gt;100,"High sales")</f>
        <v>low sales</v>
      </c>
    </row>
    <row r="741" spans="1:18" x14ac:dyDescent="0.35">
      <c r="A741" s="2" t="s">
        <v>4665</v>
      </c>
      <c r="B741" s="3">
        <v>44433</v>
      </c>
      <c r="C741" s="3" t="str">
        <f t="shared" si="44"/>
        <v>Wednesday</v>
      </c>
      <c r="D741" s="3" t="str">
        <f t="shared" si="45"/>
        <v>August</v>
      </c>
      <c r="E741" s="3" t="str">
        <f t="shared" si="46"/>
        <v>2021</v>
      </c>
      <c r="F741" s="2" t="s">
        <v>4434</v>
      </c>
      <c r="G741" t="s">
        <v>6153</v>
      </c>
      <c r="H741" s="2">
        <v>5</v>
      </c>
      <c r="I741" s="2" t="str">
        <f>_xlfn.XLOOKUP(F741,customers!A:A,customers!B:B)</f>
        <v>Jimmy Dymoke</v>
      </c>
      <c r="J741" s="2" t="str">
        <f>_xlfn.XLOOKUP(F741,customers!A:A,customers!C:C)</f>
        <v>jdymokeje@prnewswire.com</v>
      </c>
      <c r="K741" s="2" t="str">
        <f>_xlfn.XLOOKUP(F741,customers!A:A,customers!F:F)</f>
        <v>Beaumont</v>
      </c>
      <c r="L741" s="2" t="str">
        <f>_xlfn.XLOOKUP(F741,customers!A:A,customers!G:G)</f>
        <v>Ireland</v>
      </c>
      <c r="M741" t="str">
        <f>_xlfn.XLOOKUP(G741,products!A:A,products!B:B)</f>
        <v>Exc</v>
      </c>
      <c r="N741" t="str">
        <f>_xlfn.XLOOKUP(G741,products!A:A,products!C:C)</f>
        <v>D</v>
      </c>
      <c r="O741">
        <f>_xlfn.XLOOKUP(G741,products!A:A,products!D:D)</f>
        <v>0.2</v>
      </c>
      <c r="P741">
        <f>_xlfn.XLOOKUP(G741,products!A:A,products!E:E)</f>
        <v>3.645</v>
      </c>
      <c r="Q741">
        <f t="shared" si="47"/>
        <v>18.225000000000001</v>
      </c>
      <c r="R741" t="str" cm="1">
        <f t="array" ref="R741">_xlfn.IFS(Q741&lt;=50,"low sales",Q741&lt;=100,"medium sales",Q741&gt;100,"High sales")</f>
        <v>low sales</v>
      </c>
    </row>
    <row r="742" spans="1:18" x14ac:dyDescent="0.35">
      <c r="A742" s="2" t="s">
        <v>4670</v>
      </c>
      <c r="B742" s="3">
        <v>44643</v>
      </c>
      <c r="C742" s="3" t="str">
        <f t="shared" si="44"/>
        <v>Wednesday</v>
      </c>
      <c r="D742" s="3" t="str">
        <f t="shared" si="45"/>
        <v>March</v>
      </c>
      <c r="E742" s="3" t="str">
        <f t="shared" si="46"/>
        <v>2022</v>
      </c>
      <c r="F742" s="2" t="s">
        <v>4671</v>
      </c>
      <c r="G742" t="s">
        <v>6173</v>
      </c>
      <c r="H742" s="2">
        <v>4</v>
      </c>
      <c r="I742" s="2" t="str">
        <f>_xlfn.XLOOKUP(F742,customers!A:A,customers!B:B)</f>
        <v>Kandace Cragell</v>
      </c>
      <c r="J742" s="2" t="str">
        <f>_xlfn.XLOOKUP(F742,customers!A:A,customers!C:C)</f>
        <v>kcragellkk@google.com</v>
      </c>
      <c r="K742" s="2" t="str">
        <f>_xlfn.XLOOKUP(F742,customers!A:A,customers!F:F)</f>
        <v>Dungarvan</v>
      </c>
      <c r="L742" s="2" t="str">
        <f>_xlfn.XLOOKUP(F742,customers!A:A,customers!G:G)</f>
        <v>Ireland</v>
      </c>
      <c r="M742" t="str">
        <f>_xlfn.XLOOKUP(G742,products!A:A,products!B:B)</f>
        <v>Rob</v>
      </c>
      <c r="N742" t="str">
        <f>_xlfn.XLOOKUP(G742,products!A:A,products!C:C)</f>
        <v>L</v>
      </c>
      <c r="O742">
        <f>_xlfn.XLOOKUP(G742,products!A:A,products!D:D)</f>
        <v>0.5</v>
      </c>
      <c r="P742">
        <f>_xlfn.XLOOKUP(G742,products!A:A,products!E:E)</f>
        <v>7.169999999999999</v>
      </c>
      <c r="Q742">
        <f t="shared" si="47"/>
        <v>28.679999999999996</v>
      </c>
      <c r="R742" t="str" cm="1">
        <f t="array" ref="R742">_xlfn.IFS(Q742&lt;=50,"low sales",Q742&lt;=100,"medium sales",Q742&gt;100,"High sales")</f>
        <v>low sales</v>
      </c>
    </row>
    <row r="743" spans="1:18" x14ac:dyDescent="0.35">
      <c r="A743" s="2" t="s">
        <v>4676</v>
      </c>
      <c r="B743" s="3">
        <v>43566</v>
      </c>
      <c r="C743" s="3" t="str">
        <f t="shared" si="44"/>
        <v>Thursday</v>
      </c>
      <c r="D743" s="3" t="str">
        <f t="shared" si="45"/>
        <v>April</v>
      </c>
      <c r="E743" s="3" t="str">
        <f t="shared" si="46"/>
        <v>2019</v>
      </c>
      <c r="F743" s="2" t="s">
        <v>4677</v>
      </c>
      <c r="G743" t="s">
        <v>6159</v>
      </c>
      <c r="H743" s="2">
        <v>2</v>
      </c>
      <c r="I743" s="2" t="str">
        <f>_xlfn.XLOOKUP(F743,customers!A:A,customers!B:B)</f>
        <v>Lyon Ibert</v>
      </c>
      <c r="J743" s="2" t="str">
        <f>_xlfn.XLOOKUP(F743,customers!A:A,customers!C:C)</f>
        <v>libertkl@huffingtonpost.com</v>
      </c>
      <c r="K743" s="2" t="str">
        <f>_xlfn.XLOOKUP(F743,customers!A:A,customers!F:F)</f>
        <v>Sunnyvale</v>
      </c>
      <c r="L743" s="2" t="str">
        <f>_xlfn.XLOOKUP(F743,customers!A:A,customers!G:G)</f>
        <v>United States</v>
      </c>
      <c r="M743" t="str">
        <f>_xlfn.XLOOKUP(G743,products!A:A,products!B:B)</f>
        <v>Lib</v>
      </c>
      <c r="N743" t="str">
        <f>_xlfn.XLOOKUP(G743,products!A:A,products!C:C)</f>
        <v>M</v>
      </c>
      <c r="O743">
        <f>_xlfn.XLOOKUP(G743,products!A:A,products!D:D)</f>
        <v>0.2</v>
      </c>
      <c r="P743">
        <f>_xlfn.XLOOKUP(G743,products!A:A,products!E:E)</f>
        <v>4.3650000000000002</v>
      </c>
      <c r="Q743">
        <f t="shared" si="47"/>
        <v>8.73</v>
      </c>
      <c r="R743" t="str" cm="1">
        <f t="array" ref="R743">_xlfn.IFS(Q743&lt;=50,"low sales",Q743&lt;=100,"medium sales",Q743&gt;100,"High sales")</f>
        <v>low sales</v>
      </c>
    </row>
    <row r="744" spans="1:18" x14ac:dyDescent="0.35">
      <c r="A744" s="2" t="s">
        <v>4682</v>
      </c>
      <c r="B744" s="3">
        <v>44133</v>
      </c>
      <c r="C744" s="3" t="str">
        <f t="shared" si="44"/>
        <v>Thursday</v>
      </c>
      <c r="D744" s="3" t="str">
        <f t="shared" si="45"/>
        <v>October</v>
      </c>
      <c r="E744" s="3" t="str">
        <f t="shared" si="46"/>
        <v>2020</v>
      </c>
      <c r="F744" s="2" t="s">
        <v>4683</v>
      </c>
      <c r="G744" t="s">
        <v>6162</v>
      </c>
      <c r="H744" s="2">
        <v>4</v>
      </c>
      <c r="I744" s="2" t="str">
        <f>_xlfn.XLOOKUP(F744,customers!A:A,customers!B:B)</f>
        <v>Reese Lidgey</v>
      </c>
      <c r="J744" s="2" t="str">
        <f>_xlfn.XLOOKUP(F744,customers!A:A,customers!C:C)</f>
        <v>rlidgeykm@vimeo.com</v>
      </c>
      <c r="K744" s="2" t="str">
        <f>_xlfn.XLOOKUP(F744,customers!A:A,customers!F:F)</f>
        <v>Memphis</v>
      </c>
      <c r="L744" s="2" t="str">
        <f>_xlfn.XLOOKUP(F744,customers!A:A,customers!G:G)</f>
        <v>United States</v>
      </c>
      <c r="M744" t="str">
        <f>_xlfn.XLOOKUP(G744,products!A:A,products!B:B)</f>
        <v>Lib</v>
      </c>
      <c r="N744" t="str">
        <f>_xlfn.XLOOKUP(G744,products!A:A,products!C:C)</f>
        <v>M</v>
      </c>
      <c r="O744">
        <f>_xlfn.XLOOKUP(G744,products!A:A,products!D:D)</f>
        <v>1</v>
      </c>
      <c r="P744">
        <f>_xlfn.XLOOKUP(G744,products!A:A,products!E:E)</f>
        <v>14.55</v>
      </c>
      <c r="Q744">
        <f t="shared" si="47"/>
        <v>58.2</v>
      </c>
      <c r="R744" t="str" cm="1">
        <f t="array" ref="R744">_xlfn.IFS(Q744&lt;=50,"low sales",Q744&lt;=100,"medium sales",Q744&gt;100,"High sales")</f>
        <v>medium sales</v>
      </c>
    </row>
    <row r="745" spans="1:18" x14ac:dyDescent="0.35">
      <c r="A745" s="2" t="s">
        <v>4688</v>
      </c>
      <c r="B745" s="3">
        <v>44042</v>
      </c>
      <c r="C745" s="3" t="str">
        <f t="shared" si="44"/>
        <v>Thursday</v>
      </c>
      <c r="D745" s="3" t="str">
        <f t="shared" si="45"/>
        <v>July</v>
      </c>
      <c r="E745" s="3" t="str">
        <f t="shared" si="46"/>
        <v>2020</v>
      </c>
      <c r="F745" s="2" t="s">
        <v>4689</v>
      </c>
      <c r="G745" t="s">
        <v>6158</v>
      </c>
      <c r="H745" s="2">
        <v>3</v>
      </c>
      <c r="I745" s="2" t="str">
        <f>_xlfn.XLOOKUP(F745,customers!A:A,customers!B:B)</f>
        <v>Tersina Castagne</v>
      </c>
      <c r="J745" s="2" t="str">
        <f>_xlfn.XLOOKUP(F745,customers!A:A,customers!C:C)</f>
        <v>tcastagnekn@wikia.com</v>
      </c>
      <c r="K745" s="2" t="str">
        <f>_xlfn.XLOOKUP(F745,customers!A:A,customers!F:F)</f>
        <v>Orlando</v>
      </c>
      <c r="L745" s="2" t="str">
        <f>_xlfn.XLOOKUP(F745,customers!A:A,customers!G:G)</f>
        <v>United States</v>
      </c>
      <c r="M745" t="str">
        <f>_xlfn.XLOOKUP(G745,products!A:A,products!B:B)</f>
        <v>Ara</v>
      </c>
      <c r="N745" t="str">
        <f>_xlfn.XLOOKUP(G745,products!A:A,products!C:C)</f>
        <v>D</v>
      </c>
      <c r="O745">
        <f>_xlfn.XLOOKUP(G745,products!A:A,products!D:D)</f>
        <v>0.5</v>
      </c>
      <c r="P745">
        <f>_xlfn.XLOOKUP(G745,products!A:A,products!E:E)</f>
        <v>5.97</v>
      </c>
      <c r="Q745">
        <f t="shared" si="47"/>
        <v>17.91</v>
      </c>
      <c r="R745" t="str" cm="1">
        <f t="array" ref="R745">_xlfn.IFS(Q745&lt;=50,"low sales",Q745&lt;=100,"medium sales",Q745&gt;100,"High sales")</f>
        <v>low sales</v>
      </c>
    </row>
    <row r="746" spans="1:18" x14ac:dyDescent="0.35">
      <c r="A746" s="2" t="s">
        <v>4694</v>
      </c>
      <c r="B746" s="3">
        <v>43539</v>
      </c>
      <c r="C746" s="3" t="str">
        <f t="shared" si="44"/>
        <v>Friday</v>
      </c>
      <c r="D746" s="3" t="str">
        <f t="shared" si="45"/>
        <v>March</v>
      </c>
      <c r="E746" s="3" t="str">
        <f t="shared" si="46"/>
        <v>2019</v>
      </c>
      <c r="F746" s="2" t="s">
        <v>4695</v>
      </c>
      <c r="G746" t="s">
        <v>6174</v>
      </c>
      <c r="H746" s="2">
        <v>6</v>
      </c>
      <c r="I746" s="2" t="str">
        <f>_xlfn.XLOOKUP(F746,customers!A:A,customers!B:B)</f>
        <v>Samuele Klaaassen</v>
      </c>
      <c r="J746" s="2">
        <f>_xlfn.XLOOKUP(F746,customers!A:A,customers!C:C)</f>
        <v>0</v>
      </c>
      <c r="K746" s="2" t="str">
        <f>_xlfn.XLOOKUP(F746,customers!A:A,customers!F:F)</f>
        <v>Detroit</v>
      </c>
      <c r="L746" s="2" t="str">
        <f>_xlfn.XLOOKUP(F746,customers!A:A,customers!G:G)</f>
        <v>United States</v>
      </c>
      <c r="M746" t="str">
        <f>_xlfn.XLOOKUP(G746,products!A:A,products!B:B)</f>
        <v>Rob</v>
      </c>
      <c r="N746" t="str">
        <f>_xlfn.XLOOKUP(G746,products!A:A,products!C:C)</f>
        <v>M</v>
      </c>
      <c r="O746">
        <f>_xlfn.XLOOKUP(G746,products!A:A,products!D:D)</f>
        <v>0.2</v>
      </c>
      <c r="P746">
        <f>_xlfn.XLOOKUP(G746,products!A:A,products!E:E)</f>
        <v>2.9849999999999999</v>
      </c>
      <c r="Q746">
        <f t="shared" si="47"/>
        <v>17.91</v>
      </c>
      <c r="R746" t="str" cm="1">
        <f t="array" ref="R746">_xlfn.IFS(Q746&lt;=50,"low sales",Q746&lt;=100,"medium sales",Q746&gt;100,"High sales")</f>
        <v>low sales</v>
      </c>
    </row>
    <row r="747" spans="1:18" x14ac:dyDescent="0.35">
      <c r="A747" s="2" t="s">
        <v>4699</v>
      </c>
      <c r="B747" s="3">
        <v>44557</v>
      </c>
      <c r="C747" s="3" t="str">
        <f t="shared" si="44"/>
        <v>Monday</v>
      </c>
      <c r="D747" s="3" t="str">
        <f t="shared" si="45"/>
        <v>December</v>
      </c>
      <c r="E747" s="3" t="str">
        <f t="shared" si="46"/>
        <v>2021</v>
      </c>
      <c r="F747" s="2" t="s">
        <v>4700</v>
      </c>
      <c r="G747" t="s">
        <v>6144</v>
      </c>
      <c r="H747" s="2">
        <v>2</v>
      </c>
      <c r="I747" s="2" t="str">
        <f>_xlfn.XLOOKUP(F747,customers!A:A,customers!B:B)</f>
        <v>Jordana Halden</v>
      </c>
      <c r="J747" s="2" t="str">
        <f>_xlfn.XLOOKUP(F747,customers!A:A,customers!C:C)</f>
        <v>jhaldenkp@comcast.net</v>
      </c>
      <c r="K747" s="2" t="str">
        <f>_xlfn.XLOOKUP(F747,customers!A:A,customers!F:F)</f>
        <v>Clones</v>
      </c>
      <c r="L747" s="2" t="str">
        <f>_xlfn.XLOOKUP(F747,customers!A:A,customers!G:G)</f>
        <v>Ireland</v>
      </c>
      <c r="M747" t="str">
        <f>_xlfn.XLOOKUP(G747,products!A:A,products!B:B)</f>
        <v>Exc</v>
      </c>
      <c r="N747" t="str">
        <f>_xlfn.XLOOKUP(G747,products!A:A,products!C:C)</f>
        <v>D</v>
      </c>
      <c r="O747">
        <f>_xlfn.XLOOKUP(G747,products!A:A,products!D:D)</f>
        <v>0.5</v>
      </c>
      <c r="P747">
        <f>_xlfn.XLOOKUP(G747,products!A:A,products!E:E)</f>
        <v>7.29</v>
      </c>
      <c r="Q747">
        <f t="shared" si="47"/>
        <v>14.58</v>
      </c>
      <c r="R747" t="str" cm="1">
        <f t="array" ref="R747">_xlfn.IFS(Q747&lt;=50,"low sales",Q747&lt;=100,"medium sales",Q747&gt;100,"High sales")</f>
        <v>low sales</v>
      </c>
    </row>
    <row r="748" spans="1:18" x14ac:dyDescent="0.35">
      <c r="A748" s="2" t="s">
        <v>4705</v>
      </c>
      <c r="B748" s="3">
        <v>43741</v>
      </c>
      <c r="C748" s="3" t="str">
        <f t="shared" si="44"/>
        <v>Thursday</v>
      </c>
      <c r="D748" s="3" t="str">
        <f t="shared" si="45"/>
        <v>October</v>
      </c>
      <c r="E748" s="3" t="str">
        <f t="shared" si="46"/>
        <v>2019</v>
      </c>
      <c r="F748" s="2" t="s">
        <v>4706</v>
      </c>
      <c r="G748" t="s">
        <v>6155</v>
      </c>
      <c r="H748" s="2">
        <v>3</v>
      </c>
      <c r="I748" s="2" t="str">
        <f>_xlfn.XLOOKUP(F748,customers!A:A,customers!B:B)</f>
        <v>Hussein Olliff</v>
      </c>
      <c r="J748" s="2" t="str">
        <f>_xlfn.XLOOKUP(F748,customers!A:A,customers!C:C)</f>
        <v>holliffkq@sciencedirect.com</v>
      </c>
      <c r="K748" s="2" t="str">
        <f>_xlfn.XLOOKUP(F748,customers!A:A,customers!F:F)</f>
        <v>Stradbally</v>
      </c>
      <c r="L748" s="2" t="str">
        <f>_xlfn.XLOOKUP(F748,customers!A:A,customers!G:G)</f>
        <v>Ireland</v>
      </c>
      <c r="M748" t="str">
        <f>_xlfn.XLOOKUP(G748,products!A:A,products!B:B)</f>
        <v>Ara</v>
      </c>
      <c r="N748" t="str">
        <f>_xlfn.XLOOKUP(G748,products!A:A,products!C:C)</f>
        <v>M</v>
      </c>
      <c r="O748">
        <f>_xlfn.XLOOKUP(G748,products!A:A,products!D:D)</f>
        <v>1</v>
      </c>
      <c r="P748">
        <f>_xlfn.XLOOKUP(G748,products!A:A,products!E:E)</f>
        <v>11.25</v>
      </c>
      <c r="Q748">
        <f t="shared" si="47"/>
        <v>33.75</v>
      </c>
      <c r="R748" t="str" cm="1">
        <f t="array" ref="R748">_xlfn.IFS(Q748&lt;=50,"low sales",Q748&lt;=100,"medium sales",Q748&gt;100,"High sales")</f>
        <v>low sales</v>
      </c>
    </row>
    <row r="749" spans="1:18" x14ac:dyDescent="0.35">
      <c r="A749" s="2" t="s">
        <v>4711</v>
      </c>
      <c r="B749" s="3">
        <v>43501</v>
      </c>
      <c r="C749" s="3" t="str">
        <f t="shared" si="44"/>
        <v>Tuesday</v>
      </c>
      <c r="D749" s="3" t="str">
        <f t="shared" si="45"/>
        <v>February</v>
      </c>
      <c r="E749" s="3" t="str">
        <f t="shared" si="46"/>
        <v>2019</v>
      </c>
      <c r="F749" s="2" t="s">
        <v>4712</v>
      </c>
      <c r="G749" t="s">
        <v>6160</v>
      </c>
      <c r="H749" s="2">
        <v>4</v>
      </c>
      <c r="I749" s="2" t="str">
        <f>_xlfn.XLOOKUP(F749,customers!A:A,customers!B:B)</f>
        <v>Teddi Quadri</v>
      </c>
      <c r="J749" s="2" t="str">
        <f>_xlfn.XLOOKUP(F749,customers!A:A,customers!C:C)</f>
        <v>tquadrikr@opensource.org</v>
      </c>
      <c r="K749" s="2" t="str">
        <f>_xlfn.XLOOKUP(F749,customers!A:A,customers!F:F)</f>
        <v>Ballina</v>
      </c>
      <c r="L749" s="2" t="str">
        <f>_xlfn.XLOOKUP(F749,customers!A:A,customers!G:G)</f>
        <v>Ireland</v>
      </c>
      <c r="M749" t="str">
        <f>_xlfn.XLOOKUP(G749,products!A:A,products!B:B)</f>
        <v>Lib</v>
      </c>
      <c r="N749" t="str">
        <f>_xlfn.XLOOKUP(G749,products!A:A,products!C:C)</f>
        <v>M</v>
      </c>
      <c r="O749">
        <f>_xlfn.XLOOKUP(G749,products!A:A,products!D:D)</f>
        <v>0.5</v>
      </c>
      <c r="P749">
        <f>_xlfn.XLOOKUP(G749,products!A:A,products!E:E)</f>
        <v>8.73</v>
      </c>
      <c r="Q749">
        <f t="shared" si="47"/>
        <v>34.92</v>
      </c>
      <c r="R749" t="str" cm="1">
        <f t="array" ref="R749">_xlfn.IFS(Q749&lt;=50,"low sales",Q749&lt;=100,"medium sales",Q749&gt;100,"High sales")</f>
        <v>low sales</v>
      </c>
    </row>
    <row r="750" spans="1:18" x14ac:dyDescent="0.35">
      <c r="A750" s="2" t="s">
        <v>4717</v>
      </c>
      <c r="B750" s="3">
        <v>44074</v>
      </c>
      <c r="C750" s="3" t="str">
        <f t="shared" si="44"/>
        <v>Monday</v>
      </c>
      <c r="D750" s="3" t="str">
        <f t="shared" si="45"/>
        <v>August</v>
      </c>
      <c r="E750" s="3" t="str">
        <f t="shared" si="46"/>
        <v>2020</v>
      </c>
      <c r="F750" s="2" t="s">
        <v>4718</v>
      </c>
      <c r="G750" t="s">
        <v>6144</v>
      </c>
      <c r="H750" s="2">
        <v>2</v>
      </c>
      <c r="I750" s="2" t="str">
        <f>_xlfn.XLOOKUP(F750,customers!A:A,customers!B:B)</f>
        <v>Felita Eshmade</v>
      </c>
      <c r="J750" s="2" t="str">
        <f>_xlfn.XLOOKUP(F750,customers!A:A,customers!C:C)</f>
        <v>feshmadeks@umn.edu</v>
      </c>
      <c r="K750" s="2" t="str">
        <f>_xlfn.XLOOKUP(F750,customers!A:A,customers!F:F)</f>
        <v>Richmond</v>
      </c>
      <c r="L750" s="2" t="str">
        <f>_xlfn.XLOOKUP(F750,customers!A:A,customers!G:G)</f>
        <v>United States</v>
      </c>
      <c r="M750" t="str">
        <f>_xlfn.XLOOKUP(G750,products!A:A,products!B:B)</f>
        <v>Exc</v>
      </c>
      <c r="N750" t="str">
        <f>_xlfn.XLOOKUP(G750,products!A:A,products!C:C)</f>
        <v>D</v>
      </c>
      <c r="O750">
        <f>_xlfn.XLOOKUP(G750,products!A:A,products!D:D)</f>
        <v>0.5</v>
      </c>
      <c r="P750">
        <f>_xlfn.XLOOKUP(G750,products!A:A,products!E:E)</f>
        <v>7.29</v>
      </c>
      <c r="Q750">
        <f t="shared" si="47"/>
        <v>14.58</v>
      </c>
      <c r="R750" t="str" cm="1">
        <f t="array" ref="R750">_xlfn.IFS(Q750&lt;=50,"low sales",Q750&lt;=100,"medium sales",Q750&gt;100,"High sales")</f>
        <v>low sales</v>
      </c>
    </row>
    <row r="751" spans="1:18" x14ac:dyDescent="0.35">
      <c r="A751" s="2" t="s">
        <v>4723</v>
      </c>
      <c r="B751" s="3">
        <v>44209</v>
      </c>
      <c r="C751" s="3" t="str">
        <f t="shared" si="44"/>
        <v>Wednesday</v>
      </c>
      <c r="D751" s="3" t="str">
        <f t="shared" si="45"/>
        <v>January</v>
      </c>
      <c r="E751" s="3" t="str">
        <f t="shared" si="46"/>
        <v>2021</v>
      </c>
      <c r="F751" s="2" t="s">
        <v>4724</v>
      </c>
      <c r="G751" t="s">
        <v>6163</v>
      </c>
      <c r="H751" s="2">
        <v>2</v>
      </c>
      <c r="I751" s="2" t="str">
        <f>_xlfn.XLOOKUP(F751,customers!A:A,customers!B:B)</f>
        <v>Melodie OIlier</v>
      </c>
      <c r="J751" s="2" t="str">
        <f>_xlfn.XLOOKUP(F751,customers!A:A,customers!C:C)</f>
        <v>moilierkt@paginegialle.it</v>
      </c>
      <c r="K751" s="2" t="str">
        <f>_xlfn.XLOOKUP(F751,customers!A:A,customers!F:F)</f>
        <v>Glasnevin</v>
      </c>
      <c r="L751" s="2" t="str">
        <f>_xlfn.XLOOKUP(F751,customers!A:A,customers!G:G)</f>
        <v>Ireland</v>
      </c>
      <c r="M751" t="str">
        <f>_xlfn.XLOOKUP(G751,products!A:A,products!B:B)</f>
        <v>Rob</v>
      </c>
      <c r="N751" t="str">
        <f>_xlfn.XLOOKUP(G751,products!A:A,products!C:C)</f>
        <v>D</v>
      </c>
      <c r="O751">
        <f>_xlfn.XLOOKUP(G751,products!A:A,products!D:D)</f>
        <v>0.2</v>
      </c>
      <c r="P751">
        <f>_xlfn.XLOOKUP(G751,products!A:A,products!E:E)</f>
        <v>2.6849999999999996</v>
      </c>
      <c r="Q751">
        <f t="shared" si="47"/>
        <v>5.3699999999999992</v>
      </c>
      <c r="R751" t="str" cm="1">
        <f t="array" ref="R751">_xlfn.IFS(Q751&lt;=50,"low sales",Q751&lt;=100,"medium sales",Q751&gt;100,"High sales")</f>
        <v>low sales</v>
      </c>
    </row>
    <row r="752" spans="1:18" x14ac:dyDescent="0.35">
      <c r="A752" s="2" t="s">
        <v>4730</v>
      </c>
      <c r="B752" s="3">
        <v>44277</v>
      </c>
      <c r="C752" s="3" t="str">
        <f t="shared" si="44"/>
        <v>Monday</v>
      </c>
      <c r="D752" s="3" t="str">
        <f t="shared" si="45"/>
        <v>March</v>
      </c>
      <c r="E752" s="3" t="str">
        <f t="shared" si="46"/>
        <v>2021</v>
      </c>
      <c r="F752" s="2" t="s">
        <v>4731</v>
      </c>
      <c r="G752" t="s">
        <v>6146</v>
      </c>
      <c r="H752" s="2">
        <v>1</v>
      </c>
      <c r="I752" s="2" t="str">
        <f>_xlfn.XLOOKUP(F752,customers!A:A,customers!B:B)</f>
        <v>Hazel Iacopini</v>
      </c>
      <c r="J752" s="2">
        <f>_xlfn.XLOOKUP(F752,customers!A:A,customers!C:C)</f>
        <v>0</v>
      </c>
      <c r="K752" s="2" t="str">
        <f>_xlfn.XLOOKUP(F752,customers!A:A,customers!F:F)</f>
        <v>Fort Worth</v>
      </c>
      <c r="L752" s="2" t="str">
        <f>_xlfn.XLOOKUP(F752,customers!A:A,customers!G:G)</f>
        <v>United States</v>
      </c>
      <c r="M752" t="str">
        <f>_xlfn.XLOOKUP(G752,products!A:A,products!B:B)</f>
        <v>Rob</v>
      </c>
      <c r="N752" t="str">
        <f>_xlfn.XLOOKUP(G752,products!A:A,products!C:C)</f>
        <v>M</v>
      </c>
      <c r="O752">
        <f>_xlfn.XLOOKUP(G752,products!A:A,products!D:D)</f>
        <v>0.5</v>
      </c>
      <c r="P752">
        <f>_xlfn.XLOOKUP(G752,products!A:A,products!E:E)</f>
        <v>5.97</v>
      </c>
      <c r="Q752">
        <f t="shared" si="47"/>
        <v>5.97</v>
      </c>
      <c r="R752" t="str" cm="1">
        <f t="array" ref="R752">_xlfn.IFS(Q752&lt;=50,"low sales",Q752&lt;=100,"medium sales",Q752&gt;100,"High sales")</f>
        <v>low sales</v>
      </c>
    </row>
    <row r="753" spans="1:18" x14ac:dyDescent="0.35">
      <c r="A753" s="2" t="s">
        <v>4735</v>
      </c>
      <c r="B753" s="3">
        <v>43847</v>
      </c>
      <c r="C753" s="3" t="str">
        <f t="shared" si="44"/>
        <v>Friday</v>
      </c>
      <c r="D753" s="3" t="str">
        <f t="shared" si="45"/>
        <v>January</v>
      </c>
      <c r="E753" s="3" t="str">
        <f t="shared" si="46"/>
        <v>2020</v>
      </c>
      <c r="F753" s="2" t="s">
        <v>4736</v>
      </c>
      <c r="G753" t="s">
        <v>6161</v>
      </c>
      <c r="H753" s="2">
        <v>2</v>
      </c>
      <c r="I753" s="2" t="str">
        <f>_xlfn.XLOOKUP(F753,customers!A:A,customers!B:B)</f>
        <v>Vinny Shoebotham</v>
      </c>
      <c r="J753" s="2" t="str">
        <f>_xlfn.XLOOKUP(F753,customers!A:A,customers!C:C)</f>
        <v>vshoebothamkv@redcross.org</v>
      </c>
      <c r="K753" s="2" t="str">
        <f>_xlfn.XLOOKUP(F753,customers!A:A,customers!F:F)</f>
        <v>Brooklyn</v>
      </c>
      <c r="L753" s="2" t="str">
        <f>_xlfn.XLOOKUP(F753,customers!A:A,customers!G:G)</f>
        <v>United States</v>
      </c>
      <c r="M753" t="str">
        <f>_xlfn.XLOOKUP(G753,products!A:A,products!B:B)</f>
        <v>Lib</v>
      </c>
      <c r="N753" t="str">
        <f>_xlfn.XLOOKUP(G753,products!A:A,products!C:C)</f>
        <v>L</v>
      </c>
      <c r="O753">
        <f>_xlfn.XLOOKUP(G753,products!A:A,products!D:D)</f>
        <v>0.5</v>
      </c>
      <c r="P753">
        <f>_xlfn.XLOOKUP(G753,products!A:A,products!E:E)</f>
        <v>9.51</v>
      </c>
      <c r="Q753">
        <f t="shared" si="47"/>
        <v>19.02</v>
      </c>
      <c r="R753" t="str" cm="1">
        <f t="array" ref="R753">_xlfn.IFS(Q753&lt;=50,"low sales",Q753&lt;=100,"medium sales",Q753&gt;100,"High sales")</f>
        <v>low sales</v>
      </c>
    </row>
    <row r="754" spans="1:18" x14ac:dyDescent="0.35">
      <c r="A754" s="2" t="s">
        <v>4741</v>
      </c>
      <c r="B754" s="3">
        <v>43648</v>
      </c>
      <c r="C754" s="3" t="str">
        <f t="shared" si="44"/>
        <v>Tuesday</v>
      </c>
      <c r="D754" s="3" t="str">
        <f t="shared" si="45"/>
        <v>July</v>
      </c>
      <c r="E754" s="3" t="str">
        <f t="shared" si="46"/>
        <v>2019</v>
      </c>
      <c r="F754" s="2" t="s">
        <v>4742</v>
      </c>
      <c r="G754" t="s">
        <v>6141</v>
      </c>
      <c r="H754" s="2">
        <v>2</v>
      </c>
      <c r="I754" s="2" t="str">
        <f>_xlfn.XLOOKUP(F754,customers!A:A,customers!B:B)</f>
        <v>Bran Sterke</v>
      </c>
      <c r="J754" s="2" t="str">
        <f>_xlfn.XLOOKUP(F754,customers!A:A,customers!C:C)</f>
        <v>bsterkekw@biblegateway.com</v>
      </c>
      <c r="K754" s="2" t="str">
        <f>_xlfn.XLOOKUP(F754,customers!A:A,customers!F:F)</f>
        <v>Fort Worth</v>
      </c>
      <c r="L754" s="2" t="str">
        <f>_xlfn.XLOOKUP(F754,customers!A:A,customers!G:G)</f>
        <v>United States</v>
      </c>
      <c r="M754" t="str">
        <f>_xlfn.XLOOKUP(G754,products!A:A,products!B:B)</f>
        <v>Exc</v>
      </c>
      <c r="N754" t="str">
        <f>_xlfn.XLOOKUP(G754,products!A:A,products!C:C)</f>
        <v>M</v>
      </c>
      <c r="O754">
        <f>_xlfn.XLOOKUP(G754,products!A:A,products!D:D)</f>
        <v>1</v>
      </c>
      <c r="P754">
        <f>_xlfn.XLOOKUP(G754,products!A:A,products!E:E)</f>
        <v>13.75</v>
      </c>
      <c r="Q754">
        <f t="shared" si="47"/>
        <v>27.5</v>
      </c>
      <c r="R754" t="str" cm="1">
        <f t="array" ref="R754">_xlfn.IFS(Q754&lt;=50,"low sales",Q754&lt;=100,"medium sales",Q754&gt;100,"High sales")</f>
        <v>low sales</v>
      </c>
    </row>
    <row r="755" spans="1:18" x14ac:dyDescent="0.35">
      <c r="A755" s="2" t="s">
        <v>4747</v>
      </c>
      <c r="B755" s="3">
        <v>44704</v>
      </c>
      <c r="C755" s="3" t="str">
        <f t="shared" si="44"/>
        <v>Monday</v>
      </c>
      <c r="D755" s="3" t="str">
        <f t="shared" si="45"/>
        <v>May</v>
      </c>
      <c r="E755" s="3" t="str">
        <f t="shared" si="46"/>
        <v>2022</v>
      </c>
      <c r="F755" s="2" t="s">
        <v>4748</v>
      </c>
      <c r="G755" t="s">
        <v>6158</v>
      </c>
      <c r="H755" s="2">
        <v>5</v>
      </c>
      <c r="I755" s="2" t="str">
        <f>_xlfn.XLOOKUP(F755,customers!A:A,customers!B:B)</f>
        <v>Simone Capon</v>
      </c>
      <c r="J755" s="2" t="str">
        <f>_xlfn.XLOOKUP(F755,customers!A:A,customers!C:C)</f>
        <v>scaponkx@craigslist.org</v>
      </c>
      <c r="K755" s="2" t="str">
        <f>_xlfn.XLOOKUP(F755,customers!A:A,customers!F:F)</f>
        <v>Phoenix</v>
      </c>
      <c r="L755" s="2" t="str">
        <f>_xlfn.XLOOKUP(F755,customers!A:A,customers!G:G)</f>
        <v>United States</v>
      </c>
      <c r="M755" t="str">
        <f>_xlfn.XLOOKUP(G755,products!A:A,products!B:B)</f>
        <v>Ara</v>
      </c>
      <c r="N755" t="str">
        <f>_xlfn.XLOOKUP(G755,products!A:A,products!C:C)</f>
        <v>D</v>
      </c>
      <c r="O755">
        <f>_xlfn.XLOOKUP(G755,products!A:A,products!D:D)</f>
        <v>0.5</v>
      </c>
      <c r="P755">
        <f>_xlfn.XLOOKUP(G755,products!A:A,products!E:E)</f>
        <v>5.97</v>
      </c>
      <c r="Q755">
        <f t="shared" si="47"/>
        <v>29.849999999999998</v>
      </c>
      <c r="R755" t="str" cm="1">
        <f t="array" ref="R755">_xlfn.IFS(Q755&lt;=50,"low sales",Q755&lt;=100,"medium sales",Q755&gt;100,"High sales")</f>
        <v>low sales</v>
      </c>
    </row>
    <row r="756" spans="1:18" x14ac:dyDescent="0.35">
      <c r="A756" s="2" t="s">
        <v>4753</v>
      </c>
      <c r="B756" s="3">
        <v>44726</v>
      </c>
      <c r="C756" s="3" t="str">
        <f t="shared" si="44"/>
        <v>Tuesday</v>
      </c>
      <c r="D756" s="3" t="str">
        <f t="shared" si="45"/>
        <v>June</v>
      </c>
      <c r="E756" s="3" t="str">
        <f t="shared" si="46"/>
        <v>2022</v>
      </c>
      <c r="F756" s="2" t="s">
        <v>4434</v>
      </c>
      <c r="G756" t="s">
        <v>6154</v>
      </c>
      <c r="H756" s="2">
        <v>6</v>
      </c>
      <c r="I756" s="2" t="str">
        <f>_xlfn.XLOOKUP(F756,customers!A:A,customers!B:B)</f>
        <v>Jimmy Dymoke</v>
      </c>
      <c r="J756" s="2" t="str">
        <f>_xlfn.XLOOKUP(F756,customers!A:A,customers!C:C)</f>
        <v>jdymokeje@prnewswire.com</v>
      </c>
      <c r="K756" s="2" t="str">
        <f>_xlfn.XLOOKUP(F756,customers!A:A,customers!F:F)</f>
        <v>Beaumont</v>
      </c>
      <c r="L756" s="2" t="str">
        <f>_xlfn.XLOOKUP(F756,customers!A:A,customers!G:G)</f>
        <v>Ireland</v>
      </c>
      <c r="M756" t="str">
        <f>_xlfn.XLOOKUP(G756,products!A:A,products!B:B)</f>
        <v>Ara</v>
      </c>
      <c r="N756" t="str">
        <f>_xlfn.XLOOKUP(G756,products!A:A,products!C:C)</f>
        <v>D</v>
      </c>
      <c r="O756">
        <f>_xlfn.XLOOKUP(G756,products!A:A,products!D:D)</f>
        <v>0.2</v>
      </c>
      <c r="P756">
        <f>_xlfn.XLOOKUP(G756,products!A:A,products!E:E)</f>
        <v>2.9849999999999999</v>
      </c>
      <c r="Q756">
        <f t="shared" si="47"/>
        <v>17.91</v>
      </c>
      <c r="R756" t="str" cm="1">
        <f t="array" ref="R756">_xlfn.IFS(Q756&lt;=50,"low sales",Q756&lt;=100,"medium sales",Q756&gt;100,"High sales")</f>
        <v>low sales</v>
      </c>
    </row>
    <row r="757" spans="1:18" x14ac:dyDescent="0.35">
      <c r="A757" s="2" t="s">
        <v>4758</v>
      </c>
      <c r="B757" s="3">
        <v>44397</v>
      </c>
      <c r="C757" s="3" t="str">
        <f t="shared" si="44"/>
        <v>Tuesday</v>
      </c>
      <c r="D757" s="3" t="str">
        <f t="shared" si="45"/>
        <v>July</v>
      </c>
      <c r="E757" s="3" t="str">
        <f t="shared" si="46"/>
        <v>2021</v>
      </c>
      <c r="F757" s="2" t="s">
        <v>4759</v>
      </c>
      <c r="G757" t="s">
        <v>6145</v>
      </c>
      <c r="H757" s="2">
        <v>6</v>
      </c>
      <c r="I757" s="2" t="str">
        <f>_xlfn.XLOOKUP(F757,customers!A:A,customers!B:B)</f>
        <v>Foster Constance</v>
      </c>
      <c r="J757" s="2" t="str">
        <f>_xlfn.XLOOKUP(F757,customers!A:A,customers!C:C)</f>
        <v>fconstancekz@ifeng.com</v>
      </c>
      <c r="K757" s="2" t="str">
        <f>_xlfn.XLOOKUP(F757,customers!A:A,customers!F:F)</f>
        <v>Dallas</v>
      </c>
      <c r="L757" s="2" t="str">
        <f>_xlfn.XLOOKUP(F757,customers!A:A,customers!G:G)</f>
        <v>United States</v>
      </c>
      <c r="M757" t="str">
        <f>_xlfn.XLOOKUP(G757,products!A:A,products!B:B)</f>
        <v>Lib</v>
      </c>
      <c r="N757" t="str">
        <f>_xlfn.XLOOKUP(G757,products!A:A,products!C:C)</f>
        <v>L</v>
      </c>
      <c r="O757">
        <f>_xlfn.XLOOKUP(G757,products!A:A,products!D:D)</f>
        <v>0.2</v>
      </c>
      <c r="P757">
        <f>_xlfn.XLOOKUP(G757,products!A:A,products!E:E)</f>
        <v>4.7549999999999999</v>
      </c>
      <c r="Q757">
        <f t="shared" si="47"/>
        <v>28.53</v>
      </c>
      <c r="R757" t="str" cm="1">
        <f t="array" ref="R757">_xlfn.IFS(Q757&lt;=50,"low sales",Q757&lt;=100,"medium sales",Q757&gt;100,"High sales")</f>
        <v>low sales</v>
      </c>
    </row>
    <row r="758" spans="1:18" x14ac:dyDescent="0.35">
      <c r="A758" s="2" t="s">
        <v>4764</v>
      </c>
      <c r="B758" s="3">
        <v>44715</v>
      </c>
      <c r="C758" s="3" t="str">
        <f t="shared" si="44"/>
        <v>Friday</v>
      </c>
      <c r="D758" s="3" t="str">
        <f t="shared" si="45"/>
        <v>June</v>
      </c>
      <c r="E758" s="3" t="str">
        <f t="shared" si="46"/>
        <v>2022</v>
      </c>
      <c r="F758" s="2" t="s">
        <v>4765</v>
      </c>
      <c r="G758" t="s">
        <v>6177</v>
      </c>
      <c r="H758" s="2">
        <v>4</v>
      </c>
      <c r="I758" s="2" t="str">
        <f>_xlfn.XLOOKUP(F758,customers!A:A,customers!B:B)</f>
        <v>Fernando Sulman</v>
      </c>
      <c r="J758" s="2" t="str">
        <f>_xlfn.XLOOKUP(F758,customers!A:A,customers!C:C)</f>
        <v>fsulmanl0@washington.edu</v>
      </c>
      <c r="K758" s="2" t="str">
        <f>_xlfn.XLOOKUP(F758,customers!A:A,customers!F:F)</f>
        <v>Asheville</v>
      </c>
      <c r="L758" s="2" t="str">
        <f>_xlfn.XLOOKUP(F758,customers!A:A,customers!G:G)</f>
        <v>United States</v>
      </c>
      <c r="M758" t="str">
        <f>_xlfn.XLOOKUP(G758,products!A:A,products!B:B)</f>
        <v>Rob</v>
      </c>
      <c r="N758" t="str">
        <f>_xlfn.XLOOKUP(G758,products!A:A,products!C:C)</f>
        <v>D</v>
      </c>
      <c r="O758">
        <f>_xlfn.XLOOKUP(G758,products!A:A,products!D:D)</f>
        <v>1</v>
      </c>
      <c r="P758">
        <f>_xlfn.XLOOKUP(G758,products!A:A,products!E:E)</f>
        <v>8.9499999999999993</v>
      </c>
      <c r="Q758">
        <f t="shared" si="47"/>
        <v>35.799999999999997</v>
      </c>
      <c r="R758" t="str" cm="1">
        <f t="array" ref="R758">_xlfn.IFS(Q758&lt;=50,"low sales",Q758&lt;=100,"medium sales",Q758&gt;100,"High sales")</f>
        <v>low sales</v>
      </c>
    </row>
    <row r="759" spans="1:18" x14ac:dyDescent="0.35">
      <c r="A759" s="2" t="s">
        <v>4770</v>
      </c>
      <c r="B759" s="3">
        <v>43977</v>
      </c>
      <c r="C759" s="3" t="str">
        <f t="shared" si="44"/>
        <v>Tuesday</v>
      </c>
      <c r="D759" s="3" t="str">
        <f t="shared" si="45"/>
        <v>May</v>
      </c>
      <c r="E759" s="3" t="str">
        <f t="shared" si="46"/>
        <v>2020</v>
      </c>
      <c r="F759" s="2" t="s">
        <v>4771</v>
      </c>
      <c r="G759" t="s">
        <v>6158</v>
      </c>
      <c r="H759" s="2">
        <v>3</v>
      </c>
      <c r="I759" s="2" t="str">
        <f>_xlfn.XLOOKUP(F759,customers!A:A,customers!B:B)</f>
        <v>Dorotea Hollyman</v>
      </c>
      <c r="J759" s="2" t="str">
        <f>_xlfn.XLOOKUP(F759,customers!A:A,customers!C:C)</f>
        <v>dhollymanl1@ibm.com</v>
      </c>
      <c r="K759" s="2" t="str">
        <f>_xlfn.XLOOKUP(F759,customers!A:A,customers!F:F)</f>
        <v>Billings</v>
      </c>
      <c r="L759" s="2" t="str">
        <f>_xlfn.XLOOKUP(F759,customers!A:A,customers!G:G)</f>
        <v>United States</v>
      </c>
      <c r="M759" t="str">
        <f>_xlfn.XLOOKUP(G759,products!A:A,products!B:B)</f>
        <v>Ara</v>
      </c>
      <c r="N759" t="str">
        <f>_xlfn.XLOOKUP(G759,products!A:A,products!C:C)</f>
        <v>D</v>
      </c>
      <c r="O759">
        <f>_xlfn.XLOOKUP(G759,products!A:A,products!D:D)</f>
        <v>0.5</v>
      </c>
      <c r="P759">
        <f>_xlfn.XLOOKUP(G759,products!A:A,products!E:E)</f>
        <v>5.97</v>
      </c>
      <c r="Q759">
        <f t="shared" si="47"/>
        <v>17.91</v>
      </c>
      <c r="R759" t="str" cm="1">
        <f t="array" ref="R759">_xlfn.IFS(Q759&lt;=50,"low sales",Q759&lt;=100,"medium sales",Q759&gt;100,"High sales")</f>
        <v>low sales</v>
      </c>
    </row>
    <row r="760" spans="1:18" x14ac:dyDescent="0.35">
      <c r="A760" s="2" t="s">
        <v>4776</v>
      </c>
      <c r="B760" s="3">
        <v>43672</v>
      </c>
      <c r="C760" s="3" t="str">
        <f t="shared" si="44"/>
        <v>Friday</v>
      </c>
      <c r="D760" s="3" t="str">
        <f t="shared" si="45"/>
        <v>July</v>
      </c>
      <c r="E760" s="3" t="str">
        <f t="shared" si="46"/>
        <v>2019</v>
      </c>
      <c r="F760" s="2" t="s">
        <v>4777</v>
      </c>
      <c r="G760" t="s">
        <v>6177</v>
      </c>
      <c r="H760" s="2">
        <v>1</v>
      </c>
      <c r="I760" s="2" t="str">
        <f>_xlfn.XLOOKUP(F760,customers!A:A,customers!B:B)</f>
        <v>Lorelei Nardoni</v>
      </c>
      <c r="J760" s="2" t="str">
        <f>_xlfn.XLOOKUP(F760,customers!A:A,customers!C:C)</f>
        <v>lnardonil2@hao123.com</v>
      </c>
      <c r="K760" s="2" t="str">
        <f>_xlfn.XLOOKUP(F760,customers!A:A,customers!F:F)</f>
        <v>Saint Louis</v>
      </c>
      <c r="L760" s="2" t="str">
        <f>_xlfn.XLOOKUP(F760,customers!A:A,customers!G:G)</f>
        <v>United States</v>
      </c>
      <c r="M760" t="str">
        <f>_xlfn.XLOOKUP(G760,products!A:A,products!B:B)</f>
        <v>Rob</v>
      </c>
      <c r="N760" t="str">
        <f>_xlfn.XLOOKUP(G760,products!A:A,products!C:C)</f>
        <v>D</v>
      </c>
      <c r="O760">
        <f>_xlfn.XLOOKUP(G760,products!A:A,products!D:D)</f>
        <v>1</v>
      </c>
      <c r="P760">
        <f>_xlfn.XLOOKUP(G760,products!A:A,products!E:E)</f>
        <v>8.9499999999999993</v>
      </c>
      <c r="Q760">
        <f t="shared" si="47"/>
        <v>8.9499999999999993</v>
      </c>
      <c r="R760" t="str" cm="1">
        <f t="array" ref="R760">_xlfn.IFS(Q760&lt;=50,"low sales",Q760&lt;=100,"medium sales",Q760&gt;100,"High sales")</f>
        <v>low sales</v>
      </c>
    </row>
    <row r="761" spans="1:18" x14ac:dyDescent="0.35">
      <c r="A761" s="2" t="s">
        <v>4781</v>
      </c>
      <c r="B761" s="3">
        <v>44126</v>
      </c>
      <c r="C761" s="3" t="str">
        <f t="shared" si="44"/>
        <v>Thursday</v>
      </c>
      <c r="D761" s="3" t="str">
        <f t="shared" si="45"/>
        <v>October</v>
      </c>
      <c r="E761" s="3" t="str">
        <f t="shared" si="46"/>
        <v>2020</v>
      </c>
      <c r="F761" s="2" t="s">
        <v>4782</v>
      </c>
      <c r="G761" t="s">
        <v>6165</v>
      </c>
      <c r="H761" s="2">
        <v>1</v>
      </c>
      <c r="I761" s="2" t="str">
        <f>_xlfn.XLOOKUP(F761,customers!A:A,customers!B:B)</f>
        <v>Dallas Yarham</v>
      </c>
      <c r="J761" s="2" t="str">
        <f>_xlfn.XLOOKUP(F761,customers!A:A,customers!C:C)</f>
        <v>dyarhaml3@moonfruit.com</v>
      </c>
      <c r="K761" s="2" t="str">
        <f>_xlfn.XLOOKUP(F761,customers!A:A,customers!F:F)</f>
        <v>Independence</v>
      </c>
      <c r="L761" s="2" t="str">
        <f>_xlfn.XLOOKUP(F761,customers!A:A,customers!G:G)</f>
        <v>United States</v>
      </c>
      <c r="M761" t="str">
        <f>_xlfn.XLOOKUP(G761,products!A:A,products!B:B)</f>
        <v>Lib</v>
      </c>
      <c r="N761" t="str">
        <f>_xlfn.XLOOKUP(G761,products!A:A,products!C:C)</f>
        <v>D</v>
      </c>
      <c r="O761">
        <f>_xlfn.XLOOKUP(G761,products!A:A,products!D:D)</f>
        <v>2.5</v>
      </c>
      <c r="P761">
        <f>_xlfn.XLOOKUP(G761,products!A:A,products!E:E)</f>
        <v>29.784999999999997</v>
      </c>
      <c r="Q761">
        <f t="shared" si="47"/>
        <v>29.784999999999997</v>
      </c>
      <c r="R761" t="str" cm="1">
        <f t="array" ref="R761">_xlfn.IFS(Q761&lt;=50,"low sales",Q761&lt;=100,"medium sales",Q761&gt;100,"High sales")</f>
        <v>low sales</v>
      </c>
    </row>
    <row r="762" spans="1:18" x14ac:dyDescent="0.35">
      <c r="A762" s="2" t="s">
        <v>4787</v>
      </c>
      <c r="B762" s="3">
        <v>44189</v>
      </c>
      <c r="C762" s="3" t="str">
        <f t="shared" si="44"/>
        <v>Thursday</v>
      </c>
      <c r="D762" s="3" t="str">
        <f t="shared" si="45"/>
        <v>December</v>
      </c>
      <c r="E762" s="3" t="str">
        <f t="shared" si="46"/>
        <v>2020</v>
      </c>
      <c r="F762" s="2" t="s">
        <v>4788</v>
      </c>
      <c r="G762" t="s">
        <v>6176</v>
      </c>
      <c r="H762" s="2">
        <v>5</v>
      </c>
      <c r="I762" s="2" t="str">
        <f>_xlfn.XLOOKUP(F762,customers!A:A,customers!B:B)</f>
        <v>Arlana Ferrea</v>
      </c>
      <c r="J762" s="2" t="str">
        <f>_xlfn.XLOOKUP(F762,customers!A:A,customers!C:C)</f>
        <v>aferreal4@wikia.com</v>
      </c>
      <c r="K762" s="2" t="str">
        <f>_xlfn.XLOOKUP(F762,customers!A:A,customers!F:F)</f>
        <v>Greensboro</v>
      </c>
      <c r="L762" s="2" t="str">
        <f>_xlfn.XLOOKUP(F762,customers!A:A,customers!G:G)</f>
        <v>United States</v>
      </c>
      <c r="M762" t="str">
        <f>_xlfn.XLOOKUP(G762,products!A:A,products!B:B)</f>
        <v>Exc</v>
      </c>
      <c r="N762" t="str">
        <f>_xlfn.XLOOKUP(G762,products!A:A,products!C:C)</f>
        <v>L</v>
      </c>
      <c r="O762">
        <f>_xlfn.XLOOKUP(G762,products!A:A,products!D:D)</f>
        <v>0.5</v>
      </c>
      <c r="P762">
        <f>_xlfn.XLOOKUP(G762,products!A:A,products!E:E)</f>
        <v>8.91</v>
      </c>
      <c r="Q762">
        <f t="shared" si="47"/>
        <v>44.55</v>
      </c>
      <c r="R762" t="str" cm="1">
        <f t="array" ref="R762">_xlfn.IFS(Q762&lt;=50,"low sales",Q762&lt;=100,"medium sales",Q762&gt;100,"High sales")</f>
        <v>low sales</v>
      </c>
    </row>
    <row r="763" spans="1:18" x14ac:dyDescent="0.35">
      <c r="A763" s="2" t="s">
        <v>4792</v>
      </c>
      <c r="B763" s="3">
        <v>43714</v>
      </c>
      <c r="C763" s="3" t="str">
        <f t="shared" si="44"/>
        <v>Friday</v>
      </c>
      <c r="D763" s="3" t="str">
        <f t="shared" si="45"/>
        <v>September</v>
      </c>
      <c r="E763" s="3" t="str">
        <f t="shared" si="46"/>
        <v>2019</v>
      </c>
      <c r="F763" s="2" t="s">
        <v>4793</v>
      </c>
      <c r="G763" t="s">
        <v>6171</v>
      </c>
      <c r="H763" s="2">
        <v>6</v>
      </c>
      <c r="I763" s="2" t="str">
        <f>_xlfn.XLOOKUP(F763,customers!A:A,customers!B:B)</f>
        <v>Chuck Kendrick</v>
      </c>
      <c r="J763" s="2" t="str">
        <f>_xlfn.XLOOKUP(F763,customers!A:A,customers!C:C)</f>
        <v>ckendrickl5@webnode.com</v>
      </c>
      <c r="K763" s="2" t="str">
        <f>_xlfn.XLOOKUP(F763,customers!A:A,customers!F:F)</f>
        <v>Monroe</v>
      </c>
      <c r="L763" s="2" t="str">
        <f>_xlfn.XLOOKUP(F763,customers!A:A,customers!G:G)</f>
        <v>United States</v>
      </c>
      <c r="M763" t="str">
        <f>_xlfn.XLOOKUP(G763,products!A:A,products!B:B)</f>
        <v>Exc</v>
      </c>
      <c r="N763" t="str">
        <f>_xlfn.XLOOKUP(G763,products!A:A,products!C:C)</f>
        <v>L</v>
      </c>
      <c r="O763">
        <f>_xlfn.XLOOKUP(G763,products!A:A,products!D:D)</f>
        <v>1</v>
      </c>
      <c r="P763">
        <f>_xlfn.XLOOKUP(G763,products!A:A,products!E:E)</f>
        <v>14.85</v>
      </c>
      <c r="Q763">
        <f t="shared" si="47"/>
        <v>89.1</v>
      </c>
      <c r="R763" t="str" cm="1">
        <f t="array" ref="R763">_xlfn.IFS(Q763&lt;=50,"low sales",Q763&lt;=100,"medium sales",Q763&gt;100,"High sales")</f>
        <v>medium sales</v>
      </c>
    </row>
    <row r="764" spans="1:18" x14ac:dyDescent="0.35">
      <c r="A764" s="2" t="s">
        <v>4797</v>
      </c>
      <c r="B764" s="3">
        <v>43563</v>
      </c>
      <c r="C764" s="3" t="str">
        <f t="shared" si="44"/>
        <v>Monday</v>
      </c>
      <c r="D764" s="3" t="str">
        <f t="shared" si="45"/>
        <v>April</v>
      </c>
      <c r="E764" s="3" t="str">
        <f t="shared" si="46"/>
        <v>2019</v>
      </c>
      <c r="F764" s="2" t="s">
        <v>4798</v>
      </c>
      <c r="G764" t="s">
        <v>6160</v>
      </c>
      <c r="H764" s="2">
        <v>5</v>
      </c>
      <c r="I764" s="2" t="str">
        <f>_xlfn.XLOOKUP(F764,customers!A:A,customers!B:B)</f>
        <v>Sharona Danilchik</v>
      </c>
      <c r="J764" s="2" t="str">
        <f>_xlfn.XLOOKUP(F764,customers!A:A,customers!C:C)</f>
        <v>sdanilchikl6@mit.edu</v>
      </c>
      <c r="K764" s="2" t="str">
        <f>_xlfn.XLOOKUP(F764,customers!A:A,customers!F:F)</f>
        <v>Halton</v>
      </c>
      <c r="L764" s="2" t="str">
        <f>_xlfn.XLOOKUP(F764,customers!A:A,customers!G:G)</f>
        <v>United Kingdom</v>
      </c>
      <c r="M764" t="str">
        <f>_xlfn.XLOOKUP(G764,products!A:A,products!B:B)</f>
        <v>Lib</v>
      </c>
      <c r="N764" t="str">
        <f>_xlfn.XLOOKUP(G764,products!A:A,products!C:C)</f>
        <v>M</v>
      </c>
      <c r="O764">
        <f>_xlfn.XLOOKUP(G764,products!A:A,products!D:D)</f>
        <v>0.5</v>
      </c>
      <c r="P764">
        <f>_xlfn.XLOOKUP(G764,products!A:A,products!E:E)</f>
        <v>8.73</v>
      </c>
      <c r="Q764">
        <f t="shared" si="47"/>
        <v>43.650000000000006</v>
      </c>
      <c r="R764" t="str" cm="1">
        <f t="array" ref="R764">_xlfn.IFS(Q764&lt;=50,"low sales",Q764&lt;=100,"medium sales",Q764&gt;100,"High sales")</f>
        <v>low sales</v>
      </c>
    </row>
    <row r="765" spans="1:18" x14ac:dyDescent="0.35">
      <c r="A765" s="2" t="s">
        <v>4803</v>
      </c>
      <c r="B765" s="3">
        <v>44587</v>
      </c>
      <c r="C765" s="3" t="str">
        <f t="shared" si="44"/>
        <v>Wednesday</v>
      </c>
      <c r="D765" s="3" t="str">
        <f t="shared" si="45"/>
        <v>January</v>
      </c>
      <c r="E765" s="3" t="str">
        <f t="shared" si="46"/>
        <v>2022</v>
      </c>
      <c r="F765" s="2" t="s">
        <v>4804</v>
      </c>
      <c r="G765" t="s">
        <v>6180</v>
      </c>
      <c r="H765" s="2">
        <v>3</v>
      </c>
      <c r="I765" s="2" t="str">
        <f>_xlfn.XLOOKUP(F765,customers!A:A,customers!B:B)</f>
        <v>Sarajane Potter</v>
      </c>
      <c r="J765" s="2">
        <f>_xlfn.XLOOKUP(F765,customers!A:A,customers!C:C)</f>
        <v>0</v>
      </c>
      <c r="K765" s="2" t="str">
        <f>_xlfn.XLOOKUP(F765,customers!A:A,customers!F:F)</f>
        <v>Fort Worth</v>
      </c>
      <c r="L765" s="2" t="str">
        <f>_xlfn.XLOOKUP(F765,customers!A:A,customers!G:G)</f>
        <v>United States</v>
      </c>
      <c r="M765" t="str">
        <f>_xlfn.XLOOKUP(G765,products!A:A,products!B:B)</f>
        <v>Ara</v>
      </c>
      <c r="N765" t="str">
        <f>_xlfn.XLOOKUP(G765,products!A:A,products!C:C)</f>
        <v>L</v>
      </c>
      <c r="O765">
        <f>_xlfn.XLOOKUP(G765,products!A:A,products!D:D)</f>
        <v>0.5</v>
      </c>
      <c r="P765">
        <f>_xlfn.XLOOKUP(G765,products!A:A,products!E:E)</f>
        <v>7.77</v>
      </c>
      <c r="Q765">
        <f t="shared" si="47"/>
        <v>23.31</v>
      </c>
      <c r="R765" t="str" cm="1">
        <f t="array" ref="R765">_xlfn.IFS(Q765&lt;=50,"low sales",Q765&lt;=100,"medium sales",Q765&gt;100,"High sales")</f>
        <v>low sales</v>
      </c>
    </row>
    <row r="766" spans="1:18" x14ac:dyDescent="0.35">
      <c r="A766" s="2" t="s">
        <v>4808</v>
      </c>
      <c r="B766" s="3">
        <v>43797</v>
      </c>
      <c r="C766" s="3" t="str">
        <f t="shared" si="44"/>
        <v>Thursday</v>
      </c>
      <c r="D766" s="3" t="str">
        <f t="shared" si="45"/>
        <v>November</v>
      </c>
      <c r="E766" s="3" t="str">
        <f t="shared" si="46"/>
        <v>2019</v>
      </c>
      <c r="F766" s="2" t="s">
        <v>4809</v>
      </c>
      <c r="G766" t="s">
        <v>6182</v>
      </c>
      <c r="H766" s="2">
        <v>6</v>
      </c>
      <c r="I766" s="2" t="str">
        <f>_xlfn.XLOOKUP(F766,customers!A:A,customers!B:B)</f>
        <v>Bobby Folomkin</v>
      </c>
      <c r="J766" s="2" t="str">
        <f>_xlfn.XLOOKUP(F766,customers!A:A,customers!C:C)</f>
        <v>bfolomkinl8@yolasite.com</v>
      </c>
      <c r="K766" s="2" t="str">
        <f>_xlfn.XLOOKUP(F766,customers!A:A,customers!F:F)</f>
        <v>Fargo</v>
      </c>
      <c r="L766" s="2" t="str">
        <f>_xlfn.XLOOKUP(F766,customers!A:A,customers!G:G)</f>
        <v>United States</v>
      </c>
      <c r="M766" t="str">
        <f>_xlfn.XLOOKUP(G766,products!A:A,products!B:B)</f>
        <v>Ara</v>
      </c>
      <c r="N766" t="str">
        <f>_xlfn.XLOOKUP(G766,products!A:A,products!C:C)</f>
        <v>L</v>
      </c>
      <c r="O766">
        <f>_xlfn.XLOOKUP(G766,products!A:A,products!D:D)</f>
        <v>2.5</v>
      </c>
      <c r="P766">
        <f>_xlfn.XLOOKUP(G766,products!A:A,products!E:E)</f>
        <v>29.784999999999997</v>
      </c>
      <c r="Q766">
        <f t="shared" si="47"/>
        <v>178.70999999999998</v>
      </c>
      <c r="R766" t="str" cm="1">
        <f t="array" ref="R766">_xlfn.IFS(Q766&lt;=50,"low sales",Q766&lt;=100,"medium sales",Q766&gt;100,"High sales")</f>
        <v>High sales</v>
      </c>
    </row>
    <row r="767" spans="1:18" x14ac:dyDescent="0.35">
      <c r="A767" s="2" t="s">
        <v>4814</v>
      </c>
      <c r="B767" s="3">
        <v>43667</v>
      </c>
      <c r="C767" s="3" t="str">
        <f t="shared" si="44"/>
        <v>Sunday</v>
      </c>
      <c r="D767" s="3" t="str">
        <f t="shared" si="45"/>
        <v>July</v>
      </c>
      <c r="E767" s="3" t="str">
        <f t="shared" si="46"/>
        <v>2019</v>
      </c>
      <c r="F767" s="2" t="s">
        <v>4815</v>
      </c>
      <c r="G767" t="s">
        <v>6138</v>
      </c>
      <c r="H767" s="2">
        <v>6</v>
      </c>
      <c r="I767" s="2" t="str">
        <f>_xlfn.XLOOKUP(F767,customers!A:A,customers!B:B)</f>
        <v>Rafferty Pursglove</v>
      </c>
      <c r="J767" s="2" t="str">
        <f>_xlfn.XLOOKUP(F767,customers!A:A,customers!C:C)</f>
        <v>rpursglovel9@biblegateway.com</v>
      </c>
      <c r="K767" s="2" t="str">
        <f>_xlfn.XLOOKUP(F767,customers!A:A,customers!F:F)</f>
        <v>Garland</v>
      </c>
      <c r="L767" s="2" t="str">
        <f>_xlfn.XLOOKUP(F767,customers!A:A,customers!G:G)</f>
        <v>United States</v>
      </c>
      <c r="M767" t="str">
        <f>_xlfn.XLOOKUP(G767,products!A:A,products!B:B)</f>
        <v>Rob</v>
      </c>
      <c r="N767" t="str">
        <f>_xlfn.XLOOKUP(G767,products!A:A,products!C:C)</f>
        <v>M</v>
      </c>
      <c r="O767">
        <f>_xlfn.XLOOKUP(G767,products!A:A,products!D:D)</f>
        <v>1</v>
      </c>
      <c r="P767">
        <f>_xlfn.XLOOKUP(G767,products!A:A,products!E:E)</f>
        <v>9.9499999999999993</v>
      </c>
      <c r="Q767">
        <f t="shared" si="47"/>
        <v>59.699999999999996</v>
      </c>
      <c r="R767" t="str" cm="1">
        <f t="array" ref="R767">_xlfn.IFS(Q767&lt;=50,"low sales",Q767&lt;=100,"medium sales",Q767&gt;100,"High sales")</f>
        <v>medium sales</v>
      </c>
    </row>
    <row r="768" spans="1:18" x14ac:dyDescent="0.35">
      <c r="A768" s="2" t="s">
        <v>4814</v>
      </c>
      <c r="B768" s="3">
        <v>43667</v>
      </c>
      <c r="C768" s="3" t="str">
        <f t="shared" si="44"/>
        <v>Sunday</v>
      </c>
      <c r="D768" s="3" t="str">
        <f t="shared" si="45"/>
        <v>July</v>
      </c>
      <c r="E768" s="3" t="str">
        <f t="shared" si="46"/>
        <v>2019</v>
      </c>
      <c r="F768" s="2" t="s">
        <v>4815</v>
      </c>
      <c r="G768" t="s">
        <v>6180</v>
      </c>
      <c r="H768" s="2">
        <v>2</v>
      </c>
      <c r="I768" s="2" t="str">
        <f>_xlfn.XLOOKUP(F768,customers!A:A,customers!B:B)</f>
        <v>Rafferty Pursglove</v>
      </c>
      <c r="J768" s="2" t="str">
        <f>_xlfn.XLOOKUP(F768,customers!A:A,customers!C:C)</f>
        <v>rpursglovel9@biblegateway.com</v>
      </c>
      <c r="K768" s="2" t="str">
        <f>_xlfn.XLOOKUP(F768,customers!A:A,customers!F:F)</f>
        <v>Garland</v>
      </c>
      <c r="L768" s="2" t="str">
        <f>_xlfn.XLOOKUP(F768,customers!A:A,customers!G:G)</f>
        <v>United States</v>
      </c>
      <c r="M768" t="str">
        <f>_xlfn.XLOOKUP(G768,products!A:A,products!B:B)</f>
        <v>Ara</v>
      </c>
      <c r="N768" t="str">
        <f>_xlfn.XLOOKUP(G768,products!A:A,products!C:C)</f>
        <v>L</v>
      </c>
      <c r="O768">
        <f>_xlfn.XLOOKUP(G768,products!A:A,products!D:D)</f>
        <v>0.5</v>
      </c>
      <c r="P768">
        <f>_xlfn.XLOOKUP(G768,products!A:A,products!E:E)</f>
        <v>7.77</v>
      </c>
      <c r="Q768">
        <f t="shared" si="47"/>
        <v>15.54</v>
      </c>
      <c r="R768" t="str" cm="1">
        <f t="array" ref="R768">_xlfn.IFS(Q768&lt;=50,"low sales",Q768&lt;=100,"medium sales",Q768&gt;100,"High sales")</f>
        <v>low sales</v>
      </c>
    </row>
    <row r="769" spans="1:18" x14ac:dyDescent="0.35">
      <c r="A769" s="2" t="s">
        <v>4825</v>
      </c>
      <c r="B769" s="3">
        <v>44267</v>
      </c>
      <c r="C769" s="3" t="str">
        <f t="shared" si="44"/>
        <v>Friday</v>
      </c>
      <c r="D769" s="3" t="str">
        <f t="shared" si="45"/>
        <v>March</v>
      </c>
      <c r="E769" s="3" t="str">
        <f t="shared" si="46"/>
        <v>2021</v>
      </c>
      <c r="F769" s="2" t="s">
        <v>4759</v>
      </c>
      <c r="G769" t="s">
        <v>6182</v>
      </c>
      <c r="H769" s="2">
        <v>3</v>
      </c>
      <c r="I769" s="2" t="str">
        <f>_xlfn.XLOOKUP(F769,customers!A:A,customers!B:B)</f>
        <v>Foster Constance</v>
      </c>
      <c r="J769" s="2" t="str">
        <f>_xlfn.XLOOKUP(F769,customers!A:A,customers!C:C)</f>
        <v>fconstancekz@ifeng.com</v>
      </c>
      <c r="K769" s="2" t="str">
        <f>_xlfn.XLOOKUP(F769,customers!A:A,customers!F:F)</f>
        <v>Dallas</v>
      </c>
      <c r="L769" s="2" t="str">
        <f>_xlfn.XLOOKUP(F769,customers!A:A,customers!G:G)</f>
        <v>United States</v>
      </c>
      <c r="M769" t="str">
        <f>_xlfn.XLOOKUP(G769,products!A:A,products!B:B)</f>
        <v>Ara</v>
      </c>
      <c r="N769" t="str">
        <f>_xlfn.XLOOKUP(G769,products!A:A,products!C:C)</f>
        <v>L</v>
      </c>
      <c r="O769">
        <f>_xlfn.XLOOKUP(G769,products!A:A,products!D:D)</f>
        <v>2.5</v>
      </c>
      <c r="P769">
        <f>_xlfn.XLOOKUP(G769,products!A:A,products!E:E)</f>
        <v>29.784999999999997</v>
      </c>
      <c r="Q769">
        <f t="shared" si="47"/>
        <v>89.35499999999999</v>
      </c>
      <c r="R769" t="str" cm="1">
        <f t="array" ref="R769">_xlfn.IFS(Q769&lt;=50,"low sales",Q769&lt;=100,"medium sales",Q769&gt;100,"High sales")</f>
        <v>medium sales</v>
      </c>
    </row>
    <row r="770" spans="1:18" x14ac:dyDescent="0.35">
      <c r="A770" s="2" t="s">
        <v>4831</v>
      </c>
      <c r="B770" s="3">
        <v>44562</v>
      </c>
      <c r="C770" s="3" t="str">
        <f t="shared" si="44"/>
        <v>Saturday</v>
      </c>
      <c r="D770" s="3" t="str">
        <f t="shared" si="45"/>
        <v>January</v>
      </c>
      <c r="E770" s="3" t="str">
        <f t="shared" si="46"/>
        <v>2022</v>
      </c>
      <c r="F770" s="2" t="s">
        <v>4759</v>
      </c>
      <c r="G770" t="s">
        <v>6179</v>
      </c>
      <c r="H770" s="2">
        <v>2</v>
      </c>
      <c r="I770" s="2" t="str">
        <f>_xlfn.XLOOKUP(F770,customers!A:A,customers!B:B)</f>
        <v>Foster Constance</v>
      </c>
      <c r="J770" s="2" t="str">
        <f>_xlfn.XLOOKUP(F770,customers!A:A,customers!C:C)</f>
        <v>fconstancekz@ifeng.com</v>
      </c>
      <c r="K770" s="2" t="str">
        <f>_xlfn.XLOOKUP(F770,customers!A:A,customers!F:F)</f>
        <v>Dallas</v>
      </c>
      <c r="L770" s="2" t="str">
        <f>_xlfn.XLOOKUP(F770,customers!A:A,customers!G:G)</f>
        <v>United States</v>
      </c>
      <c r="M770" t="str">
        <f>_xlfn.XLOOKUP(G770,products!A:A,products!B:B)</f>
        <v>Rob</v>
      </c>
      <c r="N770" t="str">
        <f>_xlfn.XLOOKUP(G770,products!A:A,products!C:C)</f>
        <v>L</v>
      </c>
      <c r="O770">
        <f>_xlfn.XLOOKUP(G770,products!A:A,products!D:D)</f>
        <v>1</v>
      </c>
      <c r="P770">
        <f>_xlfn.XLOOKUP(G770,products!A:A,products!E:E)</f>
        <v>11.95</v>
      </c>
      <c r="Q770">
        <f t="shared" si="47"/>
        <v>23.9</v>
      </c>
      <c r="R770" t="str" cm="1">
        <f t="array" ref="R770">_xlfn.IFS(Q770&lt;=50,"low sales",Q770&lt;=100,"medium sales",Q770&gt;100,"High sales")</f>
        <v>low sales</v>
      </c>
    </row>
    <row r="771" spans="1:18" x14ac:dyDescent="0.35">
      <c r="A771" s="2" t="s">
        <v>4836</v>
      </c>
      <c r="B771" s="3">
        <v>43912</v>
      </c>
      <c r="C771" s="3" t="str">
        <f t="shared" ref="C771:C834" si="48">TEXT(B771,"DDDD")</f>
        <v>Sunday</v>
      </c>
      <c r="D771" s="3" t="str">
        <f t="shared" ref="D771:D834" si="49">TEXT(B771,"MMMM")</f>
        <v>March</v>
      </c>
      <c r="E771" s="3" t="str">
        <f t="shared" ref="E771:E834" si="50">TEXT(B771,"YYYY")</f>
        <v>2020</v>
      </c>
      <c r="F771" s="2" t="s">
        <v>4837</v>
      </c>
      <c r="G771" t="s">
        <v>6151</v>
      </c>
      <c r="H771" s="2">
        <v>6</v>
      </c>
      <c r="I771" s="2" t="str">
        <f>_xlfn.XLOOKUP(F771,customers!A:A,customers!B:B)</f>
        <v>Dalia Eburah</v>
      </c>
      <c r="J771" s="2" t="str">
        <f>_xlfn.XLOOKUP(F771,customers!A:A,customers!C:C)</f>
        <v>deburahld@google.co.jp</v>
      </c>
      <c r="K771" s="2" t="str">
        <f>_xlfn.XLOOKUP(F771,customers!A:A,customers!F:F)</f>
        <v>Birmingham</v>
      </c>
      <c r="L771" s="2" t="str">
        <f>_xlfn.XLOOKUP(F771,customers!A:A,customers!G:G)</f>
        <v>United Kingdom</v>
      </c>
      <c r="M771" t="str">
        <f>_xlfn.XLOOKUP(G771,products!A:A,products!B:B)</f>
        <v>Rob</v>
      </c>
      <c r="N771" t="str">
        <f>_xlfn.XLOOKUP(G771,products!A:A,products!C:C)</f>
        <v>M</v>
      </c>
      <c r="O771">
        <f>_xlfn.XLOOKUP(G771,products!A:A,products!D:D)</f>
        <v>2.5</v>
      </c>
      <c r="P771">
        <f>_xlfn.XLOOKUP(G771,products!A:A,products!E:E)</f>
        <v>22.884999999999998</v>
      </c>
      <c r="Q771">
        <f t="shared" ref="Q771:Q834" si="51">P771*H771</f>
        <v>137.31</v>
      </c>
      <c r="R771" t="str" cm="1">
        <f t="array" ref="R771">_xlfn.IFS(Q771&lt;=50,"low sales",Q771&lt;=100,"medium sales",Q771&gt;100,"High sales")</f>
        <v>High sales</v>
      </c>
    </row>
    <row r="772" spans="1:18" x14ac:dyDescent="0.35">
      <c r="A772" s="2" t="s">
        <v>4842</v>
      </c>
      <c r="B772" s="3">
        <v>44092</v>
      </c>
      <c r="C772" s="3" t="str">
        <f t="shared" si="48"/>
        <v>Friday</v>
      </c>
      <c r="D772" s="3" t="str">
        <f t="shared" si="49"/>
        <v>September</v>
      </c>
      <c r="E772" s="3" t="str">
        <f t="shared" si="50"/>
        <v>2020</v>
      </c>
      <c r="F772" s="2" t="s">
        <v>4843</v>
      </c>
      <c r="G772" t="s">
        <v>6147</v>
      </c>
      <c r="H772" s="2">
        <v>1</v>
      </c>
      <c r="I772" s="2" t="str">
        <f>_xlfn.XLOOKUP(F772,customers!A:A,customers!B:B)</f>
        <v>Martie Brimilcombe</v>
      </c>
      <c r="J772" s="2" t="str">
        <f>_xlfn.XLOOKUP(F772,customers!A:A,customers!C:C)</f>
        <v>mbrimilcombele@cnn.com</v>
      </c>
      <c r="K772" s="2" t="str">
        <f>_xlfn.XLOOKUP(F772,customers!A:A,customers!F:F)</f>
        <v>Springfield</v>
      </c>
      <c r="L772" s="2" t="str">
        <f>_xlfn.XLOOKUP(F772,customers!A:A,customers!G:G)</f>
        <v>United States</v>
      </c>
      <c r="M772" t="str">
        <f>_xlfn.XLOOKUP(G772,products!A:A,products!B:B)</f>
        <v>Ara</v>
      </c>
      <c r="N772" t="str">
        <f>_xlfn.XLOOKUP(G772,products!A:A,products!C:C)</f>
        <v>D</v>
      </c>
      <c r="O772">
        <f>_xlfn.XLOOKUP(G772,products!A:A,products!D:D)</f>
        <v>1</v>
      </c>
      <c r="P772">
        <f>_xlfn.XLOOKUP(G772,products!A:A,products!E:E)</f>
        <v>9.9499999999999993</v>
      </c>
      <c r="Q772">
        <f t="shared" si="51"/>
        <v>9.9499999999999993</v>
      </c>
      <c r="R772" t="str" cm="1">
        <f t="array" ref="R772">_xlfn.IFS(Q772&lt;=50,"low sales",Q772&lt;=100,"medium sales",Q772&gt;100,"High sales")</f>
        <v>low sales</v>
      </c>
    </row>
    <row r="773" spans="1:18" x14ac:dyDescent="0.35">
      <c r="A773" s="2" t="s">
        <v>4847</v>
      </c>
      <c r="B773" s="3">
        <v>43468</v>
      </c>
      <c r="C773" s="3" t="str">
        <f t="shared" si="48"/>
        <v>Thursday</v>
      </c>
      <c r="D773" s="3" t="str">
        <f t="shared" si="49"/>
        <v>January</v>
      </c>
      <c r="E773" s="3" t="str">
        <f t="shared" si="50"/>
        <v>2019</v>
      </c>
      <c r="F773" s="2" t="s">
        <v>4848</v>
      </c>
      <c r="G773" t="s">
        <v>6173</v>
      </c>
      <c r="H773" s="2">
        <v>3</v>
      </c>
      <c r="I773" s="2" t="str">
        <f>_xlfn.XLOOKUP(F773,customers!A:A,customers!B:B)</f>
        <v>Suzanna Bollam</v>
      </c>
      <c r="J773" s="2" t="str">
        <f>_xlfn.XLOOKUP(F773,customers!A:A,customers!C:C)</f>
        <v>sbollamlf@list-manage.com</v>
      </c>
      <c r="K773" s="2" t="str">
        <f>_xlfn.XLOOKUP(F773,customers!A:A,customers!F:F)</f>
        <v>Littleton</v>
      </c>
      <c r="L773" s="2" t="str">
        <f>_xlfn.XLOOKUP(F773,customers!A:A,customers!G:G)</f>
        <v>United States</v>
      </c>
      <c r="M773" t="str">
        <f>_xlfn.XLOOKUP(G773,products!A:A,products!B:B)</f>
        <v>Rob</v>
      </c>
      <c r="N773" t="str">
        <f>_xlfn.XLOOKUP(G773,products!A:A,products!C:C)</f>
        <v>L</v>
      </c>
      <c r="O773">
        <f>_xlfn.XLOOKUP(G773,products!A:A,products!D:D)</f>
        <v>0.5</v>
      </c>
      <c r="P773">
        <f>_xlfn.XLOOKUP(G773,products!A:A,products!E:E)</f>
        <v>7.169999999999999</v>
      </c>
      <c r="Q773">
        <f t="shared" si="51"/>
        <v>21.509999999999998</v>
      </c>
      <c r="R773" t="str" cm="1">
        <f t="array" ref="R773">_xlfn.IFS(Q773&lt;=50,"low sales",Q773&lt;=100,"medium sales",Q773&gt;100,"High sales")</f>
        <v>low sales</v>
      </c>
    </row>
    <row r="774" spans="1:18" x14ac:dyDescent="0.35">
      <c r="A774" s="2" t="s">
        <v>4853</v>
      </c>
      <c r="B774" s="3">
        <v>44468</v>
      </c>
      <c r="C774" s="3" t="str">
        <f t="shared" si="48"/>
        <v>Wednesday</v>
      </c>
      <c r="D774" s="3" t="str">
        <f t="shared" si="49"/>
        <v>September</v>
      </c>
      <c r="E774" s="3" t="str">
        <f t="shared" si="50"/>
        <v>2021</v>
      </c>
      <c r="F774" s="2" t="s">
        <v>4854</v>
      </c>
      <c r="G774" t="s">
        <v>6141</v>
      </c>
      <c r="H774" s="2">
        <v>6</v>
      </c>
      <c r="I774" s="2" t="str">
        <f>_xlfn.XLOOKUP(F774,customers!A:A,customers!B:B)</f>
        <v>Mellisa Mebes</v>
      </c>
      <c r="J774" s="2">
        <f>_xlfn.XLOOKUP(F774,customers!A:A,customers!C:C)</f>
        <v>0</v>
      </c>
      <c r="K774" s="2" t="str">
        <f>_xlfn.XLOOKUP(F774,customers!A:A,customers!F:F)</f>
        <v>Baltimore</v>
      </c>
      <c r="L774" s="2" t="str">
        <f>_xlfn.XLOOKUP(F774,customers!A:A,customers!G:G)</f>
        <v>United States</v>
      </c>
      <c r="M774" t="str">
        <f>_xlfn.XLOOKUP(G774,products!A:A,products!B:B)</f>
        <v>Exc</v>
      </c>
      <c r="N774" t="str">
        <f>_xlfn.XLOOKUP(G774,products!A:A,products!C:C)</f>
        <v>M</v>
      </c>
      <c r="O774">
        <f>_xlfn.XLOOKUP(G774,products!A:A,products!D:D)</f>
        <v>1</v>
      </c>
      <c r="P774">
        <f>_xlfn.XLOOKUP(G774,products!A:A,products!E:E)</f>
        <v>13.75</v>
      </c>
      <c r="Q774">
        <f t="shared" si="51"/>
        <v>82.5</v>
      </c>
      <c r="R774" t="str" cm="1">
        <f t="array" ref="R774">_xlfn.IFS(Q774&lt;=50,"low sales",Q774&lt;=100,"medium sales",Q774&gt;100,"High sales")</f>
        <v>medium sales</v>
      </c>
    </row>
    <row r="775" spans="1:18" x14ac:dyDescent="0.35">
      <c r="A775" s="2" t="s">
        <v>4858</v>
      </c>
      <c r="B775" s="3">
        <v>44488</v>
      </c>
      <c r="C775" s="3" t="str">
        <f t="shared" si="48"/>
        <v>Tuesday</v>
      </c>
      <c r="D775" s="3" t="str">
        <f t="shared" si="49"/>
        <v>October</v>
      </c>
      <c r="E775" s="3" t="str">
        <f t="shared" si="50"/>
        <v>2021</v>
      </c>
      <c r="F775" s="2" t="s">
        <v>4859</v>
      </c>
      <c r="G775" t="s">
        <v>6159</v>
      </c>
      <c r="H775" s="2">
        <v>2</v>
      </c>
      <c r="I775" s="2" t="str">
        <f>_xlfn.XLOOKUP(F775,customers!A:A,customers!B:B)</f>
        <v>Alva Filipczak</v>
      </c>
      <c r="J775" s="2" t="str">
        <f>_xlfn.XLOOKUP(F775,customers!A:A,customers!C:C)</f>
        <v>afilipczaklh@ning.com</v>
      </c>
      <c r="K775" s="2" t="str">
        <f>_xlfn.XLOOKUP(F775,customers!A:A,customers!F:F)</f>
        <v>Moycullen</v>
      </c>
      <c r="L775" s="2" t="str">
        <f>_xlfn.XLOOKUP(F775,customers!A:A,customers!G:G)</f>
        <v>Ireland</v>
      </c>
      <c r="M775" t="str">
        <f>_xlfn.XLOOKUP(G775,products!A:A,products!B:B)</f>
        <v>Lib</v>
      </c>
      <c r="N775" t="str">
        <f>_xlfn.XLOOKUP(G775,products!A:A,products!C:C)</f>
        <v>M</v>
      </c>
      <c r="O775">
        <f>_xlfn.XLOOKUP(G775,products!A:A,products!D:D)</f>
        <v>0.2</v>
      </c>
      <c r="P775">
        <f>_xlfn.XLOOKUP(G775,products!A:A,products!E:E)</f>
        <v>4.3650000000000002</v>
      </c>
      <c r="Q775">
        <f t="shared" si="51"/>
        <v>8.73</v>
      </c>
      <c r="R775" t="str" cm="1">
        <f t="array" ref="R775">_xlfn.IFS(Q775&lt;=50,"low sales",Q775&lt;=100,"medium sales",Q775&gt;100,"High sales")</f>
        <v>low sales</v>
      </c>
    </row>
    <row r="776" spans="1:18" x14ac:dyDescent="0.35">
      <c r="A776" s="2" t="s">
        <v>4864</v>
      </c>
      <c r="B776" s="3">
        <v>44756</v>
      </c>
      <c r="C776" s="3" t="str">
        <f t="shared" si="48"/>
        <v>Thursday</v>
      </c>
      <c r="D776" s="3" t="str">
        <f t="shared" si="49"/>
        <v>July</v>
      </c>
      <c r="E776" s="3" t="str">
        <f t="shared" si="50"/>
        <v>2022</v>
      </c>
      <c r="F776" s="2" t="s">
        <v>4865</v>
      </c>
      <c r="G776" t="s">
        <v>6138</v>
      </c>
      <c r="H776" s="2">
        <v>2</v>
      </c>
      <c r="I776" s="2" t="str">
        <f>_xlfn.XLOOKUP(F776,customers!A:A,customers!B:B)</f>
        <v>Dorette Hinemoor</v>
      </c>
      <c r="J776" s="2">
        <f>_xlfn.XLOOKUP(F776,customers!A:A,customers!C:C)</f>
        <v>0</v>
      </c>
      <c r="K776" s="2" t="str">
        <f>_xlfn.XLOOKUP(F776,customers!A:A,customers!F:F)</f>
        <v>Fort Lauderdale</v>
      </c>
      <c r="L776" s="2" t="str">
        <f>_xlfn.XLOOKUP(F776,customers!A:A,customers!G:G)</f>
        <v>United States</v>
      </c>
      <c r="M776" t="str">
        <f>_xlfn.XLOOKUP(G776,products!A:A,products!B:B)</f>
        <v>Rob</v>
      </c>
      <c r="N776" t="str">
        <f>_xlfn.XLOOKUP(G776,products!A:A,products!C:C)</f>
        <v>M</v>
      </c>
      <c r="O776">
        <f>_xlfn.XLOOKUP(G776,products!A:A,products!D:D)</f>
        <v>1</v>
      </c>
      <c r="P776">
        <f>_xlfn.XLOOKUP(G776,products!A:A,products!E:E)</f>
        <v>9.9499999999999993</v>
      </c>
      <c r="Q776">
        <f t="shared" si="51"/>
        <v>19.899999999999999</v>
      </c>
      <c r="R776" t="str" cm="1">
        <f t="array" ref="R776">_xlfn.IFS(Q776&lt;=50,"low sales",Q776&lt;=100,"medium sales",Q776&gt;100,"High sales")</f>
        <v>low sales</v>
      </c>
    </row>
    <row r="777" spans="1:18" x14ac:dyDescent="0.35">
      <c r="A777" s="2" t="s">
        <v>4869</v>
      </c>
      <c r="B777" s="3">
        <v>44396</v>
      </c>
      <c r="C777" s="3" t="str">
        <f t="shared" si="48"/>
        <v>Monday</v>
      </c>
      <c r="D777" s="3" t="str">
        <f t="shared" si="49"/>
        <v>July</v>
      </c>
      <c r="E777" s="3" t="str">
        <f t="shared" si="50"/>
        <v>2021</v>
      </c>
      <c r="F777" s="2" t="s">
        <v>4870</v>
      </c>
      <c r="G777" t="s">
        <v>6176</v>
      </c>
      <c r="H777" s="2">
        <v>2</v>
      </c>
      <c r="I777" s="2" t="str">
        <f>_xlfn.XLOOKUP(F777,customers!A:A,customers!B:B)</f>
        <v>Rhetta Elnaugh</v>
      </c>
      <c r="J777" s="2" t="str">
        <f>_xlfn.XLOOKUP(F777,customers!A:A,customers!C:C)</f>
        <v>relnaughlj@comsenz.com</v>
      </c>
      <c r="K777" s="2" t="str">
        <f>_xlfn.XLOOKUP(F777,customers!A:A,customers!F:F)</f>
        <v>San Diego</v>
      </c>
      <c r="L777" s="2" t="str">
        <f>_xlfn.XLOOKUP(F777,customers!A:A,customers!G:G)</f>
        <v>United States</v>
      </c>
      <c r="M777" t="str">
        <f>_xlfn.XLOOKUP(G777,products!A:A,products!B:B)</f>
        <v>Exc</v>
      </c>
      <c r="N777" t="str">
        <f>_xlfn.XLOOKUP(G777,products!A:A,products!C:C)</f>
        <v>L</v>
      </c>
      <c r="O777">
        <f>_xlfn.XLOOKUP(G777,products!A:A,products!D:D)</f>
        <v>0.5</v>
      </c>
      <c r="P777">
        <f>_xlfn.XLOOKUP(G777,products!A:A,products!E:E)</f>
        <v>8.91</v>
      </c>
      <c r="Q777">
        <f t="shared" si="51"/>
        <v>17.82</v>
      </c>
      <c r="R777" t="str" cm="1">
        <f t="array" ref="R777">_xlfn.IFS(Q777&lt;=50,"low sales",Q777&lt;=100,"medium sales",Q777&gt;100,"High sales")</f>
        <v>low sales</v>
      </c>
    </row>
    <row r="778" spans="1:18" x14ac:dyDescent="0.35">
      <c r="A778" s="2" t="s">
        <v>4875</v>
      </c>
      <c r="B778" s="3">
        <v>44540</v>
      </c>
      <c r="C778" s="3" t="str">
        <f t="shared" si="48"/>
        <v>Friday</v>
      </c>
      <c r="D778" s="3" t="str">
        <f t="shared" si="49"/>
        <v>December</v>
      </c>
      <c r="E778" s="3" t="str">
        <f t="shared" si="50"/>
        <v>2021</v>
      </c>
      <c r="F778" s="2" t="s">
        <v>4876</v>
      </c>
      <c r="G778" t="s">
        <v>6157</v>
      </c>
      <c r="H778" s="2">
        <v>3</v>
      </c>
      <c r="I778" s="2" t="str">
        <f>_xlfn.XLOOKUP(F778,customers!A:A,customers!B:B)</f>
        <v>Jule Deehan</v>
      </c>
      <c r="J778" s="2" t="str">
        <f>_xlfn.XLOOKUP(F778,customers!A:A,customers!C:C)</f>
        <v>jdeehanlk@about.me</v>
      </c>
      <c r="K778" s="2" t="str">
        <f>_xlfn.XLOOKUP(F778,customers!A:A,customers!F:F)</f>
        <v>Dallas</v>
      </c>
      <c r="L778" s="2" t="str">
        <f>_xlfn.XLOOKUP(F778,customers!A:A,customers!G:G)</f>
        <v>United States</v>
      </c>
      <c r="M778" t="str">
        <f>_xlfn.XLOOKUP(G778,products!A:A,products!B:B)</f>
        <v>Ara</v>
      </c>
      <c r="N778" t="str">
        <f>_xlfn.XLOOKUP(G778,products!A:A,products!C:C)</f>
        <v>M</v>
      </c>
      <c r="O778">
        <f>_xlfn.XLOOKUP(G778,products!A:A,products!D:D)</f>
        <v>0.5</v>
      </c>
      <c r="P778">
        <f>_xlfn.XLOOKUP(G778,products!A:A,products!E:E)</f>
        <v>6.75</v>
      </c>
      <c r="Q778">
        <f t="shared" si="51"/>
        <v>20.25</v>
      </c>
      <c r="R778" t="str" cm="1">
        <f t="array" ref="R778">_xlfn.IFS(Q778&lt;=50,"low sales",Q778&lt;=100,"medium sales",Q778&gt;100,"High sales")</f>
        <v>low sales</v>
      </c>
    </row>
    <row r="779" spans="1:18" x14ac:dyDescent="0.35">
      <c r="A779" s="2" t="s">
        <v>4881</v>
      </c>
      <c r="B779" s="3">
        <v>43541</v>
      </c>
      <c r="C779" s="3" t="str">
        <f t="shared" si="48"/>
        <v>Sunday</v>
      </c>
      <c r="D779" s="3" t="str">
        <f t="shared" si="49"/>
        <v>March</v>
      </c>
      <c r="E779" s="3" t="str">
        <f t="shared" si="50"/>
        <v>2019</v>
      </c>
      <c r="F779" s="2" t="s">
        <v>4882</v>
      </c>
      <c r="G779" t="s">
        <v>6182</v>
      </c>
      <c r="H779" s="2">
        <v>2</v>
      </c>
      <c r="I779" s="2" t="str">
        <f>_xlfn.XLOOKUP(F779,customers!A:A,customers!B:B)</f>
        <v>Janella Eden</v>
      </c>
      <c r="J779" s="2" t="str">
        <f>_xlfn.XLOOKUP(F779,customers!A:A,customers!C:C)</f>
        <v>jedenll@e-recht24.de</v>
      </c>
      <c r="K779" s="2" t="str">
        <f>_xlfn.XLOOKUP(F779,customers!A:A,customers!F:F)</f>
        <v>Joliet</v>
      </c>
      <c r="L779" s="2" t="str">
        <f>_xlfn.XLOOKUP(F779,customers!A:A,customers!G:G)</f>
        <v>United States</v>
      </c>
      <c r="M779" t="str">
        <f>_xlfn.XLOOKUP(G779,products!A:A,products!B:B)</f>
        <v>Ara</v>
      </c>
      <c r="N779" t="str">
        <f>_xlfn.XLOOKUP(G779,products!A:A,products!C:C)</f>
        <v>L</v>
      </c>
      <c r="O779">
        <f>_xlfn.XLOOKUP(G779,products!A:A,products!D:D)</f>
        <v>2.5</v>
      </c>
      <c r="P779">
        <f>_xlfn.XLOOKUP(G779,products!A:A,products!E:E)</f>
        <v>29.784999999999997</v>
      </c>
      <c r="Q779">
        <f t="shared" si="51"/>
        <v>59.569999999999993</v>
      </c>
      <c r="R779" t="str" cm="1">
        <f t="array" ref="R779">_xlfn.IFS(Q779&lt;=50,"low sales",Q779&lt;=100,"medium sales",Q779&gt;100,"High sales")</f>
        <v>medium sales</v>
      </c>
    </row>
    <row r="780" spans="1:18" x14ac:dyDescent="0.35">
      <c r="A780" s="2" t="s">
        <v>4886</v>
      </c>
      <c r="B780" s="3">
        <v>43889</v>
      </c>
      <c r="C780" s="3" t="str">
        <f t="shared" si="48"/>
        <v>Friday</v>
      </c>
      <c r="D780" s="3" t="str">
        <f t="shared" si="49"/>
        <v>February</v>
      </c>
      <c r="E780" s="3" t="str">
        <f t="shared" si="50"/>
        <v>2020</v>
      </c>
      <c r="F780" s="2" t="s">
        <v>4933</v>
      </c>
      <c r="G780" t="s">
        <v>6161</v>
      </c>
      <c r="H780" s="2">
        <v>2</v>
      </c>
      <c r="I780" s="2" t="str">
        <f>_xlfn.XLOOKUP(F780,customers!A:A,customers!B:B)</f>
        <v>Cam Jewster</v>
      </c>
      <c r="J780" s="2" t="str">
        <f>_xlfn.XLOOKUP(F780,customers!A:A,customers!C:C)</f>
        <v>cjewsterlu@moonfruit.com</v>
      </c>
      <c r="K780" s="2" t="str">
        <f>_xlfn.XLOOKUP(F780,customers!A:A,customers!F:F)</f>
        <v>Dayton</v>
      </c>
      <c r="L780" s="2" t="str">
        <f>_xlfn.XLOOKUP(F780,customers!A:A,customers!G:G)</f>
        <v>United States</v>
      </c>
      <c r="M780" t="str">
        <f>_xlfn.XLOOKUP(G780,products!A:A,products!B:B)</f>
        <v>Lib</v>
      </c>
      <c r="N780" t="str">
        <f>_xlfn.XLOOKUP(G780,products!A:A,products!C:C)</f>
        <v>L</v>
      </c>
      <c r="O780">
        <f>_xlfn.XLOOKUP(G780,products!A:A,products!D:D)</f>
        <v>0.5</v>
      </c>
      <c r="P780">
        <f>_xlfn.XLOOKUP(G780,products!A:A,products!E:E)</f>
        <v>9.51</v>
      </c>
      <c r="Q780">
        <f t="shared" si="51"/>
        <v>19.02</v>
      </c>
      <c r="R780" t="str" cm="1">
        <f t="array" ref="R780">_xlfn.IFS(Q780&lt;=50,"low sales",Q780&lt;=100,"medium sales",Q780&gt;100,"High sales")</f>
        <v>low sales</v>
      </c>
    </row>
    <row r="781" spans="1:18" x14ac:dyDescent="0.35">
      <c r="A781" s="2" t="s">
        <v>4892</v>
      </c>
      <c r="B781" s="3">
        <v>43985</v>
      </c>
      <c r="C781" s="3" t="str">
        <f t="shared" si="48"/>
        <v>Wednesday</v>
      </c>
      <c r="D781" s="3" t="str">
        <f t="shared" si="49"/>
        <v>June</v>
      </c>
      <c r="E781" s="3" t="str">
        <f t="shared" si="50"/>
        <v>2020</v>
      </c>
      <c r="F781" s="2" t="s">
        <v>4893</v>
      </c>
      <c r="G781" t="s">
        <v>6143</v>
      </c>
      <c r="H781" s="2">
        <v>6</v>
      </c>
      <c r="I781" s="2" t="str">
        <f>_xlfn.XLOOKUP(F781,customers!A:A,customers!B:B)</f>
        <v>Ugo Southerden</v>
      </c>
      <c r="J781" s="2" t="str">
        <f>_xlfn.XLOOKUP(F781,customers!A:A,customers!C:C)</f>
        <v>usoutherdenln@hao123.com</v>
      </c>
      <c r="K781" s="2" t="str">
        <f>_xlfn.XLOOKUP(F781,customers!A:A,customers!F:F)</f>
        <v>Clearwater</v>
      </c>
      <c r="L781" s="2" t="str">
        <f>_xlfn.XLOOKUP(F781,customers!A:A,customers!G:G)</f>
        <v>United States</v>
      </c>
      <c r="M781" t="str">
        <f>_xlfn.XLOOKUP(G781,products!A:A,products!B:B)</f>
        <v>Lib</v>
      </c>
      <c r="N781" t="str">
        <f>_xlfn.XLOOKUP(G781,products!A:A,products!C:C)</f>
        <v>D</v>
      </c>
      <c r="O781">
        <f>_xlfn.XLOOKUP(G781,products!A:A,products!D:D)</f>
        <v>1</v>
      </c>
      <c r="P781">
        <f>_xlfn.XLOOKUP(G781,products!A:A,products!E:E)</f>
        <v>12.95</v>
      </c>
      <c r="Q781">
        <f t="shared" si="51"/>
        <v>77.699999999999989</v>
      </c>
      <c r="R781" t="str" cm="1">
        <f t="array" ref="R781">_xlfn.IFS(Q781&lt;=50,"low sales",Q781&lt;=100,"medium sales",Q781&gt;100,"High sales")</f>
        <v>medium sales</v>
      </c>
    </row>
    <row r="782" spans="1:18" x14ac:dyDescent="0.35">
      <c r="A782" s="2" t="s">
        <v>4898</v>
      </c>
      <c r="B782" s="3">
        <v>43883</v>
      </c>
      <c r="C782" s="3" t="str">
        <f t="shared" si="48"/>
        <v>Saturday</v>
      </c>
      <c r="D782" s="3" t="str">
        <f t="shared" si="49"/>
        <v>February</v>
      </c>
      <c r="E782" s="3" t="str">
        <f t="shared" si="50"/>
        <v>2020</v>
      </c>
      <c r="F782" s="2" t="s">
        <v>4899</v>
      </c>
      <c r="G782" t="s">
        <v>6141</v>
      </c>
      <c r="H782" s="2">
        <v>3</v>
      </c>
      <c r="I782" s="2" t="str">
        <f>_xlfn.XLOOKUP(F782,customers!A:A,customers!B:B)</f>
        <v>Verne Dunkerley</v>
      </c>
      <c r="J782" s="2">
        <f>_xlfn.XLOOKUP(F782,customers!A:A,customers!C:C)</f>
        <v>0</v>
      </c>
      <c r="K782" s="2" t="str">
        <f>_xlfn.XLOOKUP(F782,customers!A:A,customers!F:F)</f>
        <v>Minneapolis</v>
      </c>
      <c r="L782" s="2" t="str">
        <f>_xlfn.XLOOKUP(F782,customers!A:A,customers!G:G)</f>
        <v>United States</v>
      </c>
      <c r="M782" t="str">
        <f>_xlfn.XLOOKUP(G782,products!A:A,products!B:B)</f>
        <v>Exc</v>
      </c>
      <c r="N782" t="str">
        <f>_xlfn.XLOOKUP(G782,products!A:A,products!C:C)</f>
        <v>M</v>
      </c>
      <c r="O782">
        <f>_xlfn.XLOOKUP(G782,products!A:A,products!D:D)</f>
        <v>1</v>
      </c>
      <c r="P782">
        <f>_xlfn.XLOOKUP(G782,products!A:A,products!E:E)</f>
        <v>13.75</v>
      </c>
      <c r="Q782">
        <f t="shared" si="51"/>
        <v>41.25</v>
      </c>
      <c r="R782" t="str" cm="1">
        <f t="array" ref="R782">_xlfn.IFS(Q782&lt;=50,"low sales",Q782&lt;=100,"medium sales",Q782&gt;100,"High sales")</f>
        <v>low sales</v>
      </c>
    </row>
    <row r="783" spans="1:18" x14ac:dyDescent="0.35">
      <c r="A783" s="2" t="s">
        <v>4903</v>
      </c>
      <c r="B783" s="3">
        <v>43778</v>
      </c>
      <c r="C783" s="3" t="str">
        <f t="shared" si="48"/>
        <v>Saturday</v>
      </c>
      <c r="D783" s="3" t="str">
        <f t="shared" si="49"/>
        <v>November</v>
      </c>
      <c r="E783" s="3" t="str">
        <f t="shared" si="50"/>
        <v>2019</v>
      </c>
      <c r="F783" s="2" t="s">
        <v>4904</v>
      </c>
      <c r="G783" t="s">
        <v>6164</v>
      </c>
      <c r="H783" s="2">
        <v>4</v>
      </c>
      <c r="I783" s="2" t="str">
        <f>_xlfn.XLOOKUP(F783,customers!A:A,customers!B:B)</f>
        <v>Lacee Burtenshaw</v>
      </c>
      <c r="J783" s="2" t="str">
        <f>_xlfn.XLOOKUP(F783,customers!A:A,customers!C:C)</f>
        <v>lburtenshawlp@shinystat.com</v>
      </c>
      <c r="K783" s="2" t="str">
        <f>_xlfn.XLOOKUP(F783,customers!A:A,customers!F:F)</f>
        <v>Lawrenceville</v>
      </c>
      <c r="L783" s="2" t="str">
        <f>_xlfn.XLOOKUP(F783,customers!A:A,customers!G:G)</f>
        <v>United States</v>
      </c>
      <c r="M783" t="str">
        <f>_xlfn.XLOOKUP(G783,products!A:A,products!B:B)</f>
        <v>Lib</v>
      </c>
      <c r="N783" t="str">
        <f>_xlfn.XLOOKUP(G783,products!A:A,products!C:C)</f>
        <v>L</v>
      </c>
      <c r="O783">
        <f>_xlfn.XLOOKUP(G783,products!A:A,products!D:D)</f>
        <v>2.5</v>
      </c>
      <c r="P783">
        <f>_xlfn.XLOOKUP(G783,products!A:A,products!E:E)</f>
        <v>36.454999999999998</v>
      </c>
      <c r="Q783">
        <f t="shared" si="51"/>
        <v>145.82</v>
      </c>
      <c r="R783" t="str" cm="1">
        <f t="array" ref="R783">_xlfn.IFS(Q783&lt;=50,"low sales",Q783&lt;=100,"medium sales",Q783&gt;100,"High sales")</f>
        <v>High sales</v>
      </c>
    </row>
    <row r="784" spans="1:18" x14ac:dyDescent="0.35">
      <c r="A784" s="2" t="s">
        <v>4909</v>
      </c>
      <c r="B784" s="3">
        <v>43897</v>
      </c>
      <c r="C784" s="3" t="str">
        <f t="shared" si="48"/>
        <v>Saturday</v>
      </c>
      <c r="D784" s="3" t="str">
        <f t="shared" si="49"/>
        <v>March</v>
      </c>
      <c r="E784" s="3" t="str">
        <f t="shared" si="50"/>
        <v>2020</v>
      </c>
      <c r="F784" s="2" t="s">
        <v>4910</v>
      </c>
      <c r="G784" t="s">
        <v>6184</v>
      </c>
      <c r="H784" s="2">
        <v>6</v>
      </c>
      <c r="I784" s="2" t="str">
        <f>_xlfn.XLOOKUP(F784,customers!A:A,customers!B:B)</f>
        <v>Adorne Gregoratti</v>
      </c>
      <c r="J784" s="2" t="str">
        <f>_xlfn.XLOOKUP(F784,customers!A:A,customers!C:C)</f>
        <v>agregorattilq@vistaprint.com</v>
      </c>
      <c r="K784" s="2" t="str">
        <f>_xlfn.XLOOKUP(F784,customers!A:A,customers!F:F)</f>
        <v>Malahide</v>
      </c>
      <c r="L784" s="2" t="str">
        <f>_xlfn.XLOOKUP(F784,customers!A:A,customers!G:G)</f>
        <v>Ireland</v>
      </c>
      <c r="M784" t="str">
        <f>_xlfn.XLOOKUP(G784,products!A:A,products!B:B)</f>
        <v>Exc</v>
      </c>
      <c r="N784" t="str">
        <f>_xlfn.XLOOKUP(G784,products!A:A,products!C:C)</f>
        <v>L</v>
      </c>
      <c r="O784">
        <f>_xlfn.XLOOKUP(G784,products!A:A,products!D:D)</f>
        <v>0.2</v>
      </c>
      <c r="P784">
        <f>_xlfn.XLOOKUP(G784,products!A:A,products!E:E)</f>
        <v>4.4550000000000001</v>
      </c>
      <c r="Q784">
        <f t="shared" si="51"/>
        <v>26.73</v>
      </c>
      <c r="R784" t="str" cm="1">
        <f t="array" ref="R784">_xlfn.IFS(Q784&lt;=50,"low sales",Q784&lt;=100,"medium sales",Q784&gt;100,"High sales")</f>
        <v>low sales</v>
      </c>
    </row>
    <row r="785" spans="1:18" x14ac:dyDescent="0.35">
      <c r="A785" s="2" t="s">
        <v>4915</v>
      </c>
      <c r="B785" s="3">
        <v>44312</v>
      </c>
      <c r="C785" s="3" t="str">
        <f t="shared" si="48"/>
        <v>Monday</v>
      </c>
      <c r="D785" s="3" t="str">
        <f t="shared" si="49"/>
        <v>April</v>
      </c>
      <c r="E785" s="3" t="str">
        <f t="shared" si="50"/>
        <v>2021</v>
      </c>
      <c r="F785" s="2" t="s">
        <v>4916</v>
      </c>
      <c r="G785" t="s">
        <v>6160</v>
      </c>
      <c r="H785" s="2">
        <v>5</v>
      </c>
      <c r="I785" s="2" t="str">
        <f>_xlfn.XLOOKUP(F785,customers!A:A,customers!B:B)</f>
        <v>Chris Croster</v>
      </c>
      <c r="J785" s="2" t="str">
        <f>_xlfn.XLOOKUP(F785,customers!A:A,customers!C:C)</f>
        <v>ccrosterlr@gov.uk</v>
      </c>
      <c r="K785" s="2" t="str">
        <f>_xlfn.XLOOKUP(F785,customers!A:A,customers!F:F)</f>
        <v>Tampa</v>
      </c>
      <c r="L785" s="2" t="str">
        <f>_xlfn.XLOOKUP(F785,customers!A:A,customers!G:G)</f>
        <v>United States</v>
      </c>
      <c r="M785" t="str">
        <f>_xlfn.XLOOKUP(G785,products!A:A,products!B:B)</f>
        <v>Lib</v>
      </c>
      <c r="N785" t="str">
        <f>_xlfn.XLOOKUP(G785,products!A:A,products!C:C)</f>
        <v>M</v>
      </c>
      <c r="O785">
        <f>_xlfn.XLOOKUP(G785,products!A:A,products!D:D)</f>
        <v>0.5</v>
      </c>
      <c r="P785">
        <f>_xlfn.XLOOKUP(G785,products!A:A,products!E:E)</f>
        <v>8.73</v>
      </c>
      <c r="Q785">
        <f t="shared" si="51"/>
        <v>43.650000000000006</v>
      </c>
      <c r="R785" t="str" cm="1">
        <f t="array" ref="R785">_xlfn.IFS(Q785&lt;=50,"low sales",Q785&lt;=100,"medium sales",Q785&gt;100,"High sales")</f>
        <v>low sales</v>
      </c>
    </row>
    <row r="786" spans="1:18" x14ac:dyDescent="0.35">
      <c r="A786" s="2" t="s">
        <v>4921</v>
      </c>
      <c r="B786" s="3">
        <v>44511</v>
      </c>
      <c r="C786" s="3" t="str">
        <f t="shared" si="48"/>
        <v>Thursday</v>
      </c>
      <c r="D786" s="3" t="str">
        <f t="shared" si="49"/>
        <v>November</v>
      </c>
      <c r="E786" s="3" t="str">
        <f t="shared" si="50"/>
        <v>2021</v>
      </c>
      <c r="F786" s="2" t="s">
        <v>4922</v>
      </c>
      <c r="G786" t="s">
        <v>6170</v>
      </c>
      <c r="H786" s="2">
        <v>2</v>
      </c>
      <c r="I786" s="2" t="str">
        <f>_xlfn.XLOOKUP(F786,customers!A:A,customers!B:B)</f>
        <v>Graeme Whitehead</v>
      </c>
      <c r="J786" s="2" t="str">
        <f>_xlfn.XLOOKUP(F786,customers!A:A,customers!C:C)</f>
        <v>gwhiteheadls@hp.com</v>
      </c>
      <c r="K786" s="2" t="str">
        <f>_xlfn.XLOOKUP(F786,customers!A:A,customers!F:F)</f>
        <v>Nashville</v>
      </c>
      <c r="L786" s="2" t="str">
        <f>_xlfn.XLOOKUP(F786,customers!A:A,customers!G:G)</f>
        <v>United States</v>
      </c>
      <c r="M786" t="str">
        <f>_xlfn.XLOOKUP(G786,products!A:A,products!B:B)</f>
        <v>Lib</v>
      </c>
      <c r="N786" t="str">
        <f>_xlfn.XLOOKUP(G786,products!A:A,products!C:C)</f>
        <v>L</v>
      </c>
      <c r="O786">
        <f>_xlfn.XLOOKUP(G786,products!A:A,products!D:D)</f>
        <v>1</v>
      </c>
      <c r="P786">
        <f>_xlfn.XLOOKUP(G786,products!A:A,products!E:E)</f>
        <v>15.85</v>
      </c>
      <c r="Q786">
        <f t="shared" si="51"/>
        <v>31.7</v>
      </c>
      <c r="R786" t="str" cm="1">
        <f t="array" ref="R786">_xlfn.IFS(Q786&lt;=50,"low sales",Q786&lt;=100,"medium sales",Q786&gt;100,"High sales")</f>
        <v>low sales</v>
      </c>
    </row>
    <row r="787" spans="1:18" x14ac:dyDescent="0.35">
      <c r="A787" s="2" t="s">
        <v>4926</v>
      </c>
      <c r="B787" s="3">
        <v>44362</v>
      </c>
      <c r="C787" s="3" t="str">
        <f t="shared" si="48"/>
        <v>Tuesday</v>
      </c>
      <c r="D787" s="3" t="str">
        <f t="shared" si="49"/>
        <v>June</v>
      </c>
      <c r="E787" s="3" t="str">
        <f t="shared" si="50"/>
        <v>2021</v>
      </c>
      <c r="F787" s="2" t="s">
        <v>4927</v>
      </c>
      <c r="G787" t="s">
        <v>6168</v>
      </c>
      <c r="H787" s="2">
        <v>1</v>
      </c>
      <c r="I787" s="2" t="str">
        <f>_xlfn.XLOOKUP(F787,customers!A:A,customers!B:B)</f>
        <v>Haslett Jodrelle</v>
      </c>
      <c r="J787" s="2" t="str">
        <f>_xlfn.XLOOKUP(F787,customers!A:A,customers!C:C)</f>
        <v>hjodrellelt@samsung.com</v>
      </c>
      <c r="K787" s="2" t="str">
        <f>_xlfn.XLOOKUP(F787,customers!A:A,customers!F:F)</f>
        <v>Miami</v>
      </c>
      <c r="L787" s="2" t="str">
        <f>_xlfn.XLOOKUP(F787,customers!A:A,customers!G:G)</f>
        <v>United States</v>
      </c>
      <c r="M787" t="str">
        <f>_xlfn.XLOOKUP(G787,products!A:A,products!B:B)</f>
        <v>Ara</v>
      </c>
      <c r="N787" t="str">
        <f>_xlfn.XLOOKUP(G787,products!A:A,products!C:C)</f>
        <v>D</v>
      </c>
      <c r="O787">
        <f>_xlfn.XLOOKUP(G787,products!A:A,products!D:D)</f>
        <v>2.5</v>
      </c>
      <c r="P787">
        <f>_xlfn.XLOOKUP(G787,products!A:A,products!E:E)</f>
        <v>22.884999999999998</v>
      </c>
      <c r="Q787">
        <f t="shared" si="51"/>
        <v>22.884999999999998</v>
      </c>
      <c r="R787" t="str" cm="1">
        <f t="array" ref="R787">_xlfn.IFS(Q787&lt;=50,"low sales",Q787&lt;=100,"medium sales",Q787&gt;100,"High sales")</f>
        <v>low sales</v>
      </c>
    </row>
    <row r="788" spans="1:18" x14ac:dyDescent="0.35">
      <c r="A788" s="2" t="s">
        <v>4932</v>
      </c>
      <c r="B788" s="3">
        <v>43888</v>
      </c>
      <c r="C788" s="3" t="str">
        <f t="shared" si="48"/>
        <v>Thursday</v>
      </c>
      <c r="D788" s="3" t="str">
        <f t="shared" si="49"/>
        <v>February</v>
      </c>
      <c r="E788" s="3" t="str">
        <f t="shared" si="50"/>
        <v>2020</v>
      </c>
      <c r="F788" s="2" t="s">
        <v>4933</v>
      </c>
      <c r="G788" t="s">
        <v>6185</v>
      </c>
      <c r="H788" s="2">
        <v>1</v>
      </c>
      <c r="I788" s="2" t="str">
        <f>_xlfn.XLOOKUP(F788,customers!A:A,customers!B:B)</f>
        <v>Cam Jewster</v>
      </c>
      <c r="J788" s="2" t="str">
        <f>_xlfn.XLOOKUP(F788,customers!A:A,customers!C:C)</f>
        <v>cjewsterlu@moonfruit.com</v>
      </c>
      <c r="K788" s="2" t="str">
        <f>_xlfn.XLOOKUP(F788,customers!A:A,customers!F:F)</f>
        <v>Dayton</v>
      </c>
      <c r="L788" s="2" t="str">
        <f>_xlfn.XLOOKUP(F788,customers!A:A,customers!G:G)</f>
        <v>United States</v>
      </c>
      <c r="M788" t="str">
        <f>_xlfn.XLOOKUP(G788,products!A:A,products!B:B)</f>
        <v>Exc</v>
      </c>
      <c r="N788" t="str">
        <f>_xlfn.XLOOKUP(G788,products!A:A,products!C:C)</f>
        <v>D</v>
      </c>
      <c r="O788">
        <f>_xlfn.XLOOKUP(G788,products!A:A,products!D:D)</f>
        <v>2.5</v>
      </c>
      <c r="P788">
        <f>_xlfn.XLOOKUP(G788,products!A:A,products!E:E)</f>
        <v>27.945</v>
      </c>
      <c r="Q788">
        <f t="shared" si="51"/>
        <v>27.945</v>
      </c>
      <c r="R788" t="str" cm="1">
        <f t="array" ref="R788">_xlfn.IFS(Q788&lt;=50,"low sales",Q788&lt;=100,"medium sales",Q788&gt;100,"High sales")</f>
        <v>low sales</v>
      </c>
    </row>
    <row r="789" spans="1:18" x14ac:dyDescent="0.35">
      <c r="A789" s="2" t="s">
        <v>4938</v>
      </c>
      <c r="B789" s="3">
        <v>44305</v>
      </c>
      <c r="C789" s="3" t="str">
        <f t="shared" si="48"/>
        <v>Monday</v>
      </c>
      <c r="D789" s="3" t="str">
        <f t="shared" si="49"/>
        <v>April</v>
      </c>
      <c r="E789" s="3" t="str">
        <f t="shared" si="50"/>
        <v>2021</v>
      </c>
      <c r="F789" s="2" t="s">
        <v>4939</v>
      </c>
      <c r="G789" t="s">
        <v>6141</v>
      </c>
      <c r="H789" s="2">
        <v>6</v>
      </c>
      <c r="I789" s="2" t="str">
        <f>_xlfn.XLOOKUP(F789,customers!A:A,customers!B:B)</f>
        <v>Beryl Osborn</v>
      </c>
      <c r="J789" s="2">
        <f>_xlfn.XLOOKUP(F789,customers!A:A,customers!C:C)</f>
        <v>0</v>
      </c>
      <c r="K789" s="2" t="str">
        <f>_xlfn.XLOOKUP(F789,customers!A:A,customers!F:F)</f>
        <v>Chicago</v>
      </c>
      <c r="L789" s="2" t="str">
        <f>_xlfn.XLOOKUP(F789,customers!A:A,customers!G:G)</f>
        <v>United States</v>
      </c>
      <c r="M789" t="str">
        <f>_xlfn.XLOOKUP(G789,products!A:A,products!B:B)</f>
        <v>Exc</v>
      </c>
      <c r="N789" t="str">
        <f>_xlfn.XLOOKUP(G789,products!A:A,products!C:C)</f>
        <v>M</v>
      </c>
      <c r="O789">
        <f>_xlfn.XLOOKUP(G789,products!A:A,products!D:D)</f>
        <v>1</v>
      </c>
      <c r="P789">
        <f>_xlfn.XLOOKUP(G789,products!A:A,products!E:E)</f>
        <v>13.75</v>
      </c>
      <c r="Q789">
        <f t="shared" si="51"/>
        <v>82.5</v>
      </c>
      <c r="R789" t="str" cm="1">
        <f t="array" ref="R789">_xlfn.IFS(Q789&lt;=50,"low sales",Q789&lt;=100,"medium sales",Q789&gt;100,"High sales")</f>
        <v>medium sales</v>
      </c>
    </row>
    <row r="790" spans="1:18" x14ac:dyDescent="0.35">
      <c r="A790" s="2" t="s">
        <v>4943</v>
      </c>
      <c r="B790" s="3">
        <v>44771</v>
      </c>
      <c r="C790" s="3" t="str">
        <f t="shared" si="48"/>
        <v>Friday</v>
      </c>
      <c r="D790" s="3" t="str">
        <f t="shared" si="49"/>
        <v>July</v>
      </c>
      <c r="E790" s="3" t="str">
        <f t="shared" si="50"/>
        <v>2022</v>
      </c>
      <c r="F790" s="2" t="s">
        <v>4944</v>
      </c>
      <c r="G790" t="s">
        <v>6151</v>
      </c>
      <c r="H790" s="2">
        <v>2</v>
      </c>
      <c r="I790" s="2" t="str">
        <f>_xlfn.XLOOKUP(F790,customers!A:A,customers!B:B)</f>
        <v>Kaela Nottram</v>
      </c>
      <c r="J790" s="2" t="str">
        <f>_xlfn.XLOOKUP(F790,customers!A:A,customers!C:C)</f>
        <v>knottramlw@odnoklassniki.ru</v>
      </c>
      <c r="K790" s="2" t="str">
        <f>_xlfn.XLOOKUP(F790,customers!A:A,customers!F:F)</f>
        <v>Arklow</v>
      </c>
      <c r="L790" s="2" t="str">
        <f>_xlfn.XLOOKUP(F790,customers!A:A,customers!G:G)</f>
        <v>Ireland</v>
      </c>
      <c r="M790" t="str">
        <f>_xlfn.XLOOKUP(G790,products!A:A,products!B:B)</f>
        <v>Rob</v>
      </c>
      <c r="N790" t="str">
        <f>_xlfn.XLOOKUP(G790,products!A:A,products!C:C)</f>
        <v>M</v>
      </c>
      <c r="O790">
        <f>_xlfn.XLOOKUP(G790,products!A:A,products!D:D)</f>
        <v>2.5</v>
      </c>
      <c r="P790">
        <f>_xlfn.XLOOKUP(G790,products!A:A,products!E:E)</f>
        <v>22.884999999999998</v>
      </c>
      <c r="Q790">
        <f t="shared" si="51"/>
        <v>45.769999999999996</v>
      </c>
      <c r="R790" t="str" cm="1">
        <f t="array" ref="R790">_xlfn.IFS(Q790&lt;=50,"low sales",Q790&lt;=100,"medium sales",Q790&gt;100,"High sales")</f>
        <v>low sales</v>
      </c>
    </row>
    <row r="791" spans="1:18" x14ac:dyDescent="0.35">
      <c r="A791" s="2" t="s">
        <v>4949</v>
      </c>
      <c r="B791" s="3">
        <v>43485</v>
      </c>
      <c r="C791" s="3" t="str">
        <f t="shared" si="48"/>
        <v>Sunday</v>
      </c>
      <c r="D791" s="3" t="str">
        <f t="shared" si="49"/>
        <v>January</v>
      </c>
      <c r="E791" s="3" t="str">
        <f t="shared" si="50"/>
        <v>2019</v>
      </c>
      <c r="F791" s="2" t="s">
        <v>4950</v>
      </c>
      <c r="G791" t="s">
        <v>6140</v>
      </c>
      <c r="H791" s="2">
        <v>6</v>
      </c>
      <c r="I791" s="2" t="str">
        <f>_xlfn.XLOOKUP(F791,customers!A:A,customers!B:B)</f>
        <v>Nobe Buney</v>
      </c>
      <c r="J791" s="2" t="str">
        <f>_xlfn.XLOOKUP(F791,customers!A:A,customers!C:C)</f>
        <v>nbuneylx@jugem.jp</v>
      </c>
      <c r="K791" s="2" t="str">
        <f>_xlfn.XLOOKUP(F791,customers!A:A,customers!F:F)</f>
        <v>Richmond</v>
      </c>
      <c r="L791" s="2" t="str">
        <f>_xlfn.XLOOKUP(F791,customers!A:A,customers!G:G)</f>
        <v>United States</v>
      </c>
      <c r="M791" t="str">
        <f>_xlfn.XLOOKUP(G791,products!A:A,products!B:B)</f>
        <v>Ara</v>
      </c>
      <c r="N791" t="str">
        <f>_xlfn.XLOOKUP(G791,products!A:A,products!C:C)</f>
        <v>L</v>
      </c>
      <c r="O791">
        <f>_xlfn.XLOOKUP(G791,products!A:A,products!D:D)</f>
        <v>1</v>
      </c>
      <c r="P791">
        <f>_xlfn.XLOOKUP(G791,products!A:A,products!E:E)</f>
        <v>12.95</v>
      </c>
      <c r="Q791">
        <f t="shared" si="51"/>
        <v>77.699999999999989</v>
      </c>
      <c r="R791" t="str" cm="1">
        <f t="array" ref="R791">_xlfn.IFS(Q791&lt;=50,"low sales",Q791&lt;=100,"medium sales",Q791&gt;100,"High sales")</f>
        <v>medium sales</v>
      </c>
    </row>
    <row r="792" spans="1:18" x14ac:dyDescent="0.35">
      <c r="A792" s="2" t="s">
        <v>4955</v>
      </c>
      <c r="B792" s="3">
        <v>44613</v>
      </c>
      <c r="C792" s="3" t="str">
        <f t="shared" si="48"/>
        <v>Monday</v>
      </c>
      <c r="D792" s="3" t="str">
        <f t="shared" si="49"/>
        <v>February</v>
      </c>
      <c r="E792" s="3" t="str">
        <f t="shared" si="50"/>
        <v>2022</v>
      </c>
      <c r="F792" s="2" t="s">
        <v>4956</v>
      </c>
      <c r="G792" t="s">
        <v>6180</v>
      </c>
      <c r="H792" s="2">
        <v>3</v>
      </c>
      <c r="I792" s="2" t="str">
        <f>_xlfn.XLOOKUP(F792,customers!A:A,customers!B:B)</f>
        <v>Silvan McShea</v>
      </c>
      <c r="J792" s="2" t="str">
        <f>_xlfn.XLOOKUP(F792,customers!A:A,customers!C:C)</f>
        <v>smcshealy@photobucket.com</v>
      </c>
      <c r="K792" s="2" t="str">
        <f>_xlfn.XLOOKUP(F792,customers!A:A,customers!F:F)</f>
        <v>Olympia</v>
      </c>
      <c r="L792" s="2" t="str">
        <f>_xlfn.XLOOKUP(F792,customers!A:A,customers!G:G)</f>
        <v>United States</v>
      </c>
      <c r="M792" t="str">
        <f>_xlfn.XLOOKUP(G792,products!A:A,products!B:B)</f>
        <v>Ara</v>
      </c>
      <c r="N792" t="str">
        <f>_xlfn.XLOOKUP(G792,products!A:A,products!C:C)</f>
        <v>L</v>
      </c>
      <c r="O792">
        <f>_xlfn.XLOOKUP(G792,products!A:A,products!D:D)</f>
        <v>0.5</v>
      </c>
      <c r="P792">
        <f>_xlfn.XLOOKUP(G792,products!A:A,products!E:E)</f>
        <v>7.77</v>
      </c>
      <c r="Q792">
        <f t="shared" si="51"/>
        <v>23.31</v>
      </c>
      <c r="R792" t="str" cm="1">
        <f t="array" ref="R792">_xlfn.IFS(Q792&lt;=50,"low sales",Q792&lt;=100,"medium sales",Q792&gt;100,"High sales")</f>
        <v>low sales</v>
      </c>
    </row>
    <row r="793" spans="1:18" x14ac:dyDescent="0.35">
      <c r="A793" s="2" t="s">
        <v>4961</v>
      </c>
      <c r="B793" s="3">
        <v>43954</v>
      </c>
      <c r="C793" s="3" t="str">
        <f t="shared" si="48"/>
        <v>Sunday</v>
      </c>
      <c r="D793" s="3" t="str">
        <f t="shared" si="49"/>
        <v>May</v>
      </c>
      <c r="E793" s="3" t="str">
        <f t="shared" si="50"/>
        <v>2020</v>
      </c>
      <c r="F793" s="2" t="s">
        <v>4962</v>
      </c>
      <c r="G793" t="s">
        <v>6145</v>
      </c>
      <c r="H793" s="2">
        <v>5</v>
      </c>
      <c r="I793" s="2" t="str">
        <f>_xlfn.XLOOKUP(F793,customers!A:A,customers!B:B)</f>
        <v>Karylin Huddart</v>
      </c>
      <c r="J793" s="2" t="str">
        <f>_xlfn.XLOOKUP(F793,customers!A:A,customers!C:C)</f>
        <v>khuddartlz@about.com</v>
      </c>
      <c r="K793" s="2" t="str">
        <f>_xlfn.XLOOKUP(F793,customers!A:A,customers!F:F)</f>
        <v>Arlington</v>
      </c>
      <c r="L793" s="2" t="str">
        <f>_xlfn.XLOOKUP(F793,customers!A:A,customers!G:G)</f>
        <v>United States</v>
      </c>
      <c r="M793" t="str">
        <f>_xlfn.XLOOKUP(G793,products!A:A,products!B:B)</f>
        <v>Lib</v>
      </c>
      <c r="N793" t="str">
        <f>_xlfn.XLOOKUP(G793,products!A:A,products!C:C)</f>
        <v>L</v>
      </c>
      <c r="O793">
        <f>_xlfn.XLOOKUP(G793,products!A:A,products!D:D)</f>
        <v>0.2</v>
      </c>
      <c r="P793">
        <f>_xlfn.XLOOKUP(G793,products!A:A,products!E:E)</f>
        <v>4.7549999999999999</v>
      </c>
      <c r="Q793">
        <f t="shared" si="51"/>
        <v>23.774999999999999</v>
      </c>
      <c r="R793" t="str" cm="1">
        <f t="array" ref="R793">_xlfn.IFS(Q793&lt;=50,"low sales",Q793&lt;=100,"medium sales",Q793&gt;100,"High sales")</f>
        <v>low sales</v>
      </c>
    </row>
    <row r="794" spans="1:18" x14ac:dyDescent="0.35">
      <c r="A794" s="2" t="s">
        <v>4967</v>
      </c>
      <c r="B794" s="3">
        <v>43545</v>
      </c>
      <c r="C794" s="3" t="str">
        <f t="shared" si="48"/>
        <v>Thursday</v>
      </c>
      <c r="D794" s="3" t="str">
        <f t="shared" si="49"/>
        <v>March</v>
      </c>
      <c r="E794" s="3" t="str">
        <f t="shared" si="50"/>
        <v>2019</v>
      </c>
      <c r="F794" s="2" t="s">
        <v>4968</v>
      </c>
      <c r="G794" t="s">
        <v>6160</v>
      </c>
      <c r="H794" s="2">
        <v>6</v>
      </c>
      <c r="I794" s="2" t="str">
        <f>_xlfn.XLOOKUP(F794,customers!A:A,customers!B:B)</f>
        <v>Jereme Gippes</v>
      </c>
      <c r="J794" s="2" t="str">
        <f>_xlfn.XLOOKUP(F794,customers!A:A,customers!C:C)</f>
        <v>jgippesm0@cloudflare.com</v>
      </c>
      <c r="K794" s="2" t="str">
        <f>_xlfn.XLOOKUP(F794,customers!A:A,customers!F:F)</f>
        <v>Twyford</v>
      </c>
      <c r="L794" s="2" t="str">
        <f>_xlfn.XLOOKUP(F794,customers!A:A,customers!G:G)</f>
        <v>United Kingdom</v>
      </c>
      <c r="M794" t="str">
        <f>_xlfn.XLOOKUP(G794,products!A:A,products!B:B)</f>
        <v>Lib</v>
      </c>
      <c r="N794" t="str">
        <f>_xlfn.XLOOKUP(G794,products!A:A,products!C:C)</f>
        <v>M</v>
      </c>
      <c r="O794">
        <f>_xlfn.XLOOKUP(G794,products!A:A,products!D:D)</f>
        <v>0.5</v>
      </c>
      <c r="P794">
        <f>_xlfn.XLOOKUP(G794,products!A:A,products!E:E)</f>
        <v>8.73</v>
      </c>
      <c r="Q794">
        <f t="shared" si="51"/>
        <v>52.38</v>
      </c>
      <c r="R794" t="str" cm="1">
        <f t="array" ref="R794">_xlfn.IFS(Q794&lt;=50,"low sales",Q794&lt;=100,"medium sales",Q794&gt;100,"High sales")</f>
        <v>medium sales</v>
      </c>
    </row>
    <row r="795" spans="1:18" x14ac:dyDescent="0.35">
      <c r="A795" s="2" t="s">
        <v>4973</v>
      </c>
      <c r="B795" s="3">
        <v>43629</v>
      </c>
      <c r="C795" s="3" t="str">
        <f t="shared" si="48"/>
        <v>Thursday</v>
      </c>
      <c r="D795" s="3" t="str">
        <f t="shared" si="49"/>
        <v>June</v>
      </c>
      <c r="E795" s="3" t="str">
        <f t="shared" si="50"/>
        <v>2019</v>
      </c>
      <c r="F795" s="2" t="s">
        <v>4974</v>
      </c>
      <c r="G795" t="s">
        <v>6178</v>
      </c>
      <c r="H795" s="2">
        <v>5</v>
      </c>
      <c r="I795" s="2" t="str">
        <f>_xlfn.XLOOKUP(F795,customers!A:A,customers!B:B)</f>
        <v>Lukas Whittlesee</v>
      </c>
      <c r="J795" s="2" t="str">
        <f>_xlfn.XLOOKUP(F795,customers!A:A,customers!C:C)</f>
        <v>lwhittleseem1@e-recht24.de</v>
      </c>
      <c r="K795" s="2" t="str">
        <f>_xlfn.XLOOKUP(F795,customers!A:A,customers!F:F)</f>
        <v>Roanoke</v>
      </c>
      <c r="L795" s="2" t="str">
        <f>_xlfn.XLOOKUP(F795,customers!A:A,customers!G:G)</f>
        <v>United States</v>
      </c>
      <c r="M795" t="str">
        <f>_xlfn.XLOOKUP(G795,products!A:A,products!B:B)</f>
        <v>Rob</v>
      </c>
      <c r="N795" t="str">
        <f>_xlfn.XLOOKUP(G795,products!A:A,products!C:C)</f>
        <v>L</v>
      </c>
      <c r="O795">
        <f>_xlfn.XLOOKUP(G795,products!A:A,products!D:D)</f>
        <v>0.2</v>
      </c>
      <c r="P795">
        <f>_xlfn.XLOOKUP(G795,products!A:A,products!E:E)</f>
        <v>3.5849999999999995</v>
      </c>
      <c r="Q795">
        <f t="shared" si="51"/>
        <v>17.924999999999997</v>
      </c>
      <c r="R795" t="str" cm="1">
        <f t="array" ref="R795">_xlfn.IFS(Q795&lt;=50,"low sales",Q795&lt;=100,"medium sales",Q795&gt;100,"High sales")</f>
        <v>low sales</v>
      </c>
    </row>
    <row r="796" spans="1:18" x14ac:dyDescent="0.35">
      <c r="A796" s="2" t="s">
        <v>4979</v>
      </c>
      <c r="B796" s="3">
        <v>43987</v>
      </c>
      <c r="C796" s="3" t="str">
        <f t="shared" si="48"/>
        <v>Friday</v>
      </c>
      <c r="D796" s="3" t="str">
        <f t="shared" si="49"/>
        <v>June</v>
      </c>
      <c r="E796" s="3" t="str">
        <f t="shared" si="50"/>
        <v>2020</v>
      </c>
      <c r="F796" s="2" t="s">
        <v>4980</v>
      </c>
      <c r="G796" t="s">
        <v>6182</v>
      </c>
      <c r="H796" s="2">
        <v>5</v>
      </c>
      <c r="I796" s="2" t="str">
        <f>_xlfn.XLOOKUP(F796,customers!A:A,customers!B:B)</f>
        <v>Gregorius Trengrove</v>
      </c>
      <c r="J796" s="2" t="str">
        <f>_xlfn.XLOOKUP(F796,customers!A:A,customers!C:C)</f>
        <v>gtrengrovem2@elpais.com</v>
      </c>
      <c r="K796" s="2" t="str">
        <f>_xlfn.XLOOKUP(F796,customers!A:A,customers!F:F)</f>
        <v>New Hyde Park</v>
      </c>
      <c r="L796" s="2" t="str">
        <f>_xlfn.XLOOKUP(F796,customers!A:A,customers!G:G)</f>
        <v>United States</v>
      </c>
      <c r="M796" t="str">
        <f>_xlfn.XLOOKUP(G796,products!A:A,products!B:B)</f>
        <v>Ara</v>
      </c>
      <c r="N796" t="str">
        <f>_xlfn.XLOOKUP(G796,products!A:A,products!C:C)</f>
        <v>L</v>
      </c>
      <c r="O796">
        <f>_xlfn.XLOOKUP(G796,products!A:A,products!D:D)</f>
        <v>2.5</v>
      </c>
      <c r="P796">
        <f>_xlfn.XLOOKUP(G796,products!A:A,products!E:E)</f>
        <v>29.784999999999997</v>
      </c>
      <c r="Q796">
        <f t="shared" si="51"/>
        <v>148.92499999999998</v>
      </c>
      <c r="R796" t="str" cm="1">
        <f t="array" ref="R796">_xlfn.IFS(Q796&lt;=50,"low sales",Q796&lt;=100,"medium sales",Q796&gt;100,"High sales")</f>
        <v>High sales</v>
      </c>
    </row>
    <row r="797" spans="1:18" x14ac:dyDescent="0.35">
      <c r="A797" s="2" t="s">
        <v>4985</v>
      </c>
      <c r="B797" s="3">
        <v>43540</v>
      </c>
      <c r="C797" s="3" t="str">
        <f t="shared" si="48"/>
        <v>Saturday</v>
      </c>
      <c r="D797" s="3" t="str">
        <f t="shared" si="49"/>
        <v>March</v>
      </c>
      <c r="E797" s="3" t="str">
        <f t="shared" si="50"/>
        <v>2019</v>
      </c>
      <c r="F797" s="2" t="s">
        <v>4986</v>
      </c>
      <c r="G797" t="s">
        <v>6173</v>
      </c>
      <c r="H797" s="2">
        <v>4</v>
      </c>
      <c r="I797" s="2" t="str">
        <f>_xlfn.XLOOKUP(F797,customers!A:A,customers!B:B)</f>
        <v>Wright Caldero</v>
      </c>
      <c r="J797" s="2" t="str">
        <f>_xlfn.XLOOKUP(F797,customers!A:A,customers!C:C)</f>
        <v>wcalderom3@stumbleupon.com</v>
      </c>
      <c r="K797" s="2" t="str">
        <f>_xlfn.XLOOKUP(F797,customers!A:A,customers!F:F)</f>
        <v>Anaheim</v>
      </c>
      <c r="L797" s="2" t="str">
        <f>_xlfn.XLOOKUP(F797,customers!A:A,customers!G:G)</f>
        <v>United States</v>
      </c>
      <c r="M797" t="str">
        <f>_xlfn.XLOOKUP(G797,products!A:A,products!B:B)</f>
        <v>Rob</v>
      </c>
      <c r="N797" t="str">
        <f>_xlfn.XLOOKUP(G797,products!A:A,products!C:C)</f>
        <v>L</v>
      </c>
      <c r="O797">
        <f>_xlfn.XLOOKUP(G797,products!A:A,products!D:D)</f>
        <v>0.5</v>
      </c>
      <c r="P797">
        <f>_xlfn.XLOOKUP(G797,products!A:A,products!E:E)</f>
        <v>7.169999999999999</v>
      </c>
      <c r="Q797">
        <f t="shared" si="51"/>
        <v>28.679999999999996</v>
      </c>
      <c r="R797" t="str" cm="1">
        <f t="array" ref="R797">_xlfn.IFS(Q797&lt;=50,"low sales",Q797&lt;=100,"medium sales",Q797&gt;100,"High sales")</f>
        <v>low sales</v>
      </c>
    </row>
    <row r="798" spans="1:18" x14ac:dyDescent="0.35">
      <c r="A798" s="2" t="s">
        <v>4991</v>
      </c>
      <c r="B798" s="3">
        <v>44533</v>
      </c>
      <c r="C798" s="3" t="str">
        <f t="shared" si="48"/>
        <v>Friday</v>
      </c>
      <c r="D798" s="3" t="str">
        <f t="shared" si="49"/>
        <v>December</v>
      </c>
      <c r="E798" s="3" t="str">
        <f t="shared" si="50"/>
        <v>2021</v>
      </c>
      <c r="F798" s="2" t="s">
        <v>4992</v>
      </c>
      <c r="G798" t="s">
        <v>6161</v>
      </c>
      <c r="H798" s="2">
        <v>1</v>
      </c>
      <c r="I798" s="2" t="str">
        <f>_xlfn.XLOOKUP(F798,customers!A:A,customers!B:B)</f>
        <v>Merell Zanazzi</v>
      </c>
      <c r="J798" s="2">
        <f>_xlfn.XLOOKUP(F798,customers!A:A,customers!C:C)</f>
        <v>0</v>
      </c>
      <c r="K798" s="2" t="str">
        <f>_xlfn.XLOOKUP(F798,customers!A:A,customers!F:F)</f>
        <v>Lexington</v>
      </c>
      <c r="L798" s="2" t="str">
        <f>_xlfn.XLOOKUP(F798,customers!A:A,customers!G:G)</f>
        <v>United States</v>
      </c>
      <c r="M798" t="str">
        <f>_xlfn.XLOOKUP(G798,products!A:A,products!B:B)</f>
        <v>Lib</v>
      </c>
      <c r="N798" t="str">
        <f>_xlfn.XLOOKUP(G798,products!A:A,products!C:C)</f>
        <v>L</v>
      </c>
      <c r="O798">
        <f>_xlfn.XLOOKUP(G798,products!A:A,products!D:D)</f>
        <v>0.5</v>
      </c>
      <c r="P798">
        <f>_xlfn.XLOOKUP(G798,products!A:A,products!E:E)</f>
        <v>9.51</v>
      </c>
      <c r="Q798">
        <f t="shared" si="51"/>
        <v>9.51</v>
      </c>
      <c r="R798" t="str" cm="1">
        <f t="array" ref="R798">_xlfn.IFS(Q798&lt;=50,"low sales",Q798&lt;=100,"medium sales",Q798&gt;100,"High sales")</f>
        <v>low sales</v>
      </c>
    </row>
    <row r="799" spans="1:18" x14ac:dyDescent="0.35">
      <c r="A799" s="2" t="s">
        <v>4996</v>
      </c>
      <c r="B799" s="3">
        <v>44751</v>
      </c>
      <c r="C799" s="3" t="str">
        <f t="shared" si="48"/>
        <v>Saturday</v>
      </c>
      <c r="D799" s="3" t="str">
        <f t="shared" si="49"/>
        <v>July</v>
      </c>
      <c r="E799" s="3" t="str">
        <f t="shared" si="50"/>
        <v>2022</v>
      </c>
      <c r="F799" s="2" t="s">
        <v>4997</v>
      </c>
      <c r="G799" t="s">
        <v>6180</v>
      </c>
      <c r="H799" s="2">
        <v>4</v>
      </c>
      <c r="I799" s="2" t="str">
        <f>_xlfn.XLOOKUP(F799,customers!A:A,customers!B:B)</f>
        <v>Jed Kennicott</v>
      </c>
      <c r="J799" s="2" t="str">
        <f>_xlfn.XLOOKUP(F799,customers!A:A,customers!C:C)</f>
        <v>jkennicottm5@yahoo.co.jp</v>
      </c>
      <c r="K799" s="2" t="str">
        <f>_xlfn.XLOOKUP(F799,customers!A:A,customers!F:F)</f>
        <v>Tampa</v>
      </c>
      <c r="L799" s="2" t="str">
        <f>_xlfn.XLOOKUP(F799,customers!A:A,customers!G:G)</f>
        <v>United States</v>
      </c>
      <c r="M799" t="str">
        <f>_xlfn.XLOOKUP(G799,products!A:A,products!B:B)</f>
        <v>Ara</v>
      </c>
      <c r="N799" t="str">
        <f>_xlfn.XLOOKUP(G799,products!A:A,products!C:C)</f>
        <v>L</v>
      </c>
      <c r="O799">
        <f>_xlfn.XLOOKUP(G799,products!A:A,products!D:D)</f>
        <v>0.5</v>
      </c>
      <c r="P799">
        <f>_xlfn.XLOOKUP(G799,products!A:A,products!E:E)</f>
        <v>7.77</v>
      </c>
      <c r="Q799">
        <f t="shared" si="51"/>
        <v>31.08</v>
      </c>
      <c r="R799" t="str" cm="1">
        <f t="array" ref="R799">_xlfn.IFS(Q799&lt;=50,"low sales",Q799&lt;=100,"medium sales",Q799&gt;100,"High sales")</f>
        <v>low sales</v>
      </c>
    </row>
    <row r="800" spans="1:18" x14ac:dyDescent="0.35">
      <c r="A800" s="2" t="s">
        <v>5002</v>
      </c>
      <c r="B800" s="3">
        <v>43950</v>
      </c>
      <c r="C800" s="3" t="str">
        <f t="shared" si="48"/>
        <v>Wednesday</v>
      </c>
      <c r="D800" s="3" t="str">
        <f t="shared" si="49"/>
        <v>April</v>
      </c>
      <c r="E800" s="3" t="str">
        <f t="shared" si="50"/>
        <v>2020</v>
      </c>
      <c r="F800" s="2" t="s">
        <v>5003</v>
      </c>
      <c r="G800" t="s">
        <v>6163</v>
      </c>
      <c r="H800" s="2">
        <v>3</v>
      </c>
      <c r="I800" s="2" t="str">
        <f>_xlfn.XLOOKUP(F800,customers!A:A,customers!B:B)</f>
        <v>Guenevere Ruggen</v>
      </c>
      <c r="J800" s="2" t="str">
        <f>_xlfn.XLOOKUP(F800,customers!A:A,customers!C:C)</f>
        <v>gruggenm6@nymag.com</v>
      </c>
      <c r="K800" s="2" t="str">
        <f>_xlfn.XLOOKUP(F800,customers!A:A,customers!F:F)</f>
        <v>San Jose</v>
      </c>
      <c r="L800" s="2" t="str">
        <f>_xlfn.XLOOKUP(F800,customers!A:A,customers!G:G)</f>
        <v>United States</v>
      </c>
      <c r="M800" t="str">
        <f>_xlfn.XLOOKUP(G800,products!A:A,products!B:B)</f>
        <v>Rob</v>
      </c>
      <c r="N800" t="str">
        <f>_xlfn.XLOOKUP(G800,products!A:A,products!C:C)</f>
        <v>D</v>
      </c>
      <c r="O800">
        <f>_xlfn.XLOOKUP(G800,products!A:A,products!D:D)</f>
        <v>0.2</v>
      </c>
      <c r="P800">
        <f>_xlfn.XLOOKUP(G800,products!A:A,products!E:E)</f>
        <v>2.6849999999999996</v>
      </c>
      <c r="Q800">
        <f t="shared" si="51"/>
        <v>8.0549999999999997</v>
      </c>
      <c r="R800" t="str" cm="1">
        <f t="array" ref="R800">_xlfn.IFS(Q800&lt;=50,"low sales",Q800&lt;=100,"medium sales",Q800&gt;100,"High sales")</f>
        <v>low sales</v>
      </c>
    </row>
    <row r="801" spans="1:18" x14ac:dyDescent="0.35">
      <c r="A801" s="2" t="s">
        <v>5008</v>
      </c>
      <c r="B801" s="3">
        <v>44588</v>
      </c>
      <c r="C801" s="3" t="str">
        <f t="shared" si="48"/>
        <v>Thursday</v>
      </c>
      <c r="D801" s="3" t="str">
        <f t="shared" si="49"/>
        <v>January</v>
      </c>
      <c r="E801" s="3" t="str">
        <f t="shared" si="50"/>
        <v>2022</v>
      </c>
      <c r="F801" s="2" t="s">
        <v>5009</v>
      </c>
      <c r="G801" t="s">
        <v>6183</v>
      </c>
      <c r="H801" s="2">
        <v>3</v>
      </c>
      <c r="I801" s="2" t="str">
        <f>_xlfn.XLOOKUP(F801,customers!A:A,customers!B:B)</f>
        <v>Gonzales Cicculi</v>
      </c>
      <c r="J801" s="2">
        <f>_xlfn.XLOOKUP(F801,customers!A:A,customers!C:C)</f>
        <v>0</v>
      </c>
      <c r="K801" s="2" t="str">
        <f>_xlfn.XLOOKUP(F801,customers!A:A,customers!F:F)</f>
        <v>Washington</v>
      </c>
      <c r="L801" s="2" t="str">
        <f>_xlfn.XLOOKUP(F801,customers!A:A,customers!G:G)</f>
        <v>United States</v>
      </c>
      <c r="M801" t="str">
        <f>_xlfn.XLOOKUP(G801,products!A:A,products!B:B)</f>
        <v>Exc</v>
      </c>
      <c r="N801" t="str">
        <f>_xlfn.XLOOKUP(G801,products!A:A,products!C:C)</f>
        <v>D</v>
      </c>
      <c r="O801">
        <f>_xlfn.XLOOKUP(G801,products!A:A,products!D:D)</f>
        <v>1</v>
      </c>
      <c r="P801">
        <f>_xlfn.XLOOKUP(G801,products!A:A,products!E:E)</f>
        <v>12.15</v>
      </c>
      <c r="Q801">
        <f t="shared" si="51"/>
        <v>36.450000000000003</v>
      </c>
      <c r="R801" t="str" cm="1">
        <f t="array" ref="R801">_xlfn.IFS(Q801&lt;=50,"low sales",Q801&lt;=100,"medium sales",Q801&gt;100,"High sales")</f>
        <v>low sales</v>
      </c>
    </row>
    <row r="802" spans="1:18" x14ac:dyDescent="0.35">
      <c r="A802" s="2" t="s">
        <v>5012</v>
      </c>
      <c r="B802" s="3">
        <v>44240</v>
      </c>
      <c r="C802" s="3" t="str">
        <f t="shared" si="48"/>
        <v>Saturday</v>
      </c>
      <c r="D802" s="3" t="str">
        <f t="shared" si="49"/>
        <v>February</v>
      </c>
      <c r="E802" s="3" t="str">
        <f t="shared" si="50"/>
        <v>2021</v>
      </c>
      <c r="F802" s="2" t="s">
        <v>5013</v>
      </c>
      <c r="G802" t="s">
        <v>6163</v>
      </c>
      <c r="H802" s="2">
        <v>6</v>
      </c>
      <c r="I802" s="2" t="str">
        <f>_xlfn.XLOOKUP(F802,customers!A:A,customers!B:B)</f>
        <v>Man Fright</v>
      </c>
      <c r="J802" s="2" t="str">
        <f>_xlfn.XLOOKUP(F802,customers!A:A,customers!C:C)</f>
        <v>mfrightm8@harvard.edu</v>
      </c>
      <c r="K802" s="2" t="str">
        <f>_xlfn.XLOOKUP(F802,customers!A:A,customers!F:F)</f>
        <v>Daingean</v>
      </c>
      <c r="L802" s="2" t="str">
        <f>_xlfn.XLOOKUP(F802,customers!A:A,customers!G:G)</f>
        <v>Ireland</v>
      </c>
      <c r="M802" t="str">
        <f>_xlfn.XLOOKUP(G802,products!A:A,products!B:B)</f>
        <v>Rob</v>
      </c>
      <c r="N802" t="str">
        <f>_xlfn.XLOOKUP(G802,products!A:A,products!C:C)</f>
        <v>D</v>
      </c>
      <c r="O802">
        <f>_xlfn.XLOOKUP(G802,products!A:A,products!D:D)</f>
        <v>0.2</v>
      </c>
      <c r="P802">
        <f>_xlfn.XLOOKUP(G802,products!A:A,products!E:E)</f>
        <v>2.6849999999999996</v>
      </c>
      <c r="Q802">
        <f t="shared" si="51"/>
        <v>16.11</v>
      </c>
      <c r="R802" t="str" cm="1">
        <f t="array" ref="R802">_xlfn.IFS(Q802&lt;=50,"low sales",Q802&lt;=100,"medium sales",Q802&gt;100,"High sales")</f>
        <v>low sales</v>
      </c>
    </row>
    <row r="803" spans="1:18" x14ac:dyDescent="0.35">
      <c r="A803" s="2" t="s">
        <v>5018</v>
      </c>
      <c r="B803" s="3">
        <v>44025</v>
      </c>
      <c r="C803" s="3" t="str">
        <f t="shared" si="48"/>
        <v>Monday</v>
      </c>
      <c r="D803" s="3" t="str">
        <f t="shared" si="49"/>
        <v>July</v>
      </c>
      <c r="E803" s="3" t="str">
        <f t="shared" si="50"/>
        <v>2020</v>
      </c>
      <c r="F803" s="2" t="s">
        <v>5019</v>
      </c>
      <c r="G803" t="s">
        <v>6149</v>
      </c>
      <c r="H803" s="2">
        <v>2</v>
      </c>
      <c r="I803" s="2" t="str">
        <f>_xlfn.XLOOKUP(F803,customers!A:A,customers!B:B)</f>
        <v>Boyce Tarte</v>
      </c>
      <c r="J803" s="2" t="str">
        <f>_xlfn.XLOOKUP(F803,customers!A:A,customers!C:C)</f>
        <v>btartem9@aol.com</v>
      </c>
      <c r="K803" s="2" t="str">
        <f>_xlfn.XLOOKUP(F803,customers!A:A,customers!F:F)</f>
        <v>Olympia</v>
      </c>
      <c r="L803" s="2" t="str">
        <f>_xlfn.XLOOKUP(F803,customers!A:A,customers!G:G)</f>
        <v>United States</v>
      </c>
      <c r="M803" t="str">
        <f>_xlfn.XLOOKUP(G803,products!A:A,products!B:B)</f>
        <v>Rob</v>
      </c>
      <c r="N803" t="str">
        <f>_xlfn.XLOOKUP(G803,products!A:A,products!C:C)</f>
        <v>D</v>
      </c>
      <c r="O803">
        <f>_xlfn.XLOOKUP(G803,products!A:A,products!D:D)</f>
        <v>2.5</v>
      </c>
      <c r="P803">
        <f>_xlfn.XLOOKUP(G803,products!A:A,products!E:E)</f>
        <v>20.584999999999997</v>
      </c>
      <c r="Q803">
        <f t="shared" si="51"/>
        <v>41.169999999999995</v>
      </c>
      <c r="R803" t="str" cm="1">
        <f t="array" ref="R803">_xlfn.IFS(Q803&lt;=50,"low sales",Q803&lt;=100,"medium sales",Q803&gt;100,"High sales")</f>
        <v>low sales</v>
      </c>
    </row>
    <row r="804" spans="1:18" x14ac:dyDescent="0.35">
      <c r="A804" s="2" t="s">
        <v>5024</v>
      </c>
      <c r="B804" s="3">
        <v>43902</v>
      </c>
      <c r="C804" s="3" t="str">
        <f t="shared" si="48"/>
        <v>Thursday</v>
      </c>
      <c r="D804" s="3" t="str">
        <f t="shared" si="49"/>
        <v>March</v>
      </c>
      <c r="E804" s="3" t="str">
        <f t="shared" si="50"/>
        <v>2020</v>
      </c>
      <c r="F804" s="2" t="s">
        <v>5025</v>
      </c>
      <c r="G804" t="s">
        <v>6163</v>
      </c>
      <c r="H804" s="2">
        <v>4</v>
      </c>
      <c r="I804" s="2" t="str">
        <f>_xlfn.XLOOKUP(F804,customers!A:A,customers!B:B)</f>
        <v>Caddric Krzysztofiak</v>
      </c>
      <c r="J804" s="2" t="str">
        <f>_xlfn.XLOOKUP(F804,customers!A:A,customers!C:C)</f>
        <v>ckrzysztofiakma@skyrock.com</v>
      </c>
      <c r="K804" s="2" t="str">
        <f>_xlfn.XLOOKUP(F804,customers!A:A,customers!F:F)</f>
        <v>Mesquite</v>
      </c>
      <c r="L804" s="2" t="str">
        <f>_xlfn.XLOOKUP(F804,customers!A:A,customers!G:G)</f>
        <v>United States</v>
      </c>
      <c r="M804" t="str">
        <f>_xlfn.XLOOKUP(G804,products!A:A,products!B:B)</f>
        <v>Rob</v>
      </c>
      <c r="N804" t="str">
        <f>_xlfn.XLOOKUP(G804,products!A:A,products!C:C)</f>
        <v>D</v>
      </c>
      <c r="O804">
        <f>_xlfn.XLOOKUP(G804,products!A:A,products!D:D)</f>
        <v>0.2</v>
      </c>
      <c r="P804">
        <f>_xlfn.XLOOKUP(G804,products!A:A,products!E:E)</f>
        <v>2.6849999999999996</v>
      </c>
      <c r="Q804">
        <f t="shared" si="51"/>
        <v>10.739999999999998</v>
      </c>
      <c r="R804" t="str" cm="1">
        <f t="array" ref="R804">_xlfn.IFS(Q804&lt;=50,"low sales",Q804&lt;=100,"medium sales",Q804&gt;100,"High sales")</f>
        <v>low sales</v>
      </c>
    </row>
    <row r="805" spans="1:18" x14ac:dyDescent="0.35">
      <c r="A805" s="2" t="s">
        <v>5030</v>
      </c>
      <c r="B805" s="3">
        <v>43955</v>
      </c>
      <c r="C805" s="3" t="str">
        <f t="shared" si="48"/>
        <v>Monday</v>
      </c>
      <c r="D805" s="3" t="str">
        <f t="shared" si="49"/>
        <v>May</v>
      </c>
      <c r="E805" s="3" t="str">
        <f t="shared" si="50"/>
        <v>2020</v>
      </c>
      <c r="F805" s="2" t="s">
        <v>5031</v>
      </c>
      <c r="G805" t="s">
        <v>6166</v>
      </c>
      <c r="H805" s="2">
        <v>4</v>
      </c>
      <c r="I805" s="2" t="str">
        <f>_xlfn.XLOOKUP(F805,customers!A:A,customers!B:B)</f>
        <v>Darn Penquet</v>
      </c>
      <c r="J805" s="2" t="str">
        <f>_xlfn.XLOOKUP(F805,customers!A:A,customers!C:C)</f>
        <v>dpenquetmb@diigo.com</v>
      </c>
      <c r="K805" s="2" t="str">
        <f>_xlfn.XLOOKUP(F805,customers!A:A,customers!F:F)</f>
        <v>Sacramento</v>
      </c>
      <c r="L805" s="2" t="str">
        <f>_xlfn.XLOOKUP(F805,customers!A:A,customers!G:G)</f>
        <v>United States</v>
      </c>
      <c r="M805" t="str">
        <f>_xlfn.XLOOKUP(G805,products!A:A,products!B:B)</f>
        <v>Exc</v>
      </c>
      <c r="N805" t="str">
        <f>_xlfn.XLOOKUP(G805,products!A:A,products!C:C)</f>
        <v>M</v>
      </c>
      <c r="O805">
        <f>_xlfn.XLOOKUP(G805,products!A:A,products!D:D)</f>
        <v>2.5</v>
      </c>
      <c r="P805">
        <f>_xlfn.XLOOKUP(G805,products!A:A,products!E:E)</f>
        <v>31.624999999999996</v>
      </c>
      <c r="Q805">
        <f t="shared" si="51"/>
        <v>126.49999999999999</v>
      </c>
      <c r="R805" t="str" cm="1">
        <f t="array" ref="R805">_xlfn.IFS(Q805&lt;=50,"low sales",Q805&lt;=100,"medium sales",Q805&gt;100,"High sales")</f>
        <v>High sales</v>
      </c>
    </row>
    <row r="806" spans="1:18" x14ac:dyDescent="0.35">
      <c r="A806" s="2" t="s">
        <v>5035</v>
      </c>
      <c r="B806" s="3">
        <v>44289</v>
      </c>
      <c r="C806" s="3" t="str">
        <f t="shared" si="48"/>
        <v>Saturday</v>
      </c>
      <c r="D806" s="3" t="str">
        <f t="shared" si="49"/>
        <v>April</v>
      </c>
      <c r="E806" s="3" t="str">
        <f t="shared" si="50"/>
        <v>2021</v>
      </c>
      <c r="F806" s="2" t="s">
        <v>5036</v>
      </c>
      <c r="G806" t="s">
        <v>6179</v>
      </c>
      <c r="H806" s="2">
        <v>2</v>
      </c>
      <c r="I806" s="2" t="str">
        <f>_xlfn.XLOOKUP(F806,customers!A:A,customers!B:B)</f>
        <v>Jammie Cloke</v>
      </c>
      <c r="J806" s="2">
        <f>_xlfn.XLOOKUP(F806,customers!A:A,customers!C:C)</f>
        <v>0</v>
      </c>
      <c r="K806" s="2" t="str">
        <f>_xlfn.XLOOKUP(F806,customers!A:A,customers!F:F)</f>
        <v>Newton</v>
      </c>
      <c r="L806" s="2" t="str">
        <f>_xlfn.XLOOKUP(F806,customers!A:A,customers!G:G)</f>
        <v>United Kingdom</v>
      </c>
      <c r="M806" t="str">
        <f>_xlfn.XLOOKUP(G806,products!A:A,products!B:B)</f>
        <v>Rob</v>
      </c>
      <c r="N806" t="str">
        <f>_xlfn.XLOOKUP(G806,products!A:A,products!C:C)</f>
        <v>L</v>
      </c>
      <c r="O806">
        <f>_xlfn.XLOOKUP(G806,products!A:A,products!D:D)</f>
        <v>1</v>
      </c>
      <c r="P806">
        <f>_xlfn.XLOOKUP(G806,products!A:A,products!E:E)</f>
        <v>11.95</v>
      </c>
      <c r="Q806">
        <f t="shared" si="51"/>
        <v>23.9</v>
      </c>
      <c r="R806" t="str" cm="1">
        <f t="array" ref="R806">_xlfn.IFS(Q806&lt;=50,"low sales",Q806&lt;=100,"medium sales",Q806&gt;100,"High sales")</f>
        <v>low sales</v>
      </c>
    </row>
    <row r="807" spans="1:18" x14ac:dyDescent="0.35">
      <c r="A807" s="2" t="s">
        <v>5040</v>
      </c>
      <c r="B807" s="3">
        <v>44713</v>
      </c>
      <c r="C807" s="3" t="str">
        <f t="shared" si="48"/>
        <v>Wednesday</v>
      </c>
      <c r="D807" s="3" t="str">
        <f t="shared" si="49"/>
        <v>June</v>
      </c>
      <c r="E807" s="3" t="str">
        <f t="shared" si="50"/>
        <v>2022</v>
      </c>
      <c r="F807" s="2" t="s">
        <v>5041</v>
      </c>
      <c r="G807" t="s">
        <v>6146</v>
      </c>
      <c r="H807" s="2">
        <v>1</v>
      </c>
      <c r="I807" s="2" t="str">
        <f>_xlfn.XLOOKUP(F807,customers!A:A,customers!B:B)</f>
        <v>Chester Clowton</v>
      </c>
      <c r="J807" s="2">
        <f>_xlfn.XLOOKUP(F807,customers!A:A,customers!C:C)</f>
        <v>0</v>
      </c>
      <c r="K807" s="2" t="str">
        <f>_xlfn.XLOOKUP(F807,customers!A:A,customers!F:F)</f>
        <v>Monticello</v>
      </c>
      <c r="L807" s="2" t="str">
        <f>_xlfn.XLOOKUP(F807,customers!A:A,customers!G:G)</f>
        <v>United States</v>
      </c>
      <c r="M807" t="str">
        <f>_xlfn.XLOOKUP(G807,products!A:A,products!B:B)</f>
        <v>Rob</v>
      </c>
      <c r="N807" t="str">
        <f>_xlfn.XLOOKUP(G807,products!A:A,products!C:C)</f>
        <v>M</v>
      </c>
      <c r="O807">
        <f>_xlfn.XLOOKUP(G807,products!A:A,products!D:D)</f>
        <v>0.5</v>
      </c>
      <c r="P807">
        <f>_xlfn.XLOOKUP(G807,products!A:A,products!E:E)</f>
        <v>5.97</v>
      </c>
      <c r="Q807">
        <f t="shared" si="51"/>
        <v>5.97</v>
      </c>
      <c r="R807" t="str" cm="1">
        <f t="array" ref="R807">_xlfn.IFS(Q807&lt;=50,"low sales",Q807&lt;=100,"medium sales",Q807&gt;100,"High sales")</f>
        <v>low sales</v>
      </c>
    </row>
    <row r="808" spans="1:18" x14ac:dyDescent="0.35">
      <c r="A808" s="2" t="s">
        <v>5046</v>
      </c>
      <c r="B808" s="3">
        <v>44241</v>
      </c>
      <c r="C808" s="3" t="str">
        <f t="shared" si="48"/>
        <v>Sunday</v>
      </c>
      <c r="D808" s="3" t="str">
        <f t="shared" si="49"/>
        <v>February</v>
      </c>
      <c r="E808" s="3" t="str">
        <f t="shared" si="50"/>
        <v>2021</v>
      </c>
      <c r="F808" s="2" t="s">
        <v>5047</v>
      </c>
      <c r="G808" t="s">
        <v>6150</v>
      </c>
      <c r="H808" s="2">
        <v>2</v>
      </c>
      <c r="I808" s="2" t="str">
        <f>_xlfn.XLOOKUP(F808,customers!A:A,customers!B:B)</f>
        <v>Kathleen Diable</v>
      </c>
      <c r="J808" s="2">
        <f>_xlfn.XLOOKUP(F808,customers!A:A,customers!C:C)</f>
        <v>0</v>
      </c>
      <c r="K808" s="2" t="str">
        <f>_xlfn.XLOOKUP(F808,customers!A:A,customers!F:F)</f>
        <v>Kinloch</v>
      </c>
      <c r="L808" s="2" t="str">
        <f>_xlfn.XLOOKUP(F808,customers!A:A,customers!G:G)</f>
        <v>United Kingdom</v>
      </c>
      <c r="M808" t="str">
        <f>_xlfn.XLOOKUP(G808,products!A:A,products!B:B)</f>
        <v>Lib</v>
      </c>
      <c r="N808" t="str">
        <f>_xlfn.XLOOKUP(G808,products!A:A,products!C:C)</f>
        <v>D</v>
      </c>
      <c r="O808">
        <f>_xlfn.XLOOKUP(G808,products!A:A,products!D:D)</f>
        <v>0.2</v>
      </c>
      <c r="P808">
        <f>_xlfn.XLOOKUP(G808,products!A:A,products!E:E)</f>
        <v>3.8849999999999998</v>
      </c>
      <c r="Q808">
        <f t="shared" si="51"/>
        <v>7.77</v>
      </c>
      <c r="R808" t="str" cm="1">
        <f t="array" ref="R808">_xlfn.IFS(Q808&lt;=50,"low sales",Q808&lt;=100,"medium sales",Q808&gt;100,"High sales")</f>
        <v>low sales</v>
      </c>
    </row>
    <row r="809" spans="1:18" x14ac:dyDescent="0.35">
      <c r="A809" s="2" t="s">
        <v>5050</v>
      </c>
      <c r="B809" s="3">
        <v>44543</v>
      </c>
      <c r="C809" s="3" t="str">
        <f t="shared" si="48"/>
        <v>Monday</v>
      </c>
      <c r="D809" s="3" t="str">
        <f t="shared" si="49"/>
        <v>December</v>
      </c>
      <c r="E809" s="3" t="str">
        <f t="shared" si="50"/>
        <v>2021</v>
      </c>
      <c r="F809" s="2" t="s">
        <v>5051</v>
      </c>
      <c r="G809" t="s">
        <v>6169</v>
      </c>
      <c r="H809" s="2">
        <v>3</v>
      </c>
      <c r="I809" s="2" t="str">
        <f>_xlfn.XLOOKUP(F809,customers!A:A,customers!B:B)</f>
        <v>Koren Ferretti</v>
      </c>
      <c r="J809" s="2" t="str">
        <f>_xlfn.XLOOKUP(F809,customers!A:A,customers!C:C)</f>
        <v>kferrettimf@huffingtonpost.com</v>
      </c>
      <c r="K809" s="2" t="str">
        <f>_xlfn.XLOOKUP(F809,customers!A:A,customers!F:F)</f>
        <v>Balrothery</v>
      </c>
      <c r="L809" s="2" t="str">
        <f>_xlfn.XLOOKUP(F809,customers!A:A,customers!G:G)</f>
        <v>Ireland</v>
      </c>
      <c r="M809" t="str">
        <f>_xlfn.XLOOKUP(G809,products!A:A,products!B:B)</f>
        <v>Lib</v>
      </c>
      <c r="N809" t="str">
        <f>_xlfn.XLOOKUP(G809,products!A:A,products!C:C)</f>
        <v>D</v>
      </c>
      <c r="O809">
        <f>_xlfn.XLOOKUP(G809,products!A:A,products!D:D)</f>
        <v>0.5</v>
      </c>
      <c r="P809">
        <f>_xlfn.XLOOKUP(G809,products!A:A,products!E:E)</f>
        <v>7.77</v>
      </c>
      <c r="Q809">
        <f t="shared" si="51"/>
        <v>23.31</v>
      </c>
      <c r="R809" t="str" cm="1">
        <f t="array" ref="R809">_xlfn.IFS(Q809&lt;=50,"low sales",Q809&lt;=100,"medium sales",Q809&gt;100,"High sales")</f>
        <v>low sales</v>
      </c>
    </row>
    <row r="810" spans="1:18" x14ac:dyDescent="0.35">
      <c r="A810" s="2" t="s">
        <v>5056</v>
      </c>
      <c r="B810" s="3">
        <v>43868</v>
      </c>
      <c r="C810" s="3" t="str">
        <f t="shared" si="48"/>
        <v>Friday</v>
      </c>
      <c r="D810" s="3" t="str">
        <f t="shared" si="49"/>
        <v>February</v>
      </c>
      <c r="E810" s="3" t="str">
        <f t="shared" si="50"/>
        <v>2020</v>
      </c>
      <c r="F810" s="2" t="s">
        <v>5113</v>
      </c>
      <c r="G810" t="s">
        <v>6142</v>
      </c>
      <c r="H810" s="2">
        <v>5</v>
      </c>
      <c r="I810" s="2" t="str">
        <f>_xlfn.XLOOKUP(F810,customers!A:A,customers!B:B)</f>
        <v>Allis Wilmore</v>
      </c>
      <c r="J810" s="2">
        <f>_xlfn.XLOOKUP(F810,customers!A:A,customers!C:C)</f>
        <v>0</v>
      </c>
      <c r="K810" s="2" t="str">
        <f>_xlfn.XLOOKUP(F810,customers!A:A,customers!F:F)</f>
        <v>Houston</v>
      </c>
      <c r="L810" s="2" t="str">
        <f>_xlfn.XLOOKUP(F810,customers!A:A,customers!G:G)</f>
        <v>United States</v>
      </c>
      <c r="M810" t="str">
        <f>_xlfn.XLOOKUP(G810,products!A:A,products!B:B)</f>
        <v>Rob</v>
      </c>
      <c r="N810" t="str">
        <f>_xlfn.XLOOKUP(G810,products!A:A,products!C:C)</f>
        <v>L</v>
      </c>
      <c r="O810">
        <f>_xlfn.XLOOKUP(G810,products!A:A,products!D:D)</f>
        <v>2.5</v>
      </c>
      <c r="P810">
        <f>_xlfn.XLOOKUP(G810,products!A:A,products!E:E)</f>
        <v>27.484999999999996</v>
      </c>
      <c r="Q810">
        <f t="shared" si="51"/>
        <v>137.42499999999998</v>
      </c>
      <c r="R810" t="str" cm="1">
        <f t="array" ref="R810">_xlfn.IFS(Q810&lt;=50,"low sales",Q810&lt;=100,"medium sales",Q810&gt;100,"High sales")</f>
        <v>High sales</v>
      </c>
    </row>
    <row r="811" spans="1:18" x14ac:dyDescent="0.35">
      <c r="A811" s="2" t="s">
        <v>5062</v>
      </c>
      <c r="B811" s="3">
        <v>44235</v>
      </c>
      <c r="C811" s="3" t="str">
        <f t="shared" si="48"/>
        <v>Monday</v>
      </c>
      <c r="D811" s="3" t="str">
        <f t="shared" si="49"/>
        <v>February</v>
      </c>
      <c r="E811" s="3" t="str">
        <f t="shared" si="50"/>
        <v>2021</v>
      </c>
      <c r="F811" s="2" t="s">
        <v>5063</v>
      </c>
      <c r="G811" t="s">
        <v>6163</v>
      </c>
      <c r="H811" s="2">
        <v>3</v>
      </c>
      <c r="I811" s="2" t="str">
        <f>_xlfn.XLOOKUP(F811,customers!A:A,customers!B:B)</f>
        <v>Chaddie Bennie</v>
      </c>
      <c r="J811" s="2">
        <f>_xlfn.XLOOKUP(F811,customers!A:A,customers!C:C)</f>
        <v>0</v>
      </c>
      <c r="K811" s="2" t="str">
        <f>_xlfn.XLOOKUP(F811,customers!A:A,customers!F:F)</f>
        <v>El Paso</v>
      </c>
      <c r="L811" s="2" t="str">
        <f>_xlfn.XLOOKUP(F811,customers!A:A,customers!G:G)</f>
        <v>United States</v>
      </c>
      <c r="M811" t="str">
        <f>_xlfn.XLOOKUP(G811,products!A:A,products!B:B)</f>
        <v>Rob</v>
      </c>
      <c r="N811" t="str">
        <f>_xlfn.XLOOKUP(G811,products!A:A,products!C:C)</f>
        <v>D</v>
      </c>
      <c r="O811">
        <f>_xlfn.XLOOKUP(G811,products!A:A,products!D:D)</f>
        <v>0.2</v>
      </c>
      <c r="P811">
        <f>_xlfn.XLOOKUP(G811,products!A:A,products!E:E)</f>
        <v>2.6849999999999996</v>
      </c>
      <c r="Q811">
        <f t="shared" si="51"/>
        <v>8.0549999999999997</v>
      </c>
      <c r="R811" t="str" cm="1">
        <f t="array" ref="R811">_xlfn.IFS(Q811&lt;=50,"low sales",Q811&lt;=100,"medium sales",Q811&gt;100,"High sales")</f>
        <v>low sales</v>
      </c>
    </row>
    <row r="812" spans="1:18" x14ac:dyDescent="0.35">
      <c r="A812" s="2" t="s">
        <v>5067</v>
      </c>
      <c r="B812" s="3">
        <v>44054</v>
      </c>
      <c r="C812" s="3" t="str">
        <f t="shared" si="48"/>
        <v>Tuesday</v>
      </c>
      <c r="D812" s="3" t="str">
        <f t="shared" si="49"/>
        <v>August</v>
      </c>
      <c r="E812" s="3" t="str">
        <f t="shared" si="50"/>
        <v>2020</v>
      </c>
      <c r="F812" s="2" t="s">
        <v>5068</v>
      </c>
      <c r="G812" t="s">
        <v>6161</v>
      </c>
      <c r="H812" s="2">
        <v>3</v>
      </c>
      <c r="I812" s="2" t="str">
        <f>_xlfn.XLOOKUP(F812,customers!A:A,customers!B:B)</f>
        <v>Alberta Balsdone</v>
      </c>
      <c r="J812" s="2" t="str">
        <f>_xlfn.XLOOKUP(F812,customers!A:A,customers!C:C)</f>
        <v>abalsdonemi@toplist.cz</v>
      </c>
      <c r="K812" s="2" t="str">
        <f>_xlfn.XLOOKUP(F812,customers!A:A,customers!F:F)</f>
        <v>Largo</v>
      </c>
      <c r="L812" s="2" t="str">
        <f>_xlfn.XLOOKUP(F812,customers!A:A,customers!G:G)</f>
        <v>United States</v>
      </c>
      <c r="M812" t="str">
        <f>_xlfn.XLOOKUP(G812,products!A:A,products!B:B)</f>
        <v>Lib</v>
      </c>
      <c r="N812" t="str">
        <f>_xlfn.XLOOKUP(G812,products!A:A,products!C:C)</f>
        <v>L</v>
      </c>
      <c r="O812">
        <f>_xlfn.XLOOKUP(G812,products!A:A,products!D:D)</f>
        <v>0.5</v>
      </c>
      <c r="P812">
        <f>_xlfn.XLOOKUP(G812,products!A:A,products!E:E)</f>
        <v>9.51</v>
      </c>
      <c r="Q812">
        <f t="shared" si="51"/>
        <v>28.53</v>
      </c>
      <c r="R812" t="str" cm="1">
        <f t="array" ref="R812">_xlfn.IFS(Q812&lt;=50,"low sales",Q812&lt;=100,"medium sales",Q812&gt;100,"High sales")</f>
        <v>low sales</v>
      </c>
    </row>
    <row r="813" spans="1:18" x14ac:dyDescent="0.35">
      <c r="A813" s="2" t="s">
        <v>5073</v>
      </c>
      <c r="B813" s="3">
        <v>44114</v>
      </c>
      <c r="C813" s="3" t="str">
        <f t="shared" si="48"/>
        <v>Saturday</v>
      </c>
      <c r="D813" s="3" t="str">
        <f t="shared" si="49"/>
        <v>October</v>
      </c>
      <c r="E813" s="3" t="str">
        <f t="shared" si="50"/>
        <v>2020</v>
      </c>
      <c r="F813" s="2" t="s">
        <v>5074</v>
      </c>
      <c r="G813" t="s">
        <v>6155</v>
      </c>
      <c r="H813" s="2">
        <v>6</v>
      </c>
      <c r="I813" s="2" t="str">
        <f>_xlfn.XLOOKUP(F813,customers!A:A,customers!B:B)</f>
        <v>Brice Romera</v>
      </c>
      <c r="J813" s="2" t="str">
        <f>_xlfn.XLOOKUP(F813,customers!A:A,customers!C:C)</f>
        <v>bromeramj@list-manage.com</v>
      </c>
      <c r="K813" s="2" t="str">
        <f>_xlfn.XLOOKUP(F813,customers!A:A,customers!F:F)</f>
        <v>Foxrock</v>
      </c>
      <c r="L813" s="2" t="str">
        <f>_xlfn.XLOOKUP(F813,customers!A:A,customers!G:G)</f>
        <v>Ireland</v>
      </c>
      <c r="M813" t="str">
        <f>_xlfn.XLOOKUP(G813,products!A:A,products!B:B)</f>
        <v>Ara</v>
      </c>
      <c r="N813" t="str">
        <f>_xlfn.XLOOKUP(G813,products!A:A,products!C:C)</f>
        <v>M</v>
      </c>
      <c r="O813">
        <f>_xlfn.XLOOKUP(G813,products!A:A,products!D:D)</f>
        <v>1</v>
      </c>
      <c r="P813">
        <f>_xlfn.XLOOKUP(G813,products!A:A,products!E:E)</f>
        <v>11.25</v>
      </c>
      <c r="Q813">
        <f t="shared" si="51"/>
        <v>67.5</v>
      </c>
      <c r="R813" t="str" cm="1">
        <f t="array" ref="R813">_xlfn.IFS(Q813&lt;=50,"low sales",Q813&lt;=100,"medium sales",Q813&gt;100,"High sales")</f>
        <v>medium sales</v>
      </c>
    </row>
    <row r="814" spans="1:18" x14ac:dyDescent="0.35">
      <c r="A814" s="2" t="s">
        <v>5073</v>
      </c>
      <c r="B814" s="3">
        <v>44114</v>
      </c>
      <c r="C814" s="3" t="str">
        <f t="shared" si="48"/>
        <v>Saturday</v>
      </c>
      <c r="D814" s="3" t="str">
        <f t="shared" si="49"/>
        <v>October</v>
      </c>
      <c r="E814" s="3" t="str">
        <f t="shared" si="50"/>
        <v>2020</v>
      </c>
      <c r="F814" s="2" t="s">
        <v>5074</v>
      </c>
      <c r="G814" t="s">
        <v>6165</v>
      </c>
      <c r="H814" s="2">
        <v>6</v>
      </c>
      <c r="I814" s="2" t="str">
        <f>_xlfn.XLOOKUP(F814,customers!A:A,customers!B:B)</f>
        <v>Brice Romera</v>
      </c>
      <c r="J814" s="2" t="str">
        <f>_xlfn.XLOOKUP(F814,customers!A:A,customers!C:C)</f>
        <v>bromeramj@list-manage.com</v>
      </c>
      <c r="K814" s="2" t="str">
        <f>_xlfn.XLOOKUP(F814,customers!A:A,customers!F:F)</f>
        <v>Foxrock</v>
      </c>
      <c r="L814" s="2" t="str">
        <f>_xlfn.XLOOKUP(F814,customers!A:A,customers!G:G)</f>
        <v>Ireland</v>
      </c>
      <c r="M814" t="str">
        <f>_xlfn.XLOOKUP(G814,products!A:A,products!B:B)</f>
        <v>Lib</v>
      </c>
      <c r="N814" t="str">
        <f>_xlfn.XLOOKUP(G814,products!A:A,products!C:C)</f>
        <v>D</v>
      </c>
      <c r="O814">
        <f>_xlfn.XLOOKUP(G814,products!A:A,products!D:D)</f>
        <v>2.5</v>
      </c>
      <c r="P814">
        <f>_xlfn.XLOOKUP(G814,products!A:A,products!E:E)</f>
        <v>29.784999999999997</v>
      </c>
      <c r="Q814">
        <f t="shared" si="51"/>
        <v>178.70999999999998</v>
      </c>
      <c r="R814" t="str" cm="1">
        <f t="array" ref="R814">_xlfn.IFS(Q814&lt;=50,"low sales",Q814&lt;=100,"medium sales",Q814&gt;100,"High sales")</f>
        <v>High sales</v>
      </c>
    </row>
    <row r="815" spans="1:18" x14ac:dyDescent="0.35">
      <c r="A815" s="2" t="s">
        <v>5084</v>
      </c>
      <c r="B815" s="3">
        <v>44173</v>
      </c>
      <c r="C815" s="3" t="str">
        <f t="shared" si="48"/>
        <v>Tuesday</v>
      </c>
      <c r="D815" s="3" t="str">
        <f t="shared" si="49"/>
        <v>December</v>
      </c>
      <c r="E815" s="3" t="str">
        <f t="shared" si="50"/>
        <v>2020</v>
      </c>
      <c r="F815" s="2" t="s">
        <v>5085</v>
      </c>
      <c r="G815" t="s">
        <v>6166</v>
      </c>
      <c r="H815" s="2">
        <v>1</v>
      </c>
      <c r="I815" s="2" t="str">
        <f>_xlfn.XLOOKUP(F815,customers!A:A,customers!B:B)</f>
        <v>Conchita Bryde</v>
      </c>
      <c r="J815" s="2" t="str">
        <f>_xlfn.XLOOKUP(F815,customers!A:A,customers!C:C)</f>
        <v>cbrydeml@tuttocitta.it</v>
      </c>
      <c r="K815" s="2" t="str">
        <f>_xlfn.XLOOKUP(F815,customers!A:A,customers!F:F)</f>
        <v>Oklahoma City</v>
      </c>
      <c r="L815" s="2" t="str">
        <f>_xlfn.XLOOKUP(F815,customers!A:A,customers!G:G)</f>
        <v>United States</v>
      </c>
      <c r="M815" t="str">
        <f>_xlfn.XLOOKUP(G815,products!A:A,products!B:B)</f>
        <v>Exc</v>
      </c>
      <c r="N815" t="str">
        <f>_xlfn.XLOOKUP(G815,products!A:A,products!C:C)</f>
        <v>M</v>
      </c>
      <c r="O815">
        <f>_xlfn.XLOOKUP(G815,products!A:A,products!D:D)</f>
        <v>2.5</v>
      </c>
      <c r="P815">
        <f>_xlfn.XLOOKUP(G815,products!A:A,products!E:E)</f>
        <v>31.624999999999996</v>
      </c>
      <c r="Q815">
        <f t="shared" si="51"/>
        <v>31.624999999999996</v>
      </c>
      <c r="R815" t="str" cm="1">
        <f t="array" ref="R815">_xlfn.IFS(Q815&lt;=50,"low sales",Q815&lt;=100,"medium sales",Q815&gt;100,"High sales")</f>
        <v>low sales</v>
      </c>
    </row>
    <row r="816" spans="1:18" x14ac:dyDescent="0.35">
      <c r="A816" s="2" t="s">
        <v>5090</v>
      </c>
      <c r="B816" s="3">
        <v>43573</v>
      </c>
      <c r="C816" s="3" t="str">
        <f t="shared" si="48"/>
        <v>Thursday</v>
      </c>
      <c r="D816" s="3" t="str">
        <f t="shared" si="49"/>
        <v>April</v>
      </c>
      <c r="E816" s="3" t="str">
        <f t="shared" si="50"/>
        <v>2019</v>
      </c>
      <c r="F816" s="2" t="s">
        <v>5091</v>
      </c>
      <c r="G816" t="s">
        <v>6184</v>
      </c>
      <c r="H816" s="2">
        <v>2</v>
      </c>
      <c r="I816" s="2" t="str">
        <f>_xlfn.XLOOKUP(F816,customers!A:A,customers!B:B)</f>
        <v>Silvanus Enefer</v>
      </c>
      <c r="J816" s="2" t="str">
        <f>_xlfn.XLOOKUP(F816,customers!A:A,customers!C:C)</f>
        <v>senefermm@blog.com</v>
      </c>
      <c r="K816" s="2" t="str">
        <f>_xlfn.XLOOKUP(F816,customers!A:A,customers!F:F)</f>
        <v>Washington</v>
      </c>
      <c r="L816" s="2" t="str">
        <f>_xlfn.XLOOKUP(F816,customers!A:A,customers!G:G)</f>
        <v>United States</v>
      </c>
      <c r="M816" t="str">
        <f>_xlfn.XLOOKUP(G816,products!A:A,products!B:B)</f>
        <v>Exc</v>
      </c>
      <c r="N816" t="str">
        <f>_xlfn.XLOOKUP(G816,products!A:A,products!C:C)</f>
        <v>L</v>
      </c>
      <c r="O816">
        <f>_xlfn.XLOOKUP(G816,products!A:A,products!D:D)</f>
        <v>0.2</v>
      </c>
      <c r="P816">
        <f>_xlfn.XLOOKUP(G816,products!A:A,products!E:E)</f>
        <v>4.4550000000000001</v>
      </c>
      <c r="Q816">
        <f t="shared" si="51"/>
        <v>8.91</v>
      </c>
      <c r="R816" t="str" cm="1">
        <f t="array" ref="R816">_xlfn.IFS(Q816&lt;=50,"low sales",Q816&lt;=100,"medium sales",Q816&gt;100,"High sales")</f>
        <v>low sales</v>
      </c>
    </row>
    <row r="817" spans="1:18" x14ac:dyDescent="0.35">
      <c r="A817" s="2" t="s">
        <v>5096</v>
      </c>
      <c r="B817" s="3">
        <v>44200</v>
      </c>
      <c r="C817" s="3" t="str">
        <f t="shared" si="48"/>
        <v>Monday</v>
      </c>
      <c r="D817" s="3" t="str">
        <f t="shared" si="49"/>
        <v>January</v>
      </c>
      <c r="E817" s="3" t="str">
        <f t="shared" si="50"/>
        <v>2021</v>
      </c>
      <c r="F817" s="2" t="s">
        <v>5097</v>
      </c>
      <c r="G817" t="s">
        <v>6146</v>
      </c>
      <c r="H817" s="2">
        <v>6</v>
      </c>
      <c r="I817" s="2" t="str">
        <f>_xlfn.XLOOKUP(F817,customers!A:A,customers!B:B)</f>
        <v>Lenci Haggerstone</v>
      </c>
      <c r="J817" s="2" t="str">
        <f>_xlfn.XLOOKUP(F817,customers!A:A,customers!C:C)</f>
        <v>lhaggerstonemn@independent.co.uk</v>
      </c>
      <c r="K817" s="2" t="str">
        <f>_xlfn.XLOOKUP(F817,customers!A:A,customers!F:F)</f>
        <v>Atlanta</v>
      </c>
      <c r="L817" s="2" t="str">
        <f>_xlfn.XLOOKUP(F817,customers!A:A,customers!G:G)</f>
        <v>United States</v>
      </c>
      <c r="M817" t="str">
        <f>_xlfn.XLOOKUP(G817,products!A:A,products!B:B)</f>
        <v>Rob</v>
      </c>
      <c r="N817" t="str">
        <f>_xlfn.XLOOKUP(G817,products!A:A,products!C:C)</f>
        <v>M</v>
      </c>
      <c r="O817">
        <f>_xlfn.XLOOKUP(G817,products!A:A,products!D:D)</f>
        <v>0.5</v>
      </c>
      <c r="P817">
        <f>_xlfn.XLOOKUP(G817,products!A:A,products!E:E)</f>
        <v>5.97</v>
      </c>
      <c r="Q817">
        <f t="shared" si="51"/>
        <v>35.82</v>
      </c>
      <c r="R817" t="str" cm="1">
        <f t="array" ref="R817">_xlfn.IFS(Q817&lt;=50,"low sales",Q817&lt;=100,"medium sales",Q817&gt;100,"High sales")</f>
        <v>low sales</v>
      </c>
    </row>
    <row r="818" spans="1:18" x14ac:dyDescent="0.35">
      <c r="A818" s="2" t="s">
        <v>5102</v>
      </c>
      <c r="B818" s="3">
        <v>43534</v>
      </c>
      <c r="C818" s="3" t="str">
        <f t="shared" si="48"/>
        <v>Sunday</v>
      </c>
      <c r="D818" s="3" t="str">
        <f t="shared" si="49"/>
        <v>March</v>
      </c>
      <c r="E818" s="3" t="str">
        <f t="shared" si="50"/>
        <v>2019</v>
      </c>
      <c r="F818" s="2" t="s">
        <v>5103</v>
      </c>
      <c r="G818" t="s">
        <v>6161</v>
      </c>
      <c r="H818" s="2">
        <v>4</v>
      </c>
      <c r="I818" s="2" t="str">
        <f>_xlfn.XLOOKUP(F818,customers!A:A,customers!B:B)</f>
        <v>Marvin Gundry</v>
      </c>
      <c r="J818" s="2" t="str">
        <f>_xlfn.XLOOKUP(F818,customers!A:A,customers!C:C)</f>
        <v>mgundrymo@omniture.com</v>
      </c>
      <c r="K818" s="2" t="str">
        <f>_xlfn.XLOOKUP(F818,customers!A:A,customers!F:F)</f>
        <v>Castlebridge</v>
      </c>
      <c r="L818" s="2" t="str">
        <f>_xlfn.XLOOKUP(F818,customers!A:A,customers!G:G)</f>
        <v>Ireland</v>
      </c>
      <c r="M818" t="str">
        <f>_xlfn.XLOOKUP(G818,products!A:A,products!B:B)</f>
        <v>Lib</v>
      </c>
      <c r="N818" t="str">
        <f>_xlfn.XLOOKUP(G818,products!A:A,products!C:C)</f>
        <v>L</v>
      </c>
      <c r="O818">
        <f>_xlfn.XLOOKUP(G818,products!A:A,products!D:D)</f>
        <v>0.5</v>
      </c>
      <c r="P818">
        <f>_xlfn.XLOOKUP(G818,products!A:A,products!E:E)</f>
        <v>9.51</v>
      </c>
      <c r="Q818">
        <f t="shared" si="51"/>
        <v>38.04</v>
      </c>
      <c r="R818" t="str" cm="1">
        <f t="array" ref="R818">_xlfn.IFS(Q818&lt;=50,"low sales",Q818&lt;=100,"medium sales",Q818&gt;100,"High sales")</f>
        <v>low sales</v>
      </c>
    </row>
    <row r="819" spans="1:18" x14ac:dyDescent="0.35">
      <c r="A819" s="2" t="s">
        <v>5107</v>
      </c>
      <c r="B819" s="3">
        <v>43798</v>
      </c>
      <c r="C819" s="3" t="str">
        <f t="shared" si="48"/>
        <v>Friday</v>
      </c>
      <c r="D819" s="3" t="str">
        <f t="shared" si="49"/>
        <v>November</v>
      </c>
      <c r="E819" s="3" t="str">
        <f t="shared" si="50"/>
        <v>2019</v>
      </c>
      <c r="F819" s="2" t="s">
        <v>5108</v>
      </c>
      <c r="G819" t="s">
        <v>6169</v>
      </c>
      <c r="H819" s="2">
        <v>2</v>
      </c>
      <c r="I819" s="2" t="str">
        <f>_xlfn.XLOOKUP(F819,customers!A:A,customers!B:B)</f>
        <v>Bayard Wellan</v>
      </c>
      <c r="J819" s="2" t="str">
        <f>_xlfn.XLOOKUP(F819,customers!A:A,customers!C:C)</f>
        <v>bwellanmp@cafepress.com</v>
      </c>
      <c r="K819" s="2" t="str">
        <f>_xlfn.XLOOKUP(F819,customers!A:A,customers!F:F)</f>
        <v>Buffalo</v>
      </c>
      <c r="L819" s="2" t="str">
        <f>_xlfn.XLOOKUP(F819,customers!A:A,customers!G:G)</f>
        <v>United States</v>
      </c>
      <c r="M819" t="str">
        <f>_xlfn.XLOOKUP(G819,products!A:A,products!B:B)</f>
        <v>Lib</v>
      </c>
      <c r="N819" t="str">
        <f>_xlfn.XLOOKUP(G819,products!A:A,products!C:C)</f>
        <v>D</v>
      </c>
      <c r="O819">
        <f>_xlfn.XLOOKUP(G819,products!A:A,products!D:D)</f>
        <v>0.5</v>
      </c>
      <c r="P819">
        <f>_xlfn.XLOOKUP(G819,products!A:A,products!E:E)</f>
        <v>7.77</v>
      </c>
      <c r="Q819">
        <f t="shared" si="51"/>
        <v>15.54</v>
      </c>
      <c r="R819" t="str" cm="1">
        <f t="array" ref="R819">_xlfn.IFS(Q819&lt;=50,"low sales",Q819&lt;=100,"medium sales",Q819&gt;100,"High sales")</f>
        <v>low sales</v>
      </c>
    </row>
    <row r="820" spans="1:18" x14ac:dyDescent="0.35">
      <c r="A820" s="2" t="s">
        <v>5112</v>
      </c>
      <c r="B820" s="3">
        <v>44761</v>
      </c>
      <c r="C820" s="3" t="str">
        <f t="shared" si="48"/>
        <v>Tuesday</v>
      </c>
      <c r="D820" s="3" t="str">
        <f t="shared" si="49"/>
        <v>July</v>
      </c>
      <c r="E820" s="3" t="str">
        <f t="shared" si="50"/>
        <v>2022</v>
      </c>
      <c r="F820" s="2" t="s">
        <v>5113</v>
      </c>
      <c r="G820" t="s">
        <v>6170</v>
      </c>
      <c r="H820" s="2">
        <v>5</v>
      </c>
      <c r="I820" s="2" t="str">
        <f>_xlfn.XLOOKUP(F820,customers!A:A,customers!B:B)</f>
        <v>Allis Wilmore</v>
      </c>
      <c r="J820" s="2">
        <f>_xlfn.XLOOKUP(F820,customers!A:A,customers!C:C)</f>
        <v>0</v>
      </c>
      <c r="K820" s="2" t="str">
        <f>_xlfn.XLOOKUP(F820,customers!A:A,customers!F:F)</f>
        <v>Houston</v>
      </c>
      <c r="L820" s="2" t="str">
        <f>_xlfn.XLOOKUP(F820,customers!A:A,customers!G:G)</f>
        <v>United States</v>
      </c>
      <c r="M820" t="str">
        <f>_xlfn.XLOOKUP(G820,products!A:A,products!B:B)</f>
        <v>Lib</v>
      </c>
      <c r="N820" t="str">
        <f>_xlfn.XLOOKUP(G820,products!A:A,products!C:C)</f>
        <v>L</v>
      </c>
      <c r="O820">
        <f>_xlfn.XLOOKUP(G820,products!A:A,products!D:D)</f>
        <v>1</v>
      </c>
      <c r="P820">
        <f>_xlfn.XLOOKUP(G820,products!A:A,products!E:E)</f>
        <v>15.85</v>
      </c>
      <c r="Q820">
        <f t="shared" si="51"/>
        <v>79.25</v>
      </c>
      <c r="R820" t="str" cm="1">
        <f t="array" ref="R820">_xlfn.IFS(Q820&lt;=50,"low sales",Q820&lt;=100,"medium sales",Q820&gt;100,"High sales")</f>
        <v>medium sales</v>
      </c>
    </row>
    <row r="821" spans="1:18" x14ac:dyDescent="0.35">
      <c r="A821" s="2" t="s">
        <v>5117</v>
      </c>
      <c r="B821" s="3">
        <v>44008</v>
      </c>
      <c r="C821" s="3" t="str">
        <f t="shared" si="48"/>
        <v>Friday</v>
      </c>
      <c r="D821" s="3" t="str">
        <f t="shared" si="49"/>
        <v>June</v>
      </c>
      <c r="E821" s="3" t="str">
        <f t="shared" si="50"/>
        <v>2020</v>
      </c>
      <c r="F821" s="2" t="s">
        <v>5118</v>
      </c>
      <c r="G821" t="s">
        <v>6145</v>
      </c>
      <c r="H821" s="2">
        <v>1</v>
      </c>
      <c r="I821" s="2" t="str">
        <f>_xlfn.XLOOKUP(F821,customers!A:A,customers!B:B)</f>
        <v>Caddric Atcheson</v>
      </c>
      <c r="J821" s="2" t="str">
        <f>_xlfn.XLOOKUP(F821,customers!A:A,customers!C:C)</f>
        <v>catchesonmr@xinhuanet.com</v>
      </c>
      <c r="K821" s="2" t="str">
        <f>_xlfn.XLOOKUP(F821,customers!A:A,customers!F:F)</f>
        <v>Washington</v>
      </c>
      <c r="L821" s="2" t="str">
        <f>_xlfn.XLOOKUP(F821,customers!A:A,customers!G:G)</f>
        <v>United States</v>
      </c>
      <c r="M821" t="str">
        <f>_xlfn.XLOOKUP(G821,products!A:A,products!B:B)</f>
        <v>Lib</v>
      </c>
      <c r="N821" t="str">
        <f>_xlfn.XLOOKUP(G821,products!A:A,products!C:C)</f>
        <v>L</v>
      </c>
      <c r="O821">
        <f>_xlfn.XLOOKUP(G821,products!A:A,products!D:D)</f>
        <v>0.2</v>
      </c>
      <c r="P821">
        <f>_xlfn.XLOOKUP(G821,products!A:A,products!E:E)</f>
        <v>4.7549999999999999</v>
      </c>
      <c r="Q821">
        <f t="shared" si="51"/>
        <v>4.7549999999999999</v>
      </c>
      <c r="R821" t="str" cm="1">
        <f t="array" ref="R821">_xlfn.IFS(Q821&lt;=50,"low sales",Q821&lt;=100,"medium sales",Q821&gt;100,"High sales")</f>
        <v>low sales</v>
      </c>
    </row>
    <row r="822" spans="1:18" x14ac:dyDescent="0.35">
      <c r="A822" s="2" t="s">
        <v>5123</v>
      </c>
      <c r="B822" s="3">
        <v>43510</v>
      </c>
      <c r="C822" s="3" t="str">
        <f t="shared" si="48"/>
        <v>Thursday</v>
      </c>
      <c r="D822" s="3" t="str">
        <f t="shared" si="49"/>
        <v>February</v>
      </c>
      <c r="E822" s="3" t="str">
        <f t="shared" si="50"/>
        <v>2019</v>
      </c>
      <c r="F822" s="2" t="s">
        <v>5124</v>
      </c>
      <c r="G822" t="s">
        <v>6141</v>
      </c>
      <c r="H822" s="2">
        <v>4</v>
      </c>
      <c r="I822" s="2" t="str">
        <f>_xlfn.XLOOKUP(F822,customers!A:A,customers!B:B)</f>
        <v>Eustace Stenton</v>
      </c>
      <c r="J822" s="2" t="str">
        <f>_xlfn.XLOOKUP(F822,customers!A:A,customers!C:C)</f>
        <v>estentonms@google.it</v>
      </c>
      <c r="K822" s="2" t="str">
        <f>_xlfn.XLOOKUP(F822,customers!A:A,customers!F:F)</f>
        <v>Austin</v>
      </c>
      <c r="L822" s="2" t="str">
        <f>_xlfn.XLOOKUP(F822,customers!A:A,customers!G:G)</f>
        <v>United States</v>
      </c>
      <c r="M822" t="str">
        <f>_xlfn.XLOOKUP(G822,products!A:A,products!B:B)</f>
        <v>Exc</v>
      </c>
      <c r="N822" t="str">
        <f>_xlfn.XLOOKUP(G822,products!A:A,products!C:C)</f>
        <v>M</v>
      </c>
      <c r="O822">
        <f>_xlfn.XLOOKUP(G822,products!A:A,products!D:D)</f>
        <v>1</v>
      </c>
      <c r="P822">
        <f>_xlfn.XLOOKUP(G822,products!A:A,products!E:E)</f>
        <v>13.75</v>
      </c>
      <c r="Q822">
        <f t="shared" si="51"/>
        <v>55</v>
      </c>
      <c r="R822" t="str" cm="1">
        <f t="array" ref="R822">_xlfn.IFS(Q822&lt;=50,"low sales",Q822&lt;=100,"medium sales",Q822&gt;100,"High sales")</f>
        <v>medium sales</v>
      </c>
    </row>
    <row r="823" spans="1:18" x14ac:dyDescent="0.35">
      <c r="A823" s="2" t="s">
        <v>5129</v>
      </c>
      <c r="B823" s="3">
        <v>44144</v>
      </c>
      <c r="C823" s="3" t="str">
        <f t="shared" si="48"/>
        <v>Monday</v>
      </c>
      <c r="D823" s="3" t="str">
        <f t="shared" si="49"/>
        <v>November</v>
      </c>
      <c r="E823" s="3" t="str">
        <f t="shared" si="50"/>
        <v>2020</v>
      </c>
      <c r="F823" s="2" t="s">
        <v>5130</v>
      </c>
      <c r="G823" t="s">
        <v>6172</v>
      </c>
      <c r="H823" s="2">
        <v>5</v>
      </c>
      <c r="I823" s="2" t="str">
        <f>_xlfn.XLOOKUP(F823,customers!A:A,customers!B:B)</f>
        <v>Ericka Tripp</v>
      </c>
      <c r="J823" s="2" t="str">
        <f>_xlfn.XLOOKUP(F823,customers!A:A,customers!C:C)</f>
        <v>etrippmt@wp.com</v>
      </c>
      <c r="K823" s="2" t="str">
        <f>_xlfn.XLOOKUP(F823,customers!A:A,customers!F:F)</f>
        <v>Mesa</v>
      </c>
      <c r="L823" s="2" t="str">
        <f>_xlfn.XLOOKUP(F823,customers!A:A,customers!G:G)</f>
        <v>United States</v>
      </c>
      <c r="M823" t="str">
        <f>_xlfn.XLOOKUP(G823,products!A:A,products!B:B)</f>
        <v>Rob</v>
      </c>
      <c r="N823" t="str">
        <f>_xlfn.XLOOKUP(G823,products!A:A,products!C:C)</f>
        <v>D</v>
      </c>
      <c r="O823">
        <f>_xlfn.XLOOKUP(G823,products!A:A,products!D:D)</f>
        <v>0.5</v>
      </c>
      <c r="P823">
        <f>_xlfn.XLOOKUP(G823,products!A:A,products!E:E)</f>
        <v>5.3699999999999992</v>
      </c>
      <c r="Q823">
        <f t="shared" si="51"/>
        <v>26.849999999999994</v>
      </c>
      <c r="R823" t="str" cm="1">
        <f t="array" ref="R823">_xlfn.IFS(Q823&lt;=50,"low sales",Q823&lt;=100,"medium sales",Q823&gt;100,"High sales")</f>
        <v>low sales</v>
      </c>
    </row>
    <row r="824" spans="1:18" x14ac:dyDescent="0.35">
      <c r="A824" s="2" t="s">
        <v>5135</v>
      </c>
      <c r="B824" s="3">
        <v>43585</v>
      </c>
      <c r="C824" s="3" t="str">
        <f t="shared" si="48"/>
        <v>Tuesday</v>
      </c>
      <c r="D824" s="3" t="str">
        <f t="shared" si="49"/>
        <v>April</v>
      </c>
      <c r="E824" s="3" t="str">
        <f t="shared" si="50"/>
        <v>2019</v>
      </c>
      <c r="F824" s="2" t="s">
        <v>5136</v>
      </c>
      <c r="G824" t="s">
        <v>6148</v>
      </c>
      <c r="H824" s="2">
        <v>4</v>
      </c>
      <c r="I824" s="2" t="str">
        <f>_xlfn.XLOOKUP(F824,customers!A:A,customers!B:B)</f>
        <v>Lyndsey MacManus</v>
      </c>
      <c r="J824" s="2" t="str">
        <f>_xlfn.XLOOKUP(F824,customers!A:A,customers!C:C)</f>
        <v>lmacmanusmu@imdb.com</v>
      </c>
      <c r="K824" s="2" t="str">
        <f>_xlfn.XLOOKUP(F824,customers!A:A,customers!F:F)</f>
        <v>Savannah</v>
      </c>
      <c r="L824" s="2" t="str">
        <f>_xlfn.XLOOKUP(F824,customers!A:A,customers!G:G)</f>
        <v>United States</v>
      </c>
      <c r="M824" t="str">
        <f>_xlfn.XLOOKUP(G824,products!A:A,products!B:B)</f>
        <v>Exc</v>
      </c>
      <c r="N824" t="str">
        <f>_xlfn.XLOOKUP(G824,products!A:A,products!C:C)</f>
        <v>L</v>
      </c>
      <c r="O824">
        <f>_xlfn.XLOOKUP(G824,products!A:A,products!D:D)</f>
        <v>2.5</v>
      </c>
      <c r="P824">
        <f>_xlfn.XLOOKUP(G824,products!A:A,products!E:E)</f>
        <v>34.154999999999994</v>
      </c>
      <c r="Q824">
        <f t="shared" si="51"/>
        <v>136.61999999999998</v>
      </c>
      <c r="R824" t="str" cm="1">
        <f t="array" ref="R824">_xlfn.IFS(Q824&lt;=50,"low sales",Q824&lt;=100,"medium sales",Q824&gt;100,"High sales")</f>
        <v>High sales</v>
      </c>
    </row>
    <row r="825" spans="1:18" x14ac:dyDescent="0.35">
      <c r="A825" s="2" t="s">
        <v>5141</v>
      </c>
      <c r="B825" s="3">
        <v>44134</v>
      </c>
      <c r="C825" s="3" t="str">
        <f t="shared" si="48"/>
        <v>Friday</v>
      </c>
      <c r="D825" s="3" t="str">
        <f t="shared" si="49"/>
        <v>October</v>
      </c>
      <c r="E825" s="3" t="str">
        <f t="shared" si="50"/>
        <v>2020</v>
      </c>
      <c r="F825" s="2" t="s">
        <v>5142</v>
      </c>
      <c r="G825" t="s">
        <v>6170</v>
      </c>
      <c r="H825" s="2">
        <v>3</v>
      </c>
      <c r="I825" s="2" t="str">
        <f>_xlfn.XLOOKUP(F825,customers!A:A,customers!B:B)</f>
        <v>Tess Benediktovich</v>
      </c>
      <c r="J825" s="2" t="str">
        <f>_xlfn.XLOOKUP(F825,customers!A:A,customers!C:C)</f>
        <v>tbenediktovichmv@ebay.com</v>
      </c>
      <c r="K825" s="2" t="str">
        <f>_xlfn.XLOOKUP(F825,customers!A:A,customers!F:F)</f>
        <v>Albuquerque</v>
      </c>
      <c r="L825" s="2" t="str">
        <f>_xlfn.XLOOKUP(F825,customers!A:A,customers!G:G)</f>
        <v>United States</v>
      </c>
      <c r="M825" t="str">
        <f>_xlfn.XLOOKUP(G825,products!A:A,products!B:B)</f>
        <v>Lib</v>
      </c>
      <c r="N825" t="str">
        <f>_xlfn.XLOOKUP(G825,products!A:A,products!C:C)</f>
        <v>L</v>
      </c>
      <c r="O825">
        <f>_xlfn.XLOOKUP(G825,products!A:A,products!D:D)</f>
        <v>1</v>
      </c>
      <c r="P825">
        <f>_xlfn.XLOOKUP(G825,products!A:A,products!E:E)</f>
        <v>15.85</v>
      </c>
      <c r="Q825">
        <f t="shared" si="51"/>
        <v>47.55</v>
      </c>
      <c r="R825" t="str" cm="1">
        <f t="array" ref="R825">_xlfn.IFS(Q825&lt;=50,"low sales",Q825&lt;=100,"medium sales",Q825&gt;100,"High sales")</f>
        <v>low sales</v>
      </c>
    </row>
    <row r="826" spans="1:18" x14ac:dyDescent="0.35">
      <c r="A826" s="2" t="s">
        <v>5147</v>
      </c>
      <c r="B826" s="3">
        <v>43781</v>
      </c>
      <c r="C826" s="3" t="str">
        <f t="shared" si="48"/>
        <v>Tuesday</v>
      </c>
      <c r="D826" s="3" t="str">
        <f t="shared" si="49"/>
        <v>November</v>
      </c>
      <c r="E826" s="3" t="str">
        <f t="shared" si="50"/>
        <v>2019</v>
      </c>
      <c r="F826" s="2" t="s">
        <v>5148</v>
      </c>
      <c r="G826" t="s">
        <v>6152</v>
      </c>
      <c r="H826" s="2">
        <v>5</v>
      </c>
      <c r="I826" s="2" t="str">
        <f>_xlfn.XLOOKUP(F826,customers!A:A,customers!B:B)</f>
        <v>Correy Bourner</v>
      </c>
      <c r="J826" s="2" t="str">
        <f>_xlfn.XLOOKUP(F826,customers!A:A,customers!C:C)</f>
        <v>cbournermw@chronoengine.com</v>
      </c>
      <c r="K826" s="2" t="str">
        <f>_xlfn.XLOOKUP(F826,customers!A:A,customers!F:F)</f>
        <v>Charlotte</v>
      </c>
      <c r="L826" s="2" t="str">
        <f>_xlfn.XLOOKUP(F826,customers!A:A,customers!G:G)</f>
        <v>United States</v>
      </c>
      <c r="M826" t="str">
        <f>_xlfn.XLOOKUP(G826,products!A:A,products!B:B)</f>
        <v>Ara</v>
      </c>
      <c r="N826" t="str">
        <f>_xlfn.XLOOKUP(G826,products!A:A,products!C:C)</f>
        <v>M</v>
      </c>
      <c r="O826">
        <f>_xlfn.XLOOKUP(G826,products!A:A,products!D:D)</f>
        <v>0.2</v>
      </c>
      <c r="P826">
        <f>_xlfn.XLOOKUP(G826,products!A:A,products!E:E)</f>
        <v>3.375</v>
      </c>
      <c r="Q826">
        <f t="shared" si="51"/>
        <v>16.875</v>
      </c>
      <c r="R826" t="str" cm="1">
        <f t="array" ref="R826">_xlfn.IFS(Q826&lt;=50,"low sales",Q826&lt;=100,"medium sales",Q826&gt;100,"High sales")</f>
        <v>low sales</v>
      </c>
    </row>
    <row r="827" spans="1:18" x14ac:dyDescent="0.35">
      <c r="A827" s="2" t="s">
        <v>5152</v>
      </c>
      <c r="B827" s="3">
        <v>44603</v>
      </c>
      <c r="C827" s="3" t="str">
        <f t="shared" si="48"/>
        <v>Friday</v>
      </c>
      <c r="D827" s="3" t="str">
        <f t="shared" si="49"/>
        <v>February</v>
      </c>
      <c r="E827" s="3" t="str">
        <f t="shared" si="50"/>
        <v>2022</v>
      </c>
      <c r="F827" s="2" t="s">
        <v>5188</v>
      </c>
      <c r="G827" t="s">
        <v>6147</v>
      </c>
      <c r="H827" s="2">
        <v>3</v>
      </c>
      <c r="I827" s="2" t="str">
        <f>_xlfn.XLOOKUP(F827,customers!A:A,customers!B:B)</f>
        <v>Odelia Skerme</v>
      </c>
      <c r="J827" s="2" t="str">
        <f>_xlfn.XLOOKUP(F827,customers!A:A,customers!C:C)</f>
        <v>oskermen3@hatena.ne.jp</v>
      </c>
      <c r="K827" s="2" t="str">
        <f>_xlfn.XLOOKUP(F827,customers!A:A,customers!F:F)</f>
        <v>Oklahoma City</v>
      </c>
      <c r="L827" s="2" t="str">
        <f>_xlfn.XLOOKUP(F827,customers!A:A,customers!G:G)</f>
        <v>United States</v>
      </c>
      <c r="M827" t="str">
        <f>_xlfn.XLOOKUP(G827,products!A:A,products!B:B)</f>
        <v>Ara</v>
      </c>
      <c r="N827" t="str">
        <f>_xlfn.XLOOKUP(G827,products!A:A,products!C:C)</f>
        <v>D</v>
      </c>
      <c r="O827">
        <f>_xlfn.XLOOKUP(G827,products!A:A,products!D:D)</f>
        <v>1</v>
      </c>
      <c r="P827">
        <f>_xlfn.XLOOKUP(G827,products!A:A,products!E:E)</f>
        <v>9.9499999999999993</v>
      </c>
      <c r="Q827">
        <f t="shared" si="51"/>
        <v>29.849999999999998</v>
      </c>
      <c r="R827" t="str" cm="1">
        <f t="array" ref="R827">_xlfn.IFS(Q827&lt;=50,"low sales",Q827&lt;=100,"medium sales",Q827&gt;100,"High sales")</f>
        <v>low sales</v>
      </c>
    </row>
    <row r="828" spans="1:18" x14ac:dyDescent="0.35">
      <c r="A828" s="2" t="s">
        <v>5158</v>
      </c>
      <c r="B828" s="3">
        <v>44283</v>
      </c>
      <c r="C828" s="3" t="str">
        <f t="shared" si="48"/>
        <v>Sunday</v>
      </c>
      <c r="D828" s="3" t="str">
        <f t="shared" si="49"/>
        <v>March</v>
      </c>
      <c r="E828" s="3" t="str">
        <f t="shared" si="50"/>
        <v>2021</v>
      </c>
      <c r="F828" s="2" t="s">
        <v>5159</v>
      </c>
      <c r="G828" t="s">
        <v>6139</v>
      </c>
      <c r="H828" s="2">
        <v>5</v>
      </c>
      <c r="I828" s="2" t="str">
        <f>_xlfn.XLOOKUP(F828,customers!A:A,customers!B:B)</f>
        <v>Kandy Heddan</v>
      </c>
      <c r="J828" s="2" t="str">
        <f>_xlfn.XLOOKUP(F828,customers!A:A,customers!C:C)</f>
        <v>kheddanmy@icq.com</v>
      </c>
      <c r="K828" s="2" t="str">
        <f>_xlfn.XLOOKUP(F828,customers!A:A,customers!F:F)</f>
        <v>Pensacola</v>
      </c>
      <c r="L828" s="2" t="str">
        <f>_xlfn.XLOOKUP(F828,customers!A:A,customers!G:G)</f>
        <v>United States</v>
      </c>
      <c r="M828" t="str">
        <f>_xlfn.XLOOKUP(G828,products!A:A,products!B:B)</f>
        <v>Exc</v>
      </c>
      <c r="N828" t="str">
        <f>_xlfn.XLOOKUP(G828,products!A:A,products!C:C)</f>
        <v>M</v>
      </c>
      <c r="O828">
        <f>_xlfn.XLOOKUP(G828,products!A:A,products!D:D)</f>
        <v>0.5</v>
      </c>
      <c r="P828">
        <f>_xlfn.XLOOKUP(G828,products!A:A,products!E:E)</f>
        <v>8.25</v>
      </c>
      <c r="Q828">
        <f t="shared" si="51"/>
        <v>41.25</v>
      </c>
      <c r="R828" t="str" cm="1">
        <f t="array" ref="R828">_xlfn.IFS(Q828&lt;=50,"low sales",Q828&lt;=100,"medium sales",Q828&gt;100,"High sales")</f>
        <v>low sales</v>
      </c>
    </row>
    <row r="829" spans="1:18" x14ac:dyDescent="0.35">
      <c r="A829" s="2" t="s">
        <v>5164</v>
      </c>
      <c r="B829" s="3">
        <v>44540</v>
      </c>
      <c r="C829" s="3" t="str">
        <f t="shared" si="48"/>
        <v>Friday</v>
      </c>
      <c r="D829" s="3" t="str">
        <f t="shared" si="49"/>
        <v>December</v>
      </c>
      <c r="E829" s="3" t="str">
        <f t="shared" si="50"/>
        <v>2021</v>
      </c>
      <c r="F829" s="2" t="s">
        <v>5165</v>
      </c>
      <c r="G829" t="s">
        <v>6156</v>
      </c>
      <c r="H829" s="2">
        <v>5</v>
      </c>
      <c r="I829" s="2" t="str">
        <f>_xlfn.XLOOKUP(F829,customers!A:A,customers!B:B)</f>
        <v>Ibby Charters</v>
      </c>
      <c r="J829" s="2" t="str">
        <f>_xlfn.XLOOKUP(F829,customers!A:A,customers!C:C)</f>
        <v>ichartersmz@abc.net.au</v>
      </c>
      <c r="K829" s="2" t="str">
        <f>_xlfn.XLOOKUP(F829,customers!A:A,customers!F:F)</f>
        <v>Washington</v>
      </c>
      <c r="L829" s="2" t="str">
        <f>_xlfn.XLOOKUP(F829,customers!A:A,customers!G:G)</f>
        <v>United States</v>
      </c>
      <c r="M829" t="str">
        <f>_xlfn.XLOOKUP(G829,products!A:A,products!B:B)</f>
        <v>Exc</v>
      </c>
      <c r="N829" t="str">
        <f>_xlfn.XLOOKUP(G829,products!A:A,products!C:C)</f>
        <v>M</v>
      </c>
      <c r="O829">
        <f>_xlfn.XLOOKUP(G829,products!A:A,products!D:D)</f>
        <v>0.2</v>
      </c>
      <c r="P829">
        <f>_xlfn.XLOOKUP(G829,products!A:A,products!E:E)</f>
        <v>4.125</v>
      </c>
      <c r="Q829">
        <f t="shared" si="51"/>
        <v>20.625</v>
      </c>
      <c r="R829" t="str" cm="1">
        <f t="array" ref="R829">_xlfn.IFS(Q829&lt;=50,"low sales",Q829&lt;=100,"medium sales",Q829&gt;100,"High sales")</f>
        <v>low sales</v>
      </c>
    </row>
    <row r="830" spans="1:18" x14ac:dyDescent="0.35">
      <c r="A830" s="2" t="s">
        <v>5170</v>
      </c>
      <c r="B830" s="3">
        <v>44505</v>
      </c>
      <c r="C830" s="3" t="str">
        <f t="shared" si="48"/>
        <v>Friday</v>
      </c>
      <c r="D830" s="3" t="str">
        <f t="shared" si="49"/>
        <v>November</v>
      </c>
      <c r="E830" s="3" t="str">
        <f t="shared" si="50"/>
        <v>2021</v>
      </c>
      <c r="F830" s="2" t="s">
        <v>5171</v>
      </c>
      <c r="G830" t="s">
        <v>6168</v>
      </c>
      <c r="H830" s="2">
        <v>6</v>
      </c>
      <c r="I830" s="2" t="str">
        <f>_xlfn.XLOOKUP(F830,customers!A:A,customers!B:B)</f>
        <v>Adora Roubert</v>
      </c>
      <c r="J830" s="2" t="str">
        <f>_xlfn.XLOOKUP(F830,customers!A:A,customers!C:C)</f>
        <v>aroubertn0@tmall.com</v>
      </c>
      <c r="K830" s="2" t="str">
        <f>_xlfn.XLOOKUP(F830,customers!A:A,customers!F:F)</f>
        <v>Port Saint Lucie</v>
      </c>
      <c r="L830" s="2" t="str">
        <f>_xlfn.XLOOKUP(F830,customers!A:A,customers!G:G)</f>
        <v>United States</v>
      </c>
      <c r="M830" t="str">
        <f>_xlfn.XLOOKUP(G830,products!A:A,products!B:B)</f>
        <v>Ara</v>
      </c>
      <c r="N830" t="str">
        <f>_xlfn.XLOOKUP(G830,products!A:A,products!C:C)</f>
        <v>D</v>
      </c>
      <c r="O830">
        <f>_xlfn.XLOOKUP(G830,products!A:A,products!D:D)</f>
        <v>2.5</v>
      </c>
      <c r="P830">
        <f>_xlfn.XLOOKUP(G830,products!A:A,products!E:E)</f>
        <v>22.884999999999998</v>
      </c>
      <c r="Q830">
        <f t="shared" si="51"/>
        <v>137.31</v>
      </c>
      <c r="R830" t="str" cm="1">
        <f t="array" ref="R830">_xlfn.IFS(Q830&lt;=50,"low sales",Q830&lt;=100,"medium sales",Q830&gt;100,"High sales")</f>
        <v>High sales</v>
      </c>
    </row>
    <row r="831" spans="1:18" x14ac:dyDescent="0.35">
      <c r="A831" s="2" t="s">
        <v>5176</v>
      </c>
      <c r="B831" s="3">
        <v>43890</v>
      </c>
      <c r="C831" s="3" t="str">
        <f t="shared" si="48"/>
        <v>Saturday</v>
      </c>
      <c r="D831" s="3" t="str">
        <f t="shared" si="49"/>
        <v>February</v>
      </c>
      <c r="E831" s="3" t="str">
        <f t="shared" si="50"/>
        <v>2020</v>
      </c>
      <c r="F831" s="2" t="s">
        <v>5177</v>
      </c>
      <c r="G831" t="s">
        <v>6154</v>
      </c>
      <c r="H831" s="2">
        <v>1</v>
      </c>
      <c r="I831" s="2" t="str">
        <f>_xlfn.XLOOKUP(F831,customers!A:A,customers!B:B)</f>
        <v>Hillel Mairs</v>
      </c>
      <c r="J831" s="2" t="str">
        <f>_xlfn.XLOOKUP(F831,customers!A:A,customers!C:C)</f>
        <v>hmairsn1@so-net.ne.jp</v>
      </c>
      <c r="K831" s="2" t="str">
        <f>_xlfn.XLOOKUP(F831,customers!A:A,customers!F:F)</f>
        <v>Huntington</v>
      </c>
      <c r="L831" s="2" t="str">
        <f>_xlfn.XLOOKUP(F831,customers!A:A,customers!G:G)</f>
        <v>United States</v>
      </c>
      <c r="M831" t="str">
        <f>_xlfn.XLOOKUP(G831,products!A:A,products!B:B)</f>
        <v>Ara</v>
      </c>
      <c r="N831" t="str">
        <f>_xlfn.XLOOKUP(G831,products!A:A,products!C:C)</f>
        <v>D</v>
      </c>
      <c r="O831">
        <f>_xlfn.XLOOKUP(G831,products!A:A,products!D:D)</f>
        <v>0.2</v>
      </c>
      <c r="P831">
        <f>_xlfn.XLOOKUP(G831,products!A:A,products!E:E)</f>
        <v>2.9849999999999999</v>
      </c>
      <c r="Q831">
        <f t="shared" si="51"/>
        <v>2.9849999999999999</v>
      </c>
      <c r="R831" t="str" cm="1">
        <f t="array" ref="R831">_xlfn.IFS(Q831&lt;=50,"low sales",Q831&lt;=100,"medium sales",Q831&gt;100,"High sales")</f>
        <v>low sales</v>
      </c>
    </row>
    <row r="832" spans="1:18" x14ac:dyDescent="0.35">
      <c r="A832" s="2" t="s">
        <v>5182</v>
      </c>
      <c r="B832" s="3">
        <v>44414</v>
      </c>
      <c r="C832" s="3" t="str">
        <f t="shared" si="48"/>
        <v>Friday</v>
      </c>
      <c r="D832" s="3" t="str">
        <f t="shared" si="49"/>
        <v>August</v>
      </c>
      <c r="E832" s="3" t="str">
        <f t="shared" si="50"/>
        <v>2021</v>
      </c>
      <c r="F832" s="2" t="s">
        <v>5183</v>
      </c>
      <c r="G832" t="s">
        <v>6141</v>
      </c>
      <c r="H832" s="2">
        <v>2</v>
      </c>
      <c r="I832" s="2" t="str">
        <f>_xlfn.XLOOKUP(F832,customers!A:A,customers!B:B)</f>
        <v>Helaina Rainforth</v>
      </c>
      <c r="J832" s="2" t="str">
        <f>_xlfn.XLOOKUP(F832,customers!A:A,customers!C:C)</f>
        <v>hrainforthn2@blog.com</v>
      </c>
      <c r="K832" s="2" t="str">
        <f>_xlfn.XLOOKUP(F832,customers!A:A,customers!F:F)</f>
        <v>Philadelphia</v>
      </c>
      <c r="L832" s="2" t="str">
        <f>_xlfn.XLOOKUP(F832,customers!A:A,customers!G:G)</f>
        <v>United States</v>
      </c>
      <c r="M832" t="str">
        <f>_xlfn.XLOOKUP(G832,products!A:A,products!B:B)</f>
        <v>Exc</v>
      </c>
      <c r="N832" t="str">
        <f>_xlfn.XLOOKUP(G832,products!A:A,products!C:C)</f>
        <v>M</v>
      </c>
      <c r="O832">
        <f>_xlfn.XLOOKUP(G832,products!A:A,products!D:D)</f>
        <v>1</v>
      </c>
      <c r="P832">
        <f>_xlfn.XLOOKUP(G832,products!A:A,products!E:E)</f>
        <v>13.75</v>
      </c>
      <c r="Q832">
        <f t="shared" si="51"/>
        <v>27.5</v>
      </c>
      <c r="R832" t="str" cm="1">
        <f t="array" ref="R832">_xlfn.IFS(Q832&lt;=50,"low sales",Q832&lt;=100,"medium sales",Q832&gt;100,"High sales")</f>
        <v>low sales</v>
      </c>
    </row>
    <row r="833" spans="1:18" x14ac:dyDescent="0.35">
      <c r="A833" s="2" t="s">
        <v>5182</v>
      </c>
      <c r="B833" s="3">
        <v>44414</v>
      </c>
      <c r="C833" s="3" t="str">
        <f t="shared" si="48"/>
        <v>Friday</v>
      </c>
      <c r="D833" s="3" t="str">
        <f t="shared" si="49"/>
        <v>August</v>
      </c>
      <c r="E833" s="3" t="str">
        <f t="shared" si="50"/>
        <v>2021</v>
      </c>
      <c r="F833" s="2" t="s">
        <v>5183</v>
      </c>
      <c r="G833" t="s">
        <v>6154</v>
      </c>
      <c r="H833" s="2">
        <v>2</v>
      </c>
      <c r="I833" s="2" t="str">
        <f>_xlfn.XLOOKUP(F833,customers!A:A,customers!B:B)</f>
        <v>Helaina Rainforth</v>
      </c>
      <c r="J833" s="2" t="str">
        <f>_xlfn.XLOOKUP(F833,customers!A:A,customers!C:C)</f>
        <v>hrainforthn2@blog.com</v>
      </c>
      <c r="K833" s="2" t="str">
        <f>_xlfn.XLOOKUP(F833,customers!A:A,customers!F:F)</f>
        <v>Philadelphia</v>
      </c>
      <c r="L833" s="2" t="str">
        <f>_xlfn.XLOOKUP(F833,customers!A:A,customers!G:G)</f>
        <v>United States</v>
      </c>
      <c r="M833" t="str">
        <f>_xlfn.XLOOKUP(G833,products!A:A,products!B:B)</f>
        <v>Ara</v>
      </c>
      <c r="N833" t="str">
        <f>_xlfn.XLOOKUP(G833,products!A:A,products!C:C)</f>
        <v>D</v>
      </c>
      <c r="O833">
        <f>_xlfn.XLOOKUP(G833,products!A:A,products!D:D)</f>
        <v>0.2</v>
      </c>
      <c r="P833">
        <f>_xlfn.XLOOKUP(G833,products!A:A,products!E:E)</f>
        <v>2.9849999999999999</v>
      </c>
      <c r="Q833">
        <f t="shared" si="51"/>
        <v>5.97</v>
      </c>
      <c r="R833" t="str" cm="1">
        <f t="array" ref="R833">_xlfn.IFS(Q833&lt;=50,"low sales",Q833&lt;=100,"medium sales",Q833&gt;100,"High sales")</f>
        <v>low sales</v>
      </c>
    </row>
    <row r="834" spans="1:18" x14ac:dyDescent="0.35">
      <c r="A834" s="2" t="s">
        <v>5193</v>
      </c>
      <c r="B834" s="3">
        <v>44274</v>
      </c>
      <c r="C834" s="3" t="str">
        <f t="shared" si="48"/>
        <v>Friday</v>
      </c>
      <c r="D834" s="3" t="str">
        <f t="shared" si="49"/>
        <v>March</v>
      </c>
      <c r="E834" s="3" t="str">
        <f t="shared" si="50"/>
        <v>2021</v>
      </c>
      <c r="F834" s="2" t="s">
        <v>5194</v>
      </c>
      <c r="G834" t="s">
        <v>6138</v>
      </c>
      <c r="H834" s="2">
        <v>6</v>
      </c>
      <c r="I834" s="2" t="str">
        <f>_xlfn.XLOOKUP(F834,customers!A:A,customers!B:B)</f>
        <v>Isac Jesper</v>
      </c>
      <c r="J834" s="2" t="str">
        <f>_xlfn.XLOOKUP(F834,customers!A:A,customers!C:C)</f>
        <v>ijespern4@theglobeandmail.com</v>
      </c>
      <c r="K834" s="2" t="str">
        <f>_xlfn.XLOOKUP(F834,customers!A:A,customers!F:F)</f>
        <v>Naples</v>
      </c>
      <c r="L834" s="2" t="str">
        <f>_xlfn.XLOOKUP(F834,customers!A:A,customers!G:G)</f>
        <v>United States</v>
      </c>
      <c r="M834" t="str">
        <f>_xlfn.XLOOKUP(G834,products!A:A,products!B:B)</f>
        <v>Rob</v>
      </c>
      <c r="N834" t="str">
        <f>_xlfn.XLOOKUP(G834,products!A:A,products!C:C)</f>
        <v>M</v>
      </c>
      <c r="O834">
        <f>_xlfn.XLOOKUP(G834,products!A:A,products!D:D)</f>
        <v>1</v>
      </c>
      <c r="P834">
        <f>_xlfn.XLOOKUP(G834,products!A:A,products!E:E)</f>
        <v>9.9499999999999993</v>
      </c>
      <c r="Q834">
        <f t="shared" si="51"/>
        <v>59.699999999999996</v>
      </c>
      <c r="R834" t="str" cm="1">
        <f t="array" ref="R834">_xlfn.IFS(Q834&lt;=50,"low sales",Q834&lt;=100,"medium sales",Q834&gt;100,"High sales")</f>
        <v>medium sales</v>
      </c>
    </row>
    <row r="835" spans="1:18" x14ac:dyDescent="0.35">
      <c r="A835" s="2" t="s">
        <v>5199</v>
      </c>
      <c r="B835" s="3">
        <v>44302</v>
      </c>
      <c r="C835" s="3" t="str">
        <f t="shared" ref="C835:C898" si="52">TEXT(B835,"DDDD")</f>
        <v>Friday</v>
      </c>
      <c r="D835" s="3" t="str">
        <f t="shared" ref="D835:D898" si="53">TEXT(B835,"MMMM")</f>
        <v>April</v>
      </c>
      <c r="E835" s="3" t="str">
        <f t="shared" ref="E835:E898" si="54">TEXT(B835,"YYYY")</f>
        <v>2021</v>
      </c>
      <c r="F835" s="2" t="s">
        <v>5200</v>
      </c>
      <c r="G835" t="s">
        <v>6149</v>
      </c>
      <c r="H835" s="2">
        <v>4</v>
      </c>
      <c r="I835" s="2" t="str">
        <f>_xlfn.XLOOKUP(F835,customers!A:A,customers!B:B)</f>
        <v>Lenette Dwerryhouse</v>
      </c>
      <c r="J835" s="2" t="str">
        <f>_xlfn.XLOOKUP(F835,customers!A:A,customers!C:C)</f>
        <v>ldwerryhousen5@gravatar.com</v>
      </c>
      <c r="K835" s="2" t="str">
        <f>_xlfn.XLOOKUP(F835,customers!A:A,customers!F:F)</f>
        <v>Fort Worth</v>
      </c>
      <c r="L835" s="2" t="str">
        <f>_xlfn.XLOOKUP(F835,customers!A:A,customers!G:G)</f>
        <v>United States</v>
      </c>
      <c r="M835" t="str">
        <f>_xlfn.XLOOKUP(G835,products!A:A,products!B:B)</f>
        <v>Rob</v>
      </c>
      <c r="N835" t="str">
        <f>_xlfn.XLOOKUP(G835,products!A:A,products!C:C)</f>
        <v>D</v>
      </c>
      <c r="O835">
        <f>_xlfn.XLOOKUP(G835,products!A:A,products!D:D)</f>
        <v>2.5</v>
      </c>
      <c r="P835">
        <f>_xlfn.XLOOKUP(G835,products!A:A,products!E:E)</f>
        <v>20.584999999999997</v>
      </c>
      <c r="Q835">
        <f t="shared" ref="Q835:Q898" si="55">P835*H835</f>
        <v>82.339999999999989</v>
      </c>
      <c r="R835" t="str" cm="1">
        <f t="array" ref="R835">_xlfn.IFS(Q835&lt;=50,"low sales",Q835&lt;=100,"medium sales",Q835&gt;100,"High sales")</f>
        <v>medium sales</v>
      </c>
    </row>
    <row r="836" spans="1:18" x14ac:dyDescent="0.35">
      <c r="A836" s="2" t="s">
        <v>5205</v>
      </c>
      <c r="B836" s="3">
        <v>44141</v>
      </c>
      <c r="C836" s="3" t="str">
        <f t="shared" si="52"/>
        <v>Friday</v>
      </c>
      <c r="D836" s="3" t="str">
        <f t="shared" si="53"/>
        <v>November</v>
      </c>
      <c r="E836" s="3" t="str">
        <f t="shared" si="54"/>
        <v>2020</v>
      </c>
      <c r="F836" s="2" t="s">
        <v>5206</v>
      </c>
      <c r="G836" t="s">
        <v>6168</v>
      </c>
      <c r="H836" s="2">
        <v>1</v>
      </c>
      <c r="I836" s="2" t="str">
        <f>_xlfn.XLOOKUP(F836,customers!A:A,customers!B:B)</f>
        <v>Nadeen Broomer</v>
      </c>
      <c r="J836" s="2" t="str">
        <f>_xlfn.XLOOKUP(F836,customers!A:A,customers!C:C)</f>
        <v>nbroomern6@examiner.com</v>
      </c>
      <c r="K836" s="2" t="str">
        <f>_xlfn.XLOOKUP(F836,customers!A:A,customers!F:F)</f>
        <v>Omaha</v>
      </c>
      <c r="L836" s="2" t="str">
        <f>_xlfn.XLOOKUP(F836,customers!A:A,customers!G:G)</f>
        <v>United States</v>
      </c>
      <c r="M836" t="str">
        <f>_xlfn.XLOOKUP(G836,products!A:A,products!B:B)</f>
        <v>Ara</v>
      </c>
      <c r="N836" t="str">
        <f>_xlfn.XLOOKUP(G836,products!A:A,products!C:C)</f>
        <v>D</v>
      </c>
      <c r="O836">
        <f>_xlfn.XLOOKUP(G836,products!A:A,products!D:D)</f>
        <v>2.5</v>
      </c>
      <c r="P836">
        <f>_xlfn.XLOOKUP(G836,products!A:A,products!E:E)</f>
        <v>22.884999999999998</v>
      </c>
      <c r="Q836">
        <f t="shared" si="55"/>
        <v>22.884999999999998</v>
      </c>
      <c r="R836" t="str" cm="1">
        <f t="array" ref="R836">_xlfn.IFS(Q836&lt;=50,"low sales",Q836&lt;=100,"medium sales",Q836&gt;100,"High sales")</f>
        <v>low sales</v>
      </c>
    </row>
    <row r="837" spans="1:18" x14ac:dyDescent="0.35">
      <c r="A837" s="2" t="s">
        <v>5211</v>
      </c>
      <c r="B837" s="3">
        <v>44270</v>
      </c>
      <c r="C837" s="3" t="str">
        <f t="shared" si="52"/>
        <v>Monday</v>
      </c>
      <c r="D837" s="3" t="str">
        <f t="shared" si="53"/>
        <v>March</v>
      </c>
      <c r="E837" s="3" t="str">
        <f t="shared" si="54"/>
        <v>2021</v>
      </c>
      <c r="F837" s="2" t="s">
        <v>5212</v>
      </c>
      <c r="G837" t="s">
        <v>6176</v>
      </c>
      <c r="H837" s="2">
        <v>1</v>
      </c>
      <c r="I837" s="2" t="str">
        <f>_xlfn.XLOOKUP(F837,customers!A:A,customers!B:B)</f>
        <v>Konstantine Thoumasson</v>
      </c>
      <c r="J837" s="2" t="str">
        <f>_xlfn.XLOOKUP(F837,customers!A:A,customers!C:C)</f>
        <v>kthoumassonn7@bloglovin.com</v>
      </c>
      <c r="K837" s="2" t="str">
        <f>_xlfn.XLOOKUP(F837,customers!A:A,customers!F:F)</f>
        <v>Tucson</v>
      </c>
      <c r="L837" s="2" t="str">
        <f>_xlfn.XLOOKUP(F837,customers!A:A,customers!G:G)</f>
        <v>United States</v>
      </c>
      <c r="M837" t="str">
        <f>_xlfn.XLOOKUP(G837,products!A:A,products!B:B)</f>
        <v>Exc</v>
      </c>
      <c r="N837" t="str">
        <f>_xlfn.XLOOKUP(G837,products!A:A,products!C:C)</f>
        <v>L</v>
      </c>
      <c r="O837">
        <f>_xlfn.XLOOKUP(G837,products!A:A,products!D:D)</f>
        <v>0.5</v>
      </c>
      <c r="P837">
        <f>_xlfn.XLOOKUP(G837,products!A:A,products!E:E)</f>
        <v>8.91</v>
      </c>
      <c r="Q837">
        <f t="shared" si="55"/>
        <v>8.91</v>
      </c>
      <c r="R837" t="str" cm="1">
        <f t="array" ref="R837">_xlfn.IFS(Q837&lt;=50,"low sales",Q837&lt;=100,"medium sales",Q837&gt;100,"High sales")</f>
        <v>low sales</v>
      </c>
    </row>
    <row r="838" spans="1:18" x14ac:dyDescent="0.35">
      <c r="A838" s="2" t="s">
        <v>5216</v>
      </c>
      <c r="B838" s="3">
        <v>44486</v>
      </c>
      <c r="C838" s="3" t="str">
        <f t="shared" si="52"/>
        <v>Sunday</v>
      </c>
      <c r="D838" s="3" t="str">
        <f t="shared" si="53"/>
        <v>October</v>
      </c>
      <c r="E838" s="3" t="str">
        <f t="shared" si="54"/>
        <v>2021</v>
      </c>
      <c r="F838" s="2" t="s">
        <v>5217</v>
      </c>
      <c r="G838" t="s">
        <v>6154</v>
      </c>
      <c r="H838" s="2">
        <v>4</v>
      </c>
      <c r="I838" s="2" t="str">
        <f>_xlfn.XLOOKUP(F838,customers!A:A,customers!B:B)</f>
        <v>Frans Habbergham</v>
      </c>
      <c r="J838" s="2" t="str">
        <f>_xlfn.XLOOKUP(F838,customers!A:A,customers!C:C)</f>
        <v>fhabberghamn8@discovery.com</v>
      </c>
      <c r="K838" s="2" t="str">
        <f>_xlfn.XLOOKUP(F838,customers!A:A,customers!F:F)</f>
        <v>Sparks</v>
      </c>
      <c r="L838" s="2" t="str">
        <f>_xlfn.XLOOKUP(F838,customers!A:A,customers!G:G)</f>
        <v>United States</v>
      </c>
      <c r="M838" t="str">
        <f>_xlfn.XLOOKUP(G838,products!A:A,products!B:B)</f>
        <v>Ara</v>
      </c>
      <c r="N838" t="str">
        <f>_xlfn.XLOOKUP(G838,products!A:A,products!C:C)</f>
        <v>D</v>
      </c>
      <c r="O838">
        <f>_xlfn.XLOOKUP(G838,products!A:A,products!D:D)</f>
        <v>0.2</v>
      </c>
      <c r="P838">
        <f>_xlfn.XLOOKUP(G838,products!A:A,products!E:E)</f>
        <v>2.9849999999999999</v>
      </c>
      <c r="Q838">
        <f t="shared" si="55"/>
        <v>11.94</v>
      </c>
      <c r="R838" t="str" cm="1">
        <f t="array" ref="R838">_xlfn.IFS(Q838&lt;=50,"low sales",Q838&lt;=100,"medium sales",Q838&gt;100,"High sales")</f>
        <v>low sales</v>
      </c>
    </row>
    <row r="839" spans="1:18" x14ac:dyDescent="0.35">
      <c r="A839" s="2" t="s">
        <v>5222</v>
      </c>
      <c r="B839" s="3">
        <v>43715</v>
      </c>
      <c r="C839" s="3" t="str">
        <f t="shared" si="52"/>
        <v>Saturday</v>
      </c>
      <c r="D839" s="3" t="str">
        <f t="shared" si="53"/>
        <v>September</v>
      </c>
      <c r="E839" s="3" t="str">
        <f t="shared" si="54"/>
        <v>2019</v>
      </c>
      <c r="F839" s="2" t="s">
        <v>5113</v>
      </c>
      <c r="G839" t="s">
        <v>6181</v>
      </c>
      <c r="H839" s="2">
        <v>3</v>
      </c>
      <c r="I839" s="2" t="str">
        <f>_xlfn.XLOOKUP(F839,customers!A:A,customers!B:B)</f>
        <v>Allis Wilmore</v>
      </c>
      <c r="J839" s="2">
        <f>_xlfn.XLOOKUP(F839,customers!A:A,customers!C:C)</f>
        <v>0</v>
      </c>
      <c r="K839" s="2" t="str">
        <f>_xlfn.XLOOKUP(F839,customers!A:A,customers!F:F)</f>
        <v>Houston</v>
      </c>
      <c r="L839" s="2" t="str">
        <f>_xlfn.XLOOKUP(F839,customers!A:A,customers!G:G)</f>
        <v>United States</v>
      </c>
      <c r="M839" t="str">
        <f>_xlfn.XLOOKUP(G839,products!A:A,products!B:B)</f>
        <v>Lib</v>
      </c>
      <c r="N839" t="str">
        <f>_xlfn.XLOOKUP(G839,products!A:A,products!C:C)</f>
        <v>M</v>
      </c>
      <c r="O839">
        <f>_xlfn.XLOOKUP(G839,products!A:A,products!D:D)</f>
        <v>2.5</v>
      </c>
      <c r="P839">
        <f>_xlfn.XLOOKUP(G839,products!A:A,products!E:E)</f>
        <v>33.464999999999996</v>
      </c>
      <c r="Q839">
        <f t="shared" si="55"/>
        <v>100.39499999999998</v>
      </c>
      <c r="R839" t="str" cm="1">
        <f t="array" ref="R839">_xlfn.IFS(Q839&lt;=50,"low sales",Q839&lt;=100,"medium sales",Q839&gt;100,"High sales")</f>
        <v>High sales</v>
      </c>
    </row>
    <row r="840" spans="1:18" x14ac:dyDescent="0.35">
      <c r="A840" s="2" t="s">
        <v>5228</v>
      </c>
      <c r="B840" s="3">
        <v>44755</v>
      </c>
      <c r="C840" s="3" t="str">
        <f t="shared" si="52"/>
        <v>Wednesday</v>
      </c>
      <c r="D840" s="3" t="str">
        <f t="shared" si="53"/>
        <v>July</v>
      </c>
      <c r="E840" s="3" t="str">
        <f t="shared" si="54"/>
        <v>2022</v>
      </c>
      <c r="F840" s="2" t="s">
        <v>5229</v>
      </c>
      <c r="G840" t="s">
        <v>6168</v>
      </c>
      <c r="H840" s="2">
        <v>5</v>
      </c>
      <c r="I840" s="2" t="str">
        <f>_xlfn.XLOOKUP(F840,customers!A:A,customers!B:B)</f>
        <v>Romain Avrashin</v>
      </c>
      <c r="J840" s="2" t="str">
        <f>_xlfn.XLOOKUP(F840,customers!A:A,customers!C:C)</f>
        <v>ravrashinna@tamu.edu</v>
      </c>
      <c r="K840" s="2" t="str">
        <f>_xlfn.XLOOKUP(F840,customers!A:A,customers!F:F)</f>
        <v>Washington</v>
      </c>
      <c r="L840" s="2" t="str">
        <f>_xlfn.XLOOKUP(F840,customers!A:A,customers!G:G)</f>
        <v>United States</v>
      </c>
      <c r="M840" t="str">
        <f>_xlfn.XLOOKUP(G840,products!A:A,products!B:B)</f>
        <v>Ara</v>
      </c>
      <c r="N840" t="str">
        <f>_xlfn.XLOOKUP(G840,products!A:A,products!C:C)</f>
        <v>D</v>
      </c>
      <c r="O840">
        <f>_xlfn.XLOOKUP(G840,products!A:A,products!D:D)</f>
        <v>2.5</v>
      </c>
      <c r="P840">
        <f>_xlfn.XLOOKUP(G840,products!A:A,products!E:E)</f>
        <v>22.884999999999998</v>
      </c>
      <c r="Q840">
        <f t="shared" si="55"/>
        <v>114.42499999999998</v>
      </c>
      <c r="R840" t="str" cm="1">
        <f t="array" ref="R840">_xlfn.IFS(Q840&lt;=50,"low sales",Q840&lt;=100,"medium sales",Q840&gt;100,"High sales")</f>
        <v>High sales</v>
      </c>
    </row>
    <row r="841" spans="1:18" x14ac:dyDescent="0.35">
      <c r="A841" s="2" t="s">
        <v>5234</v>
      </c>
      <c r="B841" s="3">
        <v>44521</v>
      </c>
      <c r="C841" s="3" t="str">
        <f t="shared" si="52"/>
        <v>Sunday</v>
      </c>
      <c r="D841" s="3" t="str">
        <f t="shared" si="53"/>
        <v>November</v>
      </c>
      <c r="E841" s="3" t="str">
        <f t="shared" si="54"/>
        <v>2021</v>
      </c>
      <c r="F841" s="2" t="s">
        <v>5235</v>
      </c>
      <c r="G841" t="s">
        <v>6139</v>
      </c>
      <c r="H841" s="2">
        <v>5</v>
      </c>
      <c r="I841" s="2" t="str">
        <f>_xlfn.XLOOKUP(F841,customers!A:A,customers!B:B)</f>
        <v>Miran Doidge</v>
      </c>
      <c r="J841" s="2" t="str">
        <f>_xlfn.XLOOKUP(F841,customers!A:A,customers!C:C)</f>
        <v>mdoidgenb@etsy.com</v>
      </c>
      <c r="K841" s="2" t="str">
        <f>_xlfn.XLOOKUP(F841,customers!A:A,customers!F:F)</f>
        <v>Salinas</v>
      </c>
      <c r="L841" s="2" t="str">
        <f>_xlfn.XLOOKUP(F841,customers!A:A,customers!G:G)</f>
        <v>United States</v>
      </c>
      <c r="M841" t="str">
        <f>_xlfn.XLOOKUP(G841,products!A:A,products!B:B)</f>
        <v>Exc</v>
      </c>
      <c r="N841" t="str">
        <f>_xlfn.XLOOKUP(G841,products!A:A,products!C:C)</f>
        <v>M</v>
      </c>
      <c r="O841">
        <f>_xlfn.XLOOKUP(G841,products!A:A,products!D:D)</f>
        <v>0.5</v>
      </c>
      <c r="P841">
        <f>_xlfn.XLOOKUP(G841,products!A:A,products!E:E)</f>
        <v>8.25</v>
      </c>
      <c r="Q841">
        <f t="shared" si="55"/>
        <v>41.25</v>
      </c>
      <c r="R841" t="str" cm="1">
        <f t="array" ref="R841">_xlfn.IFS(Q841&lt;=50,"low sales",Q841&lt;=100,"medium sales",Q841&gt;100,"High sales")</f>
        <v>low sales</v>
      </c>
    </row>
    <row r="842" spans="1:18" x14ac:dyDescent="0.35">
      <c r="A842" s="2" t="s">
        <v>5240</v>
      </c>
      <c r="B842" s="3">
        <v>44574</v>
      </c>
      <c r="C842" s="3" t="str">
        <f t="shared" si="52"/>
        <v>Thursday</v>
      </c>
      <c r="D842" s="3" t="str">
        <f t="shared" si="53"/>
        <v>January</v>
      </c>
      <c r="E842" s="3" t="str">
        <f t="shared" si="54"/>
        <v>2022</v>
      </c>
      <c r="F842" s="2" t="s">
        <v>5241</v>
      </c>
      <c r="G842" t="s">
        <v>6173</v>
      </c>
      <c r="H842" s="2">
        <v>4</v>
      </c>
      <c r="I842" s="2" t="str">
        <f>_xlfn.XLOOKUP(F842,customers!A:A,customers!B:B)</f>
        <v>Janeva Edinboro</v>
      </c>
      <c r="J842" s="2" t="str">
        <f>_xlfn.XLOOKUP(F842,customers!A:A,customers!C:C)</f>
        <v>jedinboronc@reverbnation.com</v>
      </c>
      <c r="K842" s="2" t="str">
        <f>_xlfn.XLOOKUP(F842,customers!A:A,customers!F:F)</f>
        <v>Fort Lauderdale</v>
      </c>
      <c r="L842" s="2" t="str">
        <f>_xlfn.XLOOKUP(F842,customers!A:A,customers!G:G)</f>
        <v>United States</v>
      </c>
      <c r="M842" t="str">
        <f>_xlfn.XLOOKUP(G842,products!A:A,products!B:B)</f>
        <v>Rob</v>
      </c>
      <c r="N842" t="str">
        <f>_xlfn.XLOOKUP(G842,products!A:A,products!C:C)</f>
        <v>L</v>
      </c>
      <c r="O842">
        <f>_xlfn.XLOOKUP(G842,products!A:A,products!D:D)</f>
        <v>0.5</v>
      </c>
      <c r="P842">
        <f>_xlfn.XLOOKUP(G842,products!A:A,products!E:E)</f>
        <v>7.169999999999999</v>
      </c>
      <c r="Q842">
        <f t="shared" si="55"/>
        <v>28.679999999999996</v>
      </c>
      <c r="R842" t="str" cm="1">
        <f t="array" ref="R842">_xlfn.IFS(Q842&lt;=50,"low sales",Q842&lt;=100,"medium sales",Q842&gt;100,"High sales")</f>
        <v>low sales</v>
      </c>
    </row>
    <row r="843" spans="1:18" x14ac:dyDescent="0.35">
      <c r="A843" s="2" t="s">
        <v>5246</v>
      </c>
      <c r="B843" s="3">
        <v>44755</v>
      </c>
      <c r="C843" s="3" t="str">
        <f t="shared" si="52"/>
        <v>Wednesday</v>
      </c>
      <c r="D843" s="3" t="str">
        <f t="shared" si="53"/>
        <v>July</v>
      </c>
      <c r="E843" s="3" t="str">
        <f t="shared" si="54"/>
        <v>2022</v>
      </c>
      <c r="F843" s="2" t="s">
        <v>5247</v>
      </c>
      <c r="G843" t="s">
        <v>6159</v>
      </c>
      <c r="H843" s="2">
        <v>1</v>
      </c>
      <c r="I843" s="2" t="str">
        <f>_xlfn.XLOOKUP(F843,customers!A:A,customers!B:B)</f>
        <v>Trumaine Tewelson</v>
      </c>
      <c r="J843" s="2" t="str">
        <f>_xlfn.XLOOKUP(F843,customers!A:A,customers!C:C)</f>
        <v>ttewelsonnd@cdbaby.com</v>
      </c>
      <c r="K843" s="2" t="str">
        <f>_xlfn.XLOOKUP(F843,customers!A:A,customers!F:F)</f>
        <v>El Paso</v>
      </c>
      <c r="L843" s="2" t="str">
        <f>_xlfn.XLOOKUP(F843,customers!A:A,customers!G:G)</f>
        <v>United States</v>
      </c>
      <c r="M843" t="str">
        <f>_xlfn.XLOOKUP(G843,products!A:A,products!B:B)</f>
        <v>Lib</v>
      </c>
      <c r="N843" t="str">
        <f>_xlfn.XLOOKUP(G843,products!A:A,products!C:C)</f>
        <v>M</v>
      </c>
      <c r="O843">
        <f>_xlfn.XLOOKUP(G843,products!A:A,products!D:D)</f>
        <v>0.2</v>
      </c>
      <c r="P843">
        <f>_xlfn.XLOOKUP(G843,products!A:A,products!E:E)</f>
        <v>4.3650000000000002</v>
      </c>
      <c r="Q843">
        <f t="shared" si="55"/>
        <v>4.3650000000000002</v>
      </c>
      <c r="R843" t="str" cm="1">
        <f t="array" ref="R843">_xlfn.IFS(Q843&lt;=50,"low sales",Q843&lt;=100,"medium sales",Q843&gt;100,"High sales")</f>
        <v>low sales</v>
      </c>
    </row>
    <row r="844" spans="1:18" x14ac:dyDescent="0.35">
      <c r="A844" s="2" t="s">
        <v>5251</v>
      </c>
      <c r="B844" s="3">
        <v>44502</v>
      </c>
      <c r="C844" s="3" t="str">
        <f t="shared" si="52"/>
        <v>Tuesday</v>
      </c>
      <c r="D844" s="3" t="str">
        <f t="shared" si="53"/>
        <v>November</v>
      </c>
      <c r="E844" s="3" t="str">
        <f t="shared" si="54"/>
        <v>2021</v>
      </c>
      <c r="F844" s="2" t="s">
        <v>5188</v>
      </c>
      <c r="G844" t="s">
        <v>6156</v>
      </c>
      <c r="H844" s="2">
        <v>2</v>
      </c>
      <c r="I844" s="2" t="str">
        <f>_xlfn.XLOOKUP(F844,customers!A:A,customers!B:B)</f>
        <v>Odelia Skerme</v>
      </c>
      <c r="J844" s="2" t="str">
        <f>_xlfn.XLOOKUP(F844,customers!A:A,customers!C:C)</f>
        <v>oskermen3@hatena.ne.jp</v>
      </c>
      <c r="K844" s="2" t="str">
        <f>_xlfn.XLOOKUP(F844,customers!A:A,customers!F:F)</f>
        <v>Oklahoma City</v>
      </c>
      <c r="L844" s="2" t="str">
        <f>_xlfn.XLOOKUP(F844,customers!A:A,customers!G:G)</f>
        <v>United States</v>
      </c>
      <c r="M844" t="str">
        <f>_xlfn.XLOOKUP(G844,products!A:A,products!B:B)</f>
        <v>Exc</v>
      </c>
      <c r="N844" t="str">
        <f>_xlfn.XLOOKUP(G844,products!A:A,products!C:C)</f>
        <v>M</v>
      </c>
      <c r="O844">
        <f>_xlfn.XLOOKUP(G844,products!A:A,products!D:D)</f>
        <v>0.2</v>
      </c>
      <c r="P844">
        <f>_xlfn.XLOOKUP(G844,products!A:A,products!E:E)</f>
        <v>4.125</v>
      </c>
      <c r="Q844">
        <f t="shared" si="55"/>
        <v>8.25</v>
      </c>
      <c r="R844" t="str" cm="1">
        <f t="array" ref="R844">_xlfn.IFS(Q844&lt;=50,"low sales",Q844&lt;=100,"medium sales",Q844&gt;100,"High sales")</f>
        <v>low sales</v>
      </c>
    </row>
    <row r="845" spans="1:18" x14ac:dyDescent="0.35">
      <c r="A845" s="2" t="s">
        <v>5256</v>
      </c>
      <c r="B845" s="3">
        <v>44387</v>
      </c>
      <c r="C845" s="3" t="str">
        <f t="shared" si="52"/>
        <v>Saturday</v>
      </c>
      <c r="D845" s="3" t="str">
        <f t="shared" si="53"/>
        <v>July</v>
      </c>
      <c r="E845" s="3" t="str">
        <f t="shared" si="54"/>
        <v>2021</v>
      </c>
      <c r="F845" s="2" t="s">
        <v>5257</v>
      </c>
      <c r="G845" t="s">
        <v>6156</v>
      </c>
      <c r="H845" s="2">
        <v>2</v>
      </c>
      <c r="I845" s="2" t="str">
        <f>_xlfn.XLOOKUP(F845,customers!A:A,customers!B:B)</f>
        <v>De Drewitt</v>
      </c>
      <c r="J845" s="2" t="str">
        <f>_xlfn.XLOOKUP(F845,customers!A:A,customers!C:C)</f>
        <v>ddrewittnf@mapquest.com</v>
      </c>
      <c r="K845" s="2" t="str">
        <f>_xlfn.XLOOKUP(F845,customers!A:A,customers!F:F)</f>
        <v>Alexandria</v>
      </c>
      <c r="L845" s="2" t="str">
        <f>_xlfn.XLOOKUP(F845,customers!A:A,customers!G:G)</f>
        <v>United States</v>
      </c>
      <c r="M845" t="str">
        <f>_xlfn.XLOOKUP(G845,products!A:A,products!B:B)</f>
        <v>Exc</v>
      </c>
      <c r="N845" t="str">
        <f>_xlfn.XLOOKUP(G845,products!A:A,products!C:C)</f>
        <v>M</v>
      </c>
      <c r="O845">
        <f>_xlfn.XLOOKUP(G845,products!A:A,products!D:D)</f>
        <v>0.2</v>
      </c>
      <c r="P845">
        <f>_xlfn.XLOOKUP(G845,products!A:A,products!E:E)</f>
        <v>4.125</v>
      </c>
      <c r="Q845">
        <f t="shared" si="55"/>
        <v>8.25</v>
      </c>
      <c r="R845" t="str" cm="1">
        <f t="array" ref="R845">_xlfn.IFS(Q845&lt;=50,"low sales",Q845&lt;=100,"medium sales",Q845&gt;100,"High sales")</f>
        <v>low sales</v>
      </c>
    </row>
    <row r="846" spans="1:18" x14ac:dyDescent="0.35">
      <c r="A846" s="2" t="s">
        <v>5262</v>
      </c>
      <c r="B846" s="3">
        <v>44476</v>
      </c>
      <c r="C846" s="3" t="str">
        <f t="shared" si="52"/>
        <v>Thursday</v>
      </c>
      <c r="D846" s="3" t="str">
        <f t="shared" si="53"/>
        <v>October</v>
      </c>
      <c r="E846" s="3" t="str">
        <f t="shared" si="54"/>
        <v>2021</v>
      </c>
      <c r="F846" s="2" t="s">
        <v>5263</v>
      </c>
      <c r="G846" t="s">
        <v>6158</v>
      </c>
      <c r="H846" s="2">
        <v>6</v>
      </c>
      <c r="I846" s="2" t="str">
        <f>_xlfn.XLOOKUP(F846,customers!A:A,customers!B:B)</f>
        <v>Adelheid Gladhill</v>
      </c>
      <c r="J846" s="2" t="str">
        <f>_xlfn.XLOOKUP(F846,customers!A:A,customers!C:C)</f>
        <v>agladhillng@stanford.edu</v>
      </c>
      <c r="K846" s="2" t="str">
        <f>_xlfn.XLOOKUP(F846,customers!A:A,customers!F:F)</f>
        <v>Baltimore</v>
      </c>
      <c r="L846" s="2" t="str">
        <f>_xlfn.XLOOKUP(F846,customers!A:A,customers!G:G)</f>
        <v>United States</v>
      </c>
      <c r="M846" t="str">
        <f>_xlfn.XLOOKUP(G846,products!A:A,products!B:B)</f>
        <v>Ara</v>
      </c>
      <c r="N846" t="str">
        <f>_xlfn.XLOOKUP(G846,products!A:A,products!C:C)</f>
        <v>D</v>
      </c>
      <c r="O846">
        <f>_xlfn.XLOOKUP(G846,products!A:A,products!D:D)</f>
        <v>0.5</v>
      </c>
      <c r="P846">
        <f>_xlfn.XLOOKUP(G846,products!A:A,products!E:E)</f>
        <v>5.97</v>
      </c>
      <c r="Q846">
        <f t="shared" si="55"/>
        <v>35.82</v>
      </c>
      <c r="R846" t="str" cm="1">
        <f t="array" ref="R846">_xlfn.IFS(Q846&lt;=50,"low sales",Q846&lt;=100,"medium sales",Q846&gt;100,"High sales")</f>
        <v>low sales</v>
      </c>
    </row>
    <row r="847" spans="1:18" x14ac:dyDescent="0.35">
      <c r="A847" s="2" t="s">
        <v>5268</v>
      </c>
      <c r="B847" s="3">
        <v>43889</v>
      </c>
      <c r="C847" s="3" t="str">
        <f t="shared" si="52"/>
        <v>Friday</v>
      </c>
      <c r="D847" s="3" t="str">
        <f t="shared" si="53"/>
        <v>February</v>
      </c>
      <c r="E847" s="3" t="str">
        <f t="shared" si="54"/>
        <v>2020</v>
      </c>
      <c r="F847" s="2" t="s">
        <v>5269</v>
      </c>
      <c r="G847" t="s">
        <v>6185</v>
      </c>
      <c r="H847" s="2">
        <v>6</v>
      </c>
      <c r="I847" s="2" t="str">
        <f>_xlfn.XLOOKUP(F847,customers!A:A,customers!B:B)</f>
        <v>Murielle Lorinez</v>
      </c>
      <c r="J847" s="2" t="str">
        <f>_xlfn.XLOOKUP(F847,customers!A:A,customers!C:C)</f>
        <v>mlorineznh@whitehouse.gov</v>
      </c>
      <c r="K847" s="2" t="str">
        <f>_xlfn.XLOOKUP(F847,customers!A:A,customers!F:F)</f>
        <v>Evansville</v>
      </c>
      <c r="L847" s="2" t="str">
        <f>_xlfn.XLOOKUP(F847,customers!A:A,customers!G:G)</f>
        <v>United States</v>
      </c>
      <c r="M847" t="str">
        <f>_xlfn.XLOOKUP(G847,products!A:A,products!B:B)</f>
        <v>Exc</v>
      </c>
      <c r="N847" t="str">
        <f>_xlfn.XLOOKUP(G847,products!A:A,products!C:C)</f>
        <v>D</v>
      </c>
      <c r="O847">
        <f>_xlfn.XLOOKUP(G847,products!A:A,products!D:D)</f>
        <v>2.5</v>
      </c>
      <c r="P847">
        <f>_xlfn.XLOOKUP(G847,products!A:A,products!E:E)</f>
        <v>27.945</v>
      </c>
      <c r="Q847">
        <f t="shared" si="55"/>
        <v>167.67000000000002</v>
      </c>
      <c r="R847" t="str" cm="1">
        <f t="array" ref="R847">_xlfn.IFS(Q847&lt;=50,"low sales",Q847&lt;=100,"medium sales",Q847&gt;100,"High sales")</f>
        <v>High sales</v>
      </c>
    </row>
    <row r="848" spans="1:18" x14ac:dyDescent="0.35">
      <c r="A848" s="2" t="s">
        <v>5273</v>
      </c>
      <c r="B848" s="3">
        <v>44747</v>
      </c>
      <c r="C848" s="3" t="str">
        <f t="shared" si="52"/>
        <v>Tuesday</v>
      </c>
      <c r="D848" s="3" t="str">
        <f t="shared" si="53"/>
        <v>July</v>
      </c>
      <c r="E848" s="3" t="str">
        <f t="shared" si="54"/>
        <v>2022</v>
      </c>
      <c r="F848" s="2" t="s">
        <v>5274</v>
      </c>
      <c r="G848" t="s">
        <v>6175</v>
      </c>
      <c r="H848" s="2">
        <v>2</v>
      </c>
      <c r="I848" s="2" t="str">
        <f>_xlfn.XLOOKUP(F848,customers!A:A,customers!B:B)</f>
        <v>Edin Mathe</v>
      </c>
      <c r="J848" s="2">
        <f>_xlfn.XLOOKUP(F848,customers!A:A,customers!C:C)</f>
        <v>0</v>
      </c>
      <c r="K848" s="2" t="str">
        <f>_xlfn.XLOOKUP(F848,customers!A:A,customers!F:F)</f>
        <v>Lawrenceville</v>
      </c>
      <c r="L848" s="2" t="str">
        <f>_xlfn.XLOOKUP(F848,customers!A:A,customers!G:G)</f>
        <v>United States</v>
      </c>
      <c r="M848" t="str">
        <f>_xlfn.XLOOKUP(G848,products!A:A,products!B:B)</f>
        <v>Ara</v>
      </c>
      <c r="N848" t="str">
        <f>_xlfn.XLOOKUP(G848,products!A:A,products!C:C)</f>
        <v>M</v>
      </c>
      <c r="O848">
        <f>_xlfn.XLOOKUP(G848,products!A:A,products!D:D)</f>
        <v>2.5</v>
      </c>
      <c r="P848">
        <f>_xlfn.XLOOKUP(G848,products!A:A,products!E:E)</f>
        <v>25.874999999999996</v>
      </c>
      <c r="Q848">
        <f t="shared" si="55"/>
        <v>51.749999999999993</v>
      </c>
      <c r="R848" t="str" cm="1">
        <f t="array" ref="R848">_xlfn.IFS(Q848&lt;=50,"low sales",Q848&lt;=100,"medium sales",Q848&gt;100,"High sales")</f>
        <v>medium sales</v>
      </c>
    </row>
    <row r="849" spans="1:18" x14ac:dyDescent="0.35">
      <c r="A849" s="2" t="s">
        <v>5278</v>
      </c>
      <c r="B849" s="3">
        <v>44460</v>
      </c>
      <c r="C849" s="3" t="str">
        <f t="shared" si="52"/>
        <v>Tuesday</v>
      </c>
      <c r="D849" s="3" t="str">
        <f t="shared" si="53"/>
        <v>September</v>
      </c>
      <c r="E849" s="3" t="str">
        <f t="shared" si="54"/>
        <v>2021</v>
      </c>
      <c r="F849" s="2" t="s">
        <v>5279</v>
      </c>
      <c r="G849" t="s">
        <v>6154</v>
      </c>
      <c r="H849" s="2">
        <v>3</v>
      </c>
      <c r="I849" s="2" t="str">
        <f>_xlfn.XLOOKUP(F849,customers!A:A,customers!B:B)</f>
        <v>Mordy Van Der Vlies</v>
      </c>
      <c r="J849" s="2" t="str">
        <f>_xlfn.XLOOKUP(F849,customers!A:A,customers!C:C)</f>
        <v>mvannj@wikipedia.org</v>
      </c>
      <c r="K849" s="2" t="str">
        <f>_xlfn.XLOOKUP(F849,customers!A:A,customers!F:F)</f>
        <v>Mobile</v>
      </c>
      <c r="L849" s="2" t="str">
        <f>_xlfn.XLOOKUP(F849,customers!A:A,customers!G:G)</f>
        <v>United States</v>
      </c>
      <c r="M849" t="str">
        <f>_xlfn.XLOOKUP(G849,products!A:A,products!B:B)</f>
        <v>Ara</v>
      </c>
      <c r="N849" t="str">
        <f>_xlfn.XLOOKUP(G849,products!A:A,products!C:C)</f>
        <v>D</v>
      </c>
      <c r="O849">
        <f>_xlfn.XLOOKUP(G849,products!A:A,products!D:D)</f>
        <v>0.2</v>
      </c>
      <c r="P849">
        <f>_xlfn.XLOOKUP(G849,products!A:A,products!E:E)</f>
        <v>2.9849999999999999</v>
      </c>
      <c r="Q849">
        <f t="shared" si="55"/>
        <v>8.9550000000000001</v>
      </c>
      <c r="R849" t="str" cm="1">
        <f t="array" ref="R849">_xlfn.IFS(Q849&lt;=50,"low sales",Q849&lt;=100,"medium sales",Q849&gt;100,"High sales")</f>
        <v>low sales</v>
      </c>
    </row>
    <row r="850" spans="1:18" x14ac:dyDescent="0.35">
      <c r="A850" s="2" t="s">
        <v>5283</v>
      </c>
      <c r="B850" s="3">
        <v>43468</v>
      </c>
      <c r="C850" s="3" t="str">
        <f t="shared" si="52"/>
        <v>Thursday</v>
      </c>
      <c r="D850" s="3" t="str">
        <f t="shared" si="53"/>
        <v>January</v>
      </c>
      <c r="E850" s="3" t="str">
        <f t="shared" si="54"/>
        <v>2019</v>
      </c>
      <c r="F850" s="2" t="s">
        <v>5284</v>
      </c>
      <c r="G850" t="s">
        <v>6176</v>
      </c>
      <c r="H850" s="2">
        <v>6</v>
      </c>
      <c r="I850" s="2" t="str">
        <f>_xlfn.XLOOKUP(F850,customers!A:A,customers!B:B)</f>
        <v>Spencer Wastell</v>
      </c>
      <c r="J850" s="2">
        <f>_xlfn.XLOOKUP(F850,customers!A:A,customers!C:C)</f>
        <v>0</v>
      </c>
      <c r="K850" s="2" t="str">
        <f>_xlfn.XLOOKUP(F850,customers!A:A,customers!F:F)</f>
        <v>Midland</v>
      </c>
      <c r="L850" s="2" t="str">
        <f>_xlfn.XLOOKUP(F850,customers!A:A,customers!G:G)</f>
        <v>United States</v>
      </c>
      <c r="M850" t="str">
        <f>_xlfn.XLOOKUP(G850,products!A:A,products!B:B)</f>
        <v>Exc</v>
      </c>
      <c r="N850" t="str">
        <f>_xlfn.XLOOKUP(G850,products!A:A,products!C:C)</f>
        <v>L</v>
      </c>
      <c r="O850">
        <f>_xlfn.XLOOKUP(G850,products!A:A,products!D:D)</f>
        <v>0.5</v>
      </c>
      <c r="P850">
        <f>_xlfn.XLOOKUP(G850,products!A:A,products!E:E)</f>
        <v>8.91</v>
      </c>
      <c r="Q850">
        <f t="shared" si="55"/>
        <v>53.46</v>
      </c>
      <c r="R850" t="str" cm="1">
        <f t="array" ref="R850">_xlfn.IFS(Q850&lt;=50,"low sales",Q850&lt;=100,"medium sales",Q850&gt;100,"High sales")</f>
        <v>medium sales</v>
      </c>
    </row>
    <row r="851" spans="1:18" x14ac:dyDescent="0.35">
      <c r="A851" s="2" t="s">
        <v>5288</v>
      </c>
      <c r="B851" s="3">
        <v>44628</v>
      </c>
      <c r="C851" s="3" t="str">
        <f t="shared" si="52"/>
        <v>Tuesday</v>
      </c>
      <c r="D851" s="3" t="str">
        <f t="shared" si="53"/>
        <v>March</v>
      </c>
      <c r="E851" s="3" t="str">
        <f t="shared" si="54"/>
        <v>2022</v>
      </c>
      <c r="F851" s="2" t="s">
        <v>5289</v>
      </c>
      <c r="G851" t="s">
        <v>6167</v>
      </c>
      <c r="H851" s="2">
        <v>6</v>
      </c>
      <c r="I851" s="2" t="str">
        <f>_xlfn.XLOOKUP(F851,customers!A:A,customers!B:B)</f>
        <v>Jemimah Ethelston</v>
      </c>
      <c r="J851" s="2" t="str">
        <f>_xlfn.XLOOKUP(F851,customers!A:A,customers!C:C)</f>
        <v>jethelstonnl@creativecommons.org</v>
      </c>
      <c r="K851" s="2" t="str">
        <f>_xlfn.XLOOKUP(F851,customers!A:A,customers!F:F)</f>
        <v>Hollywood</v>
      </c>
      <c r="L851" s="2" t="str">
        <f>_xlfn.XLOOKUP(F851,customers!A:A,customers!G:G)</f>
        <v>United States</v>
      </c>
      <c r="M851" t="str">
        <f>_xlfn.XLOOKUP(G851,products!A:A,products!B:B)</f>
        <v>Ara</v>
      </c>
      <c r="N851" t="str">
        <f>_xlfn.XLOOKUP(G851,products!A:A,products!C:C)</f>
        <v>L</v>
      </c>
      <c r="O851">
        <f>_xlfn.XLOOKUP(G851,products!A:A,products!D:D)</f>
        <v>0.2</v>
      </c>
      <c r="P851">
        <f>_xlfn.XLOOKUP(G851,products!A:A,products!E:E)</f>
        <v>3.8849999999999998</v>
      </c>
      <c r="Q851">
        <f t="shared" si="55"/>
        <v>23.31</v>
      </c>
      <c r="R851" t="str" cm="1">
        <f t="array" ref="R851">_xlfn.IFS(Q851&lt;=50,"low sales",Q851&lt;=100,"medium sales",Q851&gt;100,"High sales")</f>
        <v>low sales</v>
      </c>
    </row>
    <row r="852" spans="1:18" x14ac:dyDescent="0.35">
      <c r="A852" s="2" t="s">
        <v>5288</v>
      </c>
      <c r="B852" s="3">
        <v>44628</v>
      </c>
      <c r="C852" s="3" t="str">
        <f t="shared" si="52"/>
        <v>Tuesday</v>
      </c>
      <c r="D852" s="3" t="str">
        <f t="shared" si="53"/>
        <v>March</v>
      </c>
      <c r="E852" s="3" t="str">
        <f t="shared" si="54"/>
        <v>2022</v>
      </c>
      <c r="F852" s="2" t="s">
        <v>5289</v>
      </c>
      <c r="G852" t="s">
        <v>6152</v>
      </c>
      <c r="H852" s="2">
        <v>2</v>
      </c>
      <c r="I852" s="2" t="str">
        <f>_xlfn.XLOOKUP(F852,customers!A:A,customers!B:B)</f>
        <v>Jemimah Ethelston</v>
      </c>
      <c r="J852" s="2" t="str">
        <f>_xlfn.XLOOKUP(F852,customers!A:A,customers!C:C)</f>
        <v>jethelstonnl@creativecommons.org</v>
      </c>
      <c r="K852" s="2" t="str">
        <f>_xlfn.XLOOKUP(F852,customers!A:A,customers!F:F)</f>
        <v>Hollywood</v>
      </c>
      <c r="L852" s="2" t="str">
        <f>_xlfn.XLOOKUP(F852,customers!A:A,customers!G:G)</f>
        <v>United States</v>
      </c>
      <c r="M852" t="str">
        <f>_xlfn.XLOOKUP(G852,products!A:A,products!B:B)</f>
        <v>Ara</v>
      </c>
      <c r="N852" t="str">
        <f>_xlfn.XLOOKUP(G852,products!A:A,products!C:C)</f>
        <v>M</v>
      </c>
      <c r="O852">
        <f>_xlfn.XLOOKUP(G852,products!A:A,products!D:D)</f>
        <v>0.2</v>
      </c>
      <c r="P852">
        <f>_xlfn.XLOOKUP(G852,products!A:A,products!E:E)</f>
        <v>3.375</v>
      </c>
      <c r="Q852">
        <f t="shared" si="55"/>
        <v>6.75</v>
      </c>
      <c r="R852" t="str" cm="1">
        <f t="array" ref="R852">_xlfn.IFS(Q852&lt;=50,"low sales",Q852&lt;=100,"medium sales",Q852&gt;100,"High sales")</f>
        <v>low sales</v>
      </c>
    </row>
    <row r="853" spans="1:18" x14ac:dyDescent="0.35">
      <c r="A853" s="2" t="s">
        <v>5299</v>
      </c>
      <c r="B853" s="3">
        <v>43900</v>
      </c>
      <c r="C853" s="3" t="str">
        <f t="shared" si="52"/>
        <v>Tuesday</v>
      </c>
      <c r="D853" s="3" t="str">
        <f t="shared" si="53"/>
        <v>March</v>
      </c>
      <c r="E853" s="3" t="str">
        <f t="shared" si="54"/>
        <v>2020</v>
      </c>
      <c r="F853" s="2" t="s">
        <v>5300</v>
      </c>
      <c r="G853" t="s">
        <v>6169</v>
      </c>
      <c r="H853" s="2">
        <v>1</v>
      </c>
      <c r="I853" s="2" t="str">
        <f>_xlfn.XLOOKUP(F853,customers!A:A,customers!B:B)</f>
        <v>Perice Eberz</v>
      </c>
      <c r="J853" s="2" t="str">
        <f>_xlfn.XLOOKUP(F853,customers!A:A,customers!C:C)</f>
        <v>peberznn@woothemes.com</v>
      </c>
      <c r="K853" s="2" t="str">
        <f>_xlfn.XLOOKUP(F853,customers!A:A,customers!F:F)</f>
        <v>Chico</v>
      </c>
      <c r="L853" s="2" t="str">
        <f>_xlfn.XLOOKUP(F853,customers!A:A,customers!G:G)</f>
        <v>United States</v>
      </c>
      <c r="M853" t="str">
        <f>_xlfn.XLOOKUP(G853,products!A:A,products!B:B)</f>
        <v>Lib</v>
      </c>
      <c r="N853" t="str">
        <f>_xlfn.XLOOKUP(G853,products!A:A,products!C:C)</f>
        <v>D</v>
      </c>
      <c r="O853">
        <f>_xlfn.XLOOKUP(G853,products!A:A,products!D:D)</f>
        <v>0.5</v>
      </c>
      <c r="P853">
        <f>_xlfn.XLOOKUP(G853,products!A:A,products!E:E)</f>
        <v>7.77</v>
      </c>
      <c r="Q853">
        <f t="shared" si="55"/>
        <v>7.77</v>
      </c>
      <c r="R853" t="str" cm="1">
        <f t="array" ref="R853">_xlfn.IFS(Q853&lt;=50,"low sales",Q853&lt;=100,"medium sales",Q853&gt;100,"High sales")</f>
        <v>low sales</v>
      </c>
    </row>
    <row r="854" spans="1:18" x14ac:dyDescent="0.35">
      <c r="A854" s="2" t="s">
        <v>5305</v>
      </c>
      <c r="B854" s="3">
        <v>44527</v>
      </c>
      <c r="C854" s="3" t="str">
        <f t="shared" si="52"/>
        <v>Saturday</v>
      </c>
      <c r="D854" s="3" t="str">
        <f t="shared" si="53"/>
        <v>November</v>
      </c>
      <c r="E854" s="3" t="str">
        <f t="shared" si="54"/>
        <v>2021</v>
      </c>
      <c r="F854" s="2" t="s">
        <v>5306</v>
      </c>
      <c r="G854" t="s">
        <v>6165</v>
      </c>
      <c r="H854" s="2">
        <v>4</v>
      </c>
      <c r="I854" s="2" t="str">
        <f>_xlfn.XLOOKUP(F854,customers!A:A,customers!B:B)</f>
        <v>Bear Gaish</v>
      </c>
      <c r="J854" s="2" t="str">
        <f>_xlfn.XLOOKUP(F854,customers!A:A,customers!C:C)</f>
        <v>bgaishno@altervista.org</v>
      </c>
      <c r="K854" s="2" t="str">
        <f>_xlfn.XLOOKUP(F854,customers!A:A,customers!F:F)</f>
        <v>Austin</v>
      </c>
      <c r="L854" s="2" t="str">
        <f>_xlfn.XLOOKUP(F854,customers!A:A,customers!G:G)</f>
        <v>United States</v>
      </c>
      <c r="M854" t="str">
        <f>_xlfn.XLOOKUP(G854,products!A:A,products!B:B)</f>
        <v>Lib</v>
      </c>
      <c r="N854" t="str">
        <f>_xlfn.XLOOKUP(G854,products!A:A,products!C:C)</f>
        <v>D</v>
      </c>
      <c r="O854">
        <f>_xlfn.XLOOKUP(G854,products!A:A,products!D:D)</f>
        <v>2.5</v>
      </c>
      <c r="P854">
        <f>_xlfn.XLOOKUP(G854,products!A:A,products!E:E)</f>
        <v>29.784999999999997</v>
      </c>
      <c r="Q854">
        <f t="shared" si="55"/>
        <v>119.13999999999999</v>
      </c>
      <c r="R854" t="str" cm="1">
        <f t="array" ref="R854">_xlfn.IFS(Q854&lt;=50,"low sales",Q854&lt;=100,"medium sales",Q854&gt;100,"High sales")</f>
        <v>High sales</v>
      </c>
    </row>
    <row r="855" spans="1:18" x14ac:dyDescent="0.35">
      <c r="A855" s="2" t="s">
        <v>5310</v>
      </c>
      <c r="B855" s="3">
        <v>44259</v>
      </c>
      <c r="C855" s="3" t="str">
        <f t="shared" si="52"/>
        <v>Thursday</v>
      </c>
      <c r="D855" s="3" t="str">
        <f t="shared" si="53"/>
        <v>March</v>
      </c>
      <c r="E855" s="3" t="str">
        <f t="shared" si="54"/>
        <v>2021</v>
      </c>
      <c r="F855" s="2" t="s">
        <v>5311</v>
      </c>
      <c r="G855" t="s">
        <v>6147</v>
      </c>
      <c r="H855" s="2">
        <v>2</v>
      </c>
      <c r="I855" s="2" t="str">
        <f>_xlfn.XLOOKUP(F855,customers!A:A,customers!B:B)</f>
        <v>Lynnea Danton</v>
      </c>
      <c r="J855" s="2" t="str">
        <f>_xlfn.XLOOKUP(F855,customers!A:A,customers!C:C)</f>
        <v>ldantonnp@miitbeian.gov.cn</v>
      </c>
      <c r="K855" s="2" t="str">
        <f>_xlfn.XLOOKUP(F855,customers!A:A,customers!F:F)</f>
        <v>El Paso</v>
      </c>
      <c r="L855" s="2" t="str">
        <f>_xlfn.XLOOKUP(F855,customers!A:A,customers!G:G)</f>
        <v>United States</v>
      </c>
      <c r="M855" t="str">
        <f>_xlfn.XLOOKUP(G855,products!A:A,products!B:B)</f>
        <v>Ara</v>
      </c>
      <c r="N855" t="str">
        <f>_xlfn.XLOOKUP(G855,products!A:A,products!C:C)</f>
        <v>D</v>
      </c>
      <c r="O855">
        <f>_xlfn.XLOOKUP(G855,products!A:A,products!D:D)</f>
        <v>1</v>
      </c>
      <c r="P855">
        <f>_xlfn.XLOOKUP(G855,products!A:A,products!E:E)</f>
        <v>9.9499999999999993</v>
      </c>
      <c r="Q855">
        <f t="shared" si="55"/>
        <v>19.899999999999999</v>
      </c>
      <c r="R855" t="str" cm="1">
        <f t="array" ref="R855">_xlfn.IFS(Q855&lt;=50,"low sales",Q855&lt;=100,"medium sales",Q855&gt;100,"High sales")</f>
        <v>low sales</v>
      </c>
    </row>
    <row r="856" spans="1:18" x14ac:dyDescent="0.35">
      <c r="A856" s="2" t="s">
        <v>5315</v>
      </c>
      <c r="B856" s="3">
        <v>44516</v>
      </c>
      <c r="C856" s="3" t="str">
        <f t="shared" si="52"/>
        <v>Tuesday</v>
      </c>
      <c r="D856" s="3" t="str">
        <f t="shared" si="53"/>
        <v>November</v>
      </c>
      <c r="E856" s="3" t="str">
        <f t="shared" si="54"/>
        <v>2021</v>
      </c>
      <c r="F856" s="2" t="s">
        <v>5316</v>
      </c>
      <c r="G856" t="s">
        <v>6173</v>
      </c>
      <c r="H856" s="2">
        <v>5</v>
      </c>
      <c r="I856" s="2" t="str">
        <f>_xlfn.XLOOKUP(F856,customers!A:A,customers!B:B)</f>
        <v>Skipton Morrall</v>
      </c>
      <c r="J856" s="2" t="str">
        <f>_xlfn.XLOOKUP(F856,customers!A:A,customers!C:C)</f>
        <v>smorrallnq@answers.com</v>
      </c>
      <c r="K856" s="2" t="str">
        <f>_xlfn.XLOOKUP(F856,customers!A:A,customers!F:F)</f>
        <v>Charleston</v>
      </c>
      <c r="L856" s="2" t="str">
        <f>_xlfn.XLOOKUP(F856,customers!A:A,customers!G:G)</f>
        <v>United States</v>
      </c>
      <c r="M856" t="str">
        <f>_xlfn.XLOOKUP(G856,products!A:A,products!B:B)</f>
        <v>Rob</v>
      </c>
      <c r="N856" t="str">
        <f>_xlfn.XLOOKUP(G856,products!A:A,products!C:C)</f>
        <v>L</v>
      </c>
      <c r="O856">
        <f>_xlfn.XLOOKUP(G856,products!A:A,products!D:D)</f>
        <v>0.5</v>
      </c>
      <c r="P856">
        <f>_xlfn.XLOOKUP(G856,products!A:A,products!E:E)</f>
        <v>7.169999999999999</v>
      </c>
      <c r="Q856">
        <f t="shared" si="55"/>
        <v>35.849999999999994</v>
      </c>
      <c r="R856" t="str" cm="1">
        <f t="array" ref="R856">_xlfn.IFS(Q856&lt;=50,"low sales",Q856&lt;=100,"medium sales",Q856&gt;100,"High sales")</f>
        <v>low sales</v>
      </c>
    </row>
    <row r="857" spans="1:18" x14ac:dyDescent="0.35">
      <c r="A857" s="2" t="s">
        <v>5321</v>
      </c>
      <c r="B857" s="3">
        <v>43632</v>
      </c>
      <c r="C857" s="3" t="str">
        <f t="shared" si="52"/>
        <v>Sunday</v>
      </c>
      <c r="D857" s="3" t="str">
        <f t="shared" si="53"/>
        <v>June</v>
      </c>
      <c r="E857" s="3" t="str">
        <f t="shared" si="54"/>
        <v>2019</v>
      </c>
      <c r="F857" s="2" t="s">
        <v>5322</v>
      </c>
      <c r="G857" t="s">
        <v>6165</v>
      </c>
      <c r="H857" s="2">
        <v>3</v>
      </c>
      <c r="I857" s="2" t="str">
        <f>_xlfn.XLOOKUP(F857,customers!A:A,customers!B:B)</f>
        <v>Devan Crownshaw</v>
      </c>
      <c r="J857" s="2" t="str">
        <f>_xlfn.XLOOKUP(F857,customers!A:A,customers!C:C)</f>
        <v>dcrownshawnr@photobucket.com</v>
      </c>
      <c r="K857" s="2" t="str">
        <f>_xlfn.XLOOKUP(F857,customers!A:A,customers!F:F)</f>
        <v>Allentown</v>
      </c>
      <c r="L857" s="2" t="str">
        <f>_xlfn.XLOOKUP(F857,customers!A:A,customers!G:G)</f>
        <v>United States</v>
      </c>
      <c r="M857" t="str">
        <f>_xlfn.XLOOKUP(G857,products!A:A,products!B:B)</f>
        <v>Lib</v>
      </c>
      <c r="N857" t="str">
        <f>_xlfn.XLOOKUP(G857,products!A:A,products!C:C)</f>
        <v>D</v>
      </c>
      <c r="O857">
        <f>_xlfn.XLOOKUP(G857,products!A:A,products!D:D)</f>
        <v>2.5</v>
      </c>
      <c r="P857">
        <f>_xlfn.XLOOKUP(G857,products!A:A,products!E:E)</f>
        <v>29.784999999999997</v>
      </c>
      <c r="Q857">
        <f t="shared" si="55"/>
        <v>89.35499999999999</v>
      </c>
      <c r="R857" t="str" cm="1">
        <f t="array" ref="R857">_xlfn.IFS(Q857&lt;=50,"low sales",Q857&lt;=100,"medium sales",Q857&gt;100,"High sales")</f>
        <v>medium sales</v>
      </c>
    </row>
    <row r="858" spans="1:18" x14ac:dyDescent="0.35">
      <c r="A858" s="2" t="s">
        <v>5327</v>
      </c>
      <c r="B858" s="3">
        <v>44031</v>
      </c>
      <c r="C858" s="3" t="str">
        <f t="shared" si="52"/>
        <v>Sunday</v>
      </c>
      <c r="D858" s="3" t="str">
        <f t="shared" si="53"/>
        <v>July</v>
      </c>
      <c r="E858" s="3" t="str">
        <f t="shared" si="54"/>
        <v>2020</v>
      </c>
      <c r="F858" s="2" t="s">
        <v>5188</v>
      </c>
      <c r="G858" t="s">
        <v>6159</v>
      </c>
      <c r="H858" s="2">
        <v>2</v>
      </c>
      <c r="I858" s="2" t="str">
        <f>_xlfn.XLOOKUP(F858,customers!A:A,customers!B:B)</f>
        <v>Odelia Skerme</v>
      </c>
      <c r="J858" s="2" t="str">
        <f>_xlfn.XLOOKUP(F858,customers!A:A,customers!C:C)</f>
        <v>oskermen3@hatena.ne.jp</v>
      </c>
      <c r="K858" s="2" t="str">
        <f>_xlfn.XLOOKUP(F858,customers!A:A,customers!F:F)</f>
        <v>Oklahoma City</v>
      </c>
      <c r="L858" s="2" t="str">
        <f>_xlfn.XLOOKUP(F858,customers!A:A,customers!G:G)</f>
        <v>United States</v>
      </c>
      <c r="M858" t="str">
        <f>_xlfn.XLOOKUP(G858,products!A:A,products!B:B)</f>
        <v>Lib</v>
      </c>
      <c r="N858" t="str">
        <f>_xlfn.XLOOKUP(G858,products!A:A,products!C:C)</f>
        <v>M</v>
      </c>
      <c r="O858">
        <f>_xlfn.XLOOKUP(G858,products!A:A,products!D:D)</f>
        <v>0.2</v>
      </c>
      <c r="P858">
        <f>_xlfn.XLOOKUP(G858,products!A:A,products!E:E)</f>
        <v>4.3650000000000002</v>
      </c>
      <c r="Q858">
        <f t="shared" si="55"/>
        <v>8.73</v>
      </c>
      <c r="R858" t="str" cm="1">
        <f t="array" ref="R858">_xlfn.IFS(Q858&lt;=50,"low sales",Q858&lt;=100,"medium sales",Q858&gt;100,"High sales")</f>
        <v>low sales</v>
      </c>
    </row>
    <row r="859" spans="1:18" x14ac:dyDescent="0.35">
      <c r="A859" s="2" t="s">
        <v>5333</v>
      </c>
      <c r="B859" s="3">
        <v>43889</v>
      </c>
      <c r="C859" s="3" t="str">
        <f t="shared" si="52"/>
        <v>Friday</v>
      </c>
      <c r="D859" s="3" t="str">
        <f t="shared" si="53"/>
        <v>February</v>
      </c>
      <c r="E859" s="3" t="str">
        <f t="shared" si="54"/>
        <v>2020</v>
      </c>
      <c r="F859" s="2" t="s">
        <v>5334</v>
      </c>
      <c r="G859" t="s">
        <v>6142</v>
      </c>
      <c r="H859" s="2">
        <v>5</v>
      </c>
      <c r="I859" s="2" t="str">
        <f>_xlfn.XLOOKUP(F859,customers!A:A,customers!B:B)</f>
        <v>Joceline Reddoch</v>
      </c>
      <c r="J859" s="2" t="str">
        <f>_xlfn.XLOOKUP(F859,customers!A:A,customers!C:C)</f>
        <v>jreddochnt@sun.com</v>
      </c>
      <c r="K859" s="2" t="str">
        <f>_xlfn.XLOOKUP(F859,customers!A:A,customers!F:F)</f>
        <v>Largo</v>
      </c>
      <c r="L859" s="2" t="str">
        <f>_xlfn.XLOOKUP(F859,customers!A:A,customers!G:G)</f>
        <v>United States</v>
      </c>
      <c r="M859" t="str">
        <f>_xlfn.XLOOKUP(G859,products!A:A,products!B:B)</f>
        <v>Rob</v>
      </c>
      <c r="N859" t="str">
        <f>_xlfn.XLOOKUP(G859,products!A:A,products!C:C)</f>
        <v>L</v>
      </c>
      <c r="O859">
        <f>_xlfn.XLOOKUP(G859,products!A:A,products!D:D)</f>
        <v>2.5</v>
      </c>
      <c r="P859">
        <f>_xlfn.XLOOKUP(G859,products!A:A,products!E:E)</f>
        <v>27.484999999999996</v>
      </c>
      <c r="Q859">
        <f t="shared" si="55"/>
        <v>137.42499999999998</v>
      </c>
      <c r="R859" t="str" cm="1">
        <f t="array" ref="R859">_xlfn.IFS(Q859&lt;=50,"low sales",Q859&lt;=100,"medium sales",Q859&gt;100,"High sales")</f>
        <v>High sales</v>
      </c>
    </row>
    <row r="860" spans="1:18" x14ac:dyDescent="0.35">
      <c r="A860" s="2" t="s">
        <v>5339</v>
      </c>
      <c r="B860" s="3">
        <v>43638</v>
      </c>
      <c r="C860" s="3" t="str">
        <f t="shared" si="52"/>
        <v>Saturday</v>
      </c>
      <c r="D860" s="3" t="str">
        <f t="shared" si="53"/>
        <v>June</v>
      </c>
      <c r="E860" s="3" t="str">
        <f t="shared" si="54"/>
        <v>2019</v>
      </c>
      <c r="F860" s="2" t="s">
        <v>5340</v>
      </c>
      <c r="G860" t="s">
        <v>6160</v>
      </c>
      <c r="H860" s="2">
        <v>4</v>
      </c>
      <c r="I860" s="2" t="str">
        <f>_xlfn.XLOOKUP(F860,customers!A:A,customers!B:B)</f>
        <v>Shelley Titley</v>
      </c>
      <c r="J860" s="2" t="str">
        <f>_xlfn.XLOOKUP(F860,customers!A:A,customers!C:C)</f>
        <v>stitleynu@whitehouse.gov</v>
      </c>
      <c r="K860" s="2" t="str">
        <f>_xlfn.XLOOKUP(F860,customers!A:A,customers!F:F)</f>
        <v>Fargo</v>
      </c>
      <c r="L860" s="2" t="str">
        <f>_xlfn.XLOOKUP(F860,customers!A:A,customers!G:G)</f>
        <v>United States</v>
      </c>
      <c r="M860" t="str">
        <f>_xlfn.XLOOKUP(G860,products!A:A,products!B:B)</f>
        <v>Lib</v>
      </c>
      <c r="N860" t="str">
        <f>_xlfn.XLOOKUP(G860,products!A:A,products!C:C)</f>
        <v>M</v>
      </c>
      <c r="O860">
        <f>_xlfn.XLOOKUP(G860,products!A:A,products!D:D)</f>
        <v>0.5</v>
      </c>
      <c r="P860">
        <f>_xlfn.XLOOKUP(G860,products!A:A,products!E:E)</f>
        <v>8.73</v>
      </c>
      <c r="Q860">
        <f t="shared" si="55"/>
        <v>34.92</v>
      </c>
      <c r="R860" t="str" cm="1">
        <f t="array" ref="R860">_xlfn.IFS(Q860&lt;=50,"low sales",Q860&lt;=100,"medium sales",Q860&gt;100,"High sales")</f>
        <v>low sales</v>
      </c>
    </row>
    <row r="861" spans="1:18" x14ac:dyDescent="0.35">
      <c r="A861" s="2" t="s">
        <v>5345</v>
      </c>
      <c r="B861" s="3">
        <v>43716</v>
      </c>
      <c r="C861" s="3" t="str">
        <f t="shared" si="52"/>
        <v>Sunday</v>
      </c>
      <c r="D861" s="3" t="str">
        <f t="shared" si="53"/>
        <v>September</v>
      </c>
      <c r="E861" s="3" t="str">
        <f t="shared" si="54"/>
        <v>2019</v>
      </c>
      <c r="F861" s="2" t="s">
        <v>5346</v>
      </c>
      <c r="G861" t="s">
        <v>6182</v>
      </c>
      <c r="H861" s="2">
        <v>6</v>
      </c>
      <c r="I861" s="2" t="str">
        <f>_xlfn.XLOOKUP(F861,customers!A:A,customers!B:B)</f>
        <v>Redd Simao</v>
      </c>
      <c r="J861" s="2" t="str">
        <f>_xlfn.XLOOKUP(F861,customers!A:A,customers!C:C)</f>
        <v>rsimaonv@simplemachines.org</v>
      </c>
      <c r="K861" s="2" t="str">
        <f>_xlfn.XLOOKUP(F861,customers!A:A,customers!F:F)</f>
        <v>Fort Smith</v>
      </c>
      <c r="L861" s="2" t="str">
        <f>_xlfn.XLOOKUP(F861,customers!A:A,customers!G:G)</f>
        <v>United States</v>
      </c>
      <c r="M861" t="str">
        <f>_xlfn.XLOOKUP(G861,products!A:A,products!B:B)</f>
        <v>Ara</v>
      </c>
      <c r="N861" t="str">
        <f>_xlfn.XLOOKUP(G861,products!A:A,products!C:C)</f>
        <v>L</v>
      </c>
      <c r="O861">
        <f>_xlfn.XLOOKUP(G861,products!A:A,products!D:D)</f>
        <v>2.5</v>
      </c>
      <c r="P861">
        <f>_xlfn.XLOOKUP(G861,products!A:A,products!E:E)</f>
        <v>29.784999999999997</v>
      </c>
      <c r="Q861">
        <f t="shared" si="55"/>
        <v>178.70999999999998</v>
      </c>
      <c r="R861" t="str" cm="1">
        <f t="array" ref="R861">_xlfn.IFS(Q861&lt;=50,"low sales",Q861&lt;=100,"medium sales",Q861&gt;100,"High sales")</f>
        <v>High sales</v>
      </c>
    </row>
    <row r="862" spans="1:18" x14ac:dyDescent="0.35">
      <c r="A862" s="2" t="s">
        <v>5351</v>
      </c>
      <c r="B862" s="3">
        <v>44707</v>
      </c>
      <c r="C862" s="3" t="str">
        <f t="shared" si="52"/>
        <v>Thursday</v>
      </c>
      <c r="D862" s="3" t="str">
        <f t="shared" si="53"/>
        <v>May</v>
      </c>
      <c r="E862" s="3" t="str">
        <f t="shared" si="54"/>
        <v>2022</v>
      </c>
      <c r="F862" s="2" t="s">
        <v>5352</v>
      </c>
      <c r="G862" t="s">
        <v>6175</v>
      </c>
      <c r="H862" s="2">
        <v>1</v>
      </c>
      <c r="I862" s="2" t="str">
        <f>_xlfn.XLOOKUP(F862,customers!A:A,customers!B:B)</f>
        <v>Cece Inker</v>
      </c>
      <c r="J862" s="2">
        <f>_xlfn.XLOOKUP(F862,customers!A:A,customers!C:C)</f>
        <v>0</v>
      </c>
      <c r="K862" s="2" t="str">
        <f>_xlfn.XLOOKUP(F862,customers!A:A,customers!F:F)</f>
        <v>Lakeland</v>
      </c>
      <c r="L862" s="2" t="str">
        <f>_xlfn.XLOOKUP(F862,customers!A:A,customers!G:G)</f>
        <v>United States</v>
      </c>
      <c r="M862" t="str">
        <f>_xlfn.XLOOKUP(G862,products!A:A,products!B:B)</f>
        <v>Ara</v>
      </c>
      <c r="N862" t="str">
        <f>_xlfn.XLOOKUP(G862,products!A:A,products!C:C)</f>
        <v>M</v>
      </c>
      <c r="O862">
        <f>_xlfn.XLOOKUP(G862,products!A:A,products!D:D)</f>
        <v>2.5</v>
      </c>
      <c r="P862">
        <f>_xlfn.XLOOKUP(G862,products!A:A,products!E:E)</f>
        <v>25.874999999999996</v>
      </c>
      <c r="Q862">
        <f t="shared" si="55"/>
        <v>25.874999999999996</v>
      </c>
      <c r="R862" t="str" cm="1">
        <f t="array" ref="R862">_xlfn.IFS(Q862&lt;=50,"low sales",Q862&lt;=100,"medium sales",Q862&gt;100,"High sales")</f>
        <v>low sales</v>
      </c>
    </row>
    <row r="863" spans="1:18" x14ac:dyDescent="0.35">
      <c r="A863" s="2" t="s">
        <v>5356</v>
      </c>
      <c r="B863" s="3">
        <v>43802</v>
      </c>
      <c r="C863" s="3" t="str">
        <f t="shared" si="52"/>
        <v>Tuesday</v>
      </c>
      <c r="D863" s="3" t="str">
        <f t="shared" si="53"/>
        <v>December</v>
      </c>
      <c r="E863" s="3" t="str">
        <f t="shared" si="54"/>
        <v>2019</v>
      </c>
      <c r="F863" s="2" t="s">
        <v>5357</v>
      </c>
      <c r="G863" t="s">
        <v>6143</v>
      </c>
      <c r="H863" s="2">
        <v>6</v>
      </c>
      <c r="I863" s="2" t="str">
        <f>_xlfn.XLOOKUP(F863,customers!A:A,customers!B:B)</f>
        <v>Noel Chisholm</v>
      </c>
      <c r="J863" s="2" t="str">
        <f>_xlfn.XLOOKUP(F863,customers!A:A,customers!C:C)</f>
        <v>nchisholmnx@example.com</v>
      </c>
      <c r="K863" s="2" t="str">
        <f>_xlfn.XLOOKUP(F863,customers!A:A,customers!F:F)</f>
        <v>Knoxville</v>
      </c>
      <c r="L863" s="2" t="str">
        <f>_xlfn.XLOOKUP(F863,customers!A:A,customers!G:G)</f>
        <v>United States</v>
      </c>
      <c r="M863" t="str">
        <f>_xlfn.XLOOKUP(G863,products!A:A,products!B:B)</f>
        <v>Lib</v>
      </c>
      <c r="N863" t="str">
        <f>_xlfn.XLOOKUP(G863,products!A:A,products!C:C)</f>
        <v>D</v>
      </c>
      <c r="O863">
        <f>_xlfn.XLOOKUP(G863,products!A:A,products!D:D)</f>
        <v>1</v>
      </c>
      <c r="P863">
        <f>_xlfn.XLOOKUP(G863,products!A:A,products!E:E)</f>
        <v>12.95</v>
      </c>
      <c r="Q863">
        <f t="shared" si="55"/>
        <v>77.699999999999989</v>
      </c>
      <c r="R863" t="str" cm="1">
        <f t="array" ref="R863">_xlfn.IFS(Q863&lt;=50,"low sales",Q863&lt;=100,"medium sales",Q863&gt;100,"High sales")</f>
        <v>medium sales</v>
      </c>
    </row>
    <row r="864" spans="1:18" x14ac:dyDescent="0.35">
      <c r="A864" s="2" t="s">
        <v>5362</v>
      </c>
      <c r="B864" s="3">
        <v>43725</v>
      </c>
      <c r="C864" s="3" t="str">
        <f t="shared" si="52"/>
        <v>Tuesday</v>
      </c>
      <c r="D864" s="3" t="str">
        <f t="shared" si="53"/>
        <v>September</v>
      </c>
      <c r="E864" s="3" t="str">
        <f t="shared" si="54"/>
        <v>2019</v>
      </c>
      <c r="F864" s="2" t="s">
        <v>5363</v>
      </c>
      <c r="G864" t="s">
        <v>6138</v>
      </c>
      <c r="H864" s="2">
        <v>1</v>
      </c>
      <c r="I864" s="2" t="str">
        <f>_xlfn.XLOOKUP(F864,customers!A:A,customers!B:B)</f>
        <v>Grazia Oats</v>
      </c>
      <c r="J864" s="2" t="str">
        <f>_xlfn.XLOOKUP(F864,customers!A:A,customers!C:C)</f>
        <v>goatsny@live.com</v>
      </c>
      <c r="K864" s="2" t="str">
        <f>_xlfn.XLOOKUP(F864,customers!A:A,customers!F:F)</f>
        <v>Los Angeles</v>
      </c>
      <c r="L864" s="2" t="str">
        <f>_xlfn.XLOOKUP(F864,customers!A:A,customers!G:G)</f>
        <v>United States</v>
      </c>
      <c r="M864" t="str">
        <f>_xlfn.XLOOKUP(G864,products!A:A,products!B:B)</f>
        <v>Rob</v>
      </c>
      <c r="N864" t="str">
        <f>_xlfn.XLOOKUP(G864,products!A:A,products!C:C)</f>
        <v>M</v>
      </c>
      <c r="O864">
        <f>_xlfn.XLOOKUP(G864,products!A:A,products!D:D)</f>
        <v>1</v>
      </c>
      <c r="P864">
        <f>_xlfn.XLOOKUP(G864,products!A:A,products!E:E)</f>
        <v>9.9499999999999993</v>
      </c>
      <c r="Q864">
        <f t="shared" si="55"/>
        <v>9.9499999999999993</v>
      </c>
      <c r="R864" t="str" cm="1">
        <f t="array" ref="R864">_xlfn.IFS(Q864&lt;=50,"low sales",Q864&lt;=100,"medium sales",Q864&gt;100,"High sales")</f>
        <v>low sales</v>
      </c>
    </row>
    <row r="865" spans="1:18" x14ac:dyDescent="0.35">
      <c r="A865" s="2" t="s">
        <v>5368</v>
      </c>
      <c r="B865" s="3">
        <v>44712</v>
      </c>
      <c r="C865" s="3" t="str">
        <f t="shared" si="52"/>
        <v>Tuesday</v>
      </c>
      <c r="D865" s="3" t="str">
        <f t="shared" si="53"/>
        <v>May</v>
      </c>
      <c r="E865" s="3" t="str">
        <f t="shared" si="54"/>
        <v>2022</v>
      </c>
      <c r="F865" s="2" t="s">
        <v>5369</v>
      </c>
      <c r="G865" t="s">
        <v>6162</v>
      </c>
      <c r="H865" s="2">
        <v>2</v>
      </c>
      <c r="I865" s="2" t="str">
        <f>_xlfn.XLOOKUP(F865,customers!A:A,customers!B:B)</f>
        <v>Meade Birkin</v>
      </c>
      <c r="J865" s="2" t="str">
        <f>_xlfn.XLOOKUP(F865,customers!A:A,customers!C:C)</f>
        <v>mbirkinnz@java.com</v>
      </c>
      <c r="K865" s="2" t="str">
        <f>_xlfn.XLOOKUP(F865,customers!A:A,customers!F:F)</f>
        <v>Miami</v>
      </c>
      <c r="L865" s="2" t="str">
        <f>_xlfn.XLOOKUP(F865,customers!A:A,customers!G:G)</f>
        <v>United States</v>
      </c>
      <c r="M865" t="str">
        <f>_xlfn.XLOOKUP(G865,products!A:A,products!B:B)</f>
        <v>Lib</v>
      </c>
      <c r="N865" t="str">
        <f>_xlfn.XLOOKUP(G865,products!A:A,products!C:C)</f>
        <v>M</v>
      </c>
      <c r="O865">
        <f>_xlfn.XLOOKUP(G865,products!A:A,products!D:D)</f>
        <v>1</v>
      </c>
      <c r="P865">
        <f>_xlfn.XLOOKUP(G865,products!A:A,products!E:E)</f>
        <v>14.55</v>
      </c>
      <c r="Q865">
        <f t="shared" si="55"/>
        <v>29.1</v>
      </c>
      <c r="R865" t="str" cm="1">
        <f t="array" ref="R865">_xlfn.IFS(Q865&lt;=50,"low sales",Q865&lt;=100,"medium sales",Q865&gt;100,"High sales")</f>
        <v>low sales</v>
      </c>
    </row>
    <row r="866" spans="1:18" x14ac:dyDescent="0.35">
      <c r="A866" s="2" t="s">
        <v>5374</v>
      </c>
      <c r="B866" s="3">
        <v>43759</v>
      </c>
      <c r="C866" s="3" t="str">
        <f t="shared" si="52"/>
        <v>Monday</v>
      </c>
      <c r="D866" s="3" t="str">
        <f t="shared" si="53"/>
        <v>October</v>
      </c>
      <c r="E866" s="3" t="str">
        <f t="shared" si="54"/>
        <v>2019</v>
      </c>
      <c r="F866" s="2" t="s">
        <v>5375</v>
      </c>
      <c r="G866" t="s">
        <v>6178</v>
      </c>
      <c r="H866" s="2">
        <v>6</v>
      </c>
      <c r="I866" s="2" t="str">
        <f>_xlfn.XLOOKUP(F866,customers!A:A,customers!B:B)</f>
        <v>Ronda Pyson</v>
      </c>
      <c r="J866" s="2" t="str">
        <f>_xlfn.XLOOKUP(F866,customers!A:A,customers!C:C)</f>
        <v>rpysono0@constantcontact.com</v>
      </c>
      <c r="K866" s="2" t="str">
        <f>_xlfn.XLOOKUP(F866,customers!A:A,customers!F:F)</f>
        <v>Clones</v>
      </c>
      <c r="L866" s="2" t="str">
        <f>_xlfn.XLOOKUP(F866,customers!A:A,customers!G:G)</f>
        <v>Ireland</v>
      </c>
      <c r="M866" t="str">
        <f>_xlfn.XLOOKUP(G866,products!A:A,products!B:B)</f>
        <v>Rob</v>
      </c>
      <c r="N866" t="str">
        <f>_xlfn.XLOOKUP(G866,products!A:A,products!C:C)</f>
        <v>L</v>
      </c>
      <c r="O866">
        <f>_xlfn.XLOOKUP(G866,products!A:A,products!D:D)</f>
        <v>0.2</v>
      </c>
      <c r="P866">
        <f>_xlfn.XLOOKUP(G866,products!A:A,products!E:E)</f>
        <v>3.5849999999999995</v>
      </c>
      <c r="Q866">
        <f t="shared" si="55"/>
        <v>21.509999999999998</v>
      </c>
      <c r="R866" t="str" cm="1">
        <f t="array" ref="R866">_xlfn.IFS(Q866&lt;=50,"low sales",Q866&lt;=100,"medium sales",Q866&gt;100,"High sales")</f>
        <v>low sales</v>
      </c>
    </row>
    <row r="867" spans="1:18" x14ac:dyDescent="0.35">
      <c r="A867" s="2" t="s">
        <v>5380</v>
      </c>
      <c r="B867" s="3">
        <v>44675</v>
      </c>
      <c r="C867" s="3" t="str">
        <f t="shared" si="52"/>
        <v>Sunday</v>
      </c>
      <c r="D867" s="3" t="str">
        <f t="shared" si="53"/>
        <v>April</v>
      </c>
      <c r="E867" s="3" t="str">
        <f t="shared" si="54"/>
        <v>2022</v>
      </c>
      <c r="F867" s="2" t="s">
        <v>5428</v>
      </c>
      <c r="G867" t="s">
        <v>6157</v>
      </c>
      <c r="H867" s="2">
        <v>1</v>
      </c>
      <c r="I867" s="2" t="str">
        <f>_xlfn.XLOOKUP(F867,customers!A:A,customers!B:B)</f>
        <v>Modesty MacConnechie</v>
      </c>
      <c r="J867" s="2" t="str">
        <f>_xlfn.XLOOKUP(F867,customers!A:A,customers!C:C)</f>
        <v>mmacconnechieo9@reuters.com</v>
      </c>
      <c r="K867" s="2" t="str">
        <f>_xlfn.XLOOKUP(F867,customers!A:A,customers!F:F)</f>
        <v>Charleston</v>
      </c>
      <c r="L867" s="2" t="str">
        <f>_xlfn.XLOOKUP(F867,customers!A:A,customers!G:G)</f>
        <v>United States</v>
      </c>
      <c r="M867" t="str">
        <f>_xlfn.XLOOKUP(G867,products!A:A,products!B:B)</f>
        <v>Ara</v>
      </c>
      <c r="N867" t="str">
        <f>_xlfn.XLOOKUP(G867,products!A:A,products!C:C)</f>
        <v>M</v>
      </c>
      <c r="O867">
        <f>_xlfn.XLOOKUP(G867,products!A:A,products!D:D)</f>
        <v>0.5</v>
      </c>
      <c r="P867">
        <f>_xlfn.XLOOKUP(G867,products!A:A,products!E:E)</f>
        <v>6.75</v>
      </c>
      <c r="Q867">
        <f t="shared" si="55"/>
        <v>6.75</v>
      </c>
      <c r="R867" t="str" cm="1">
        <f t="array" ref="R867">_xlfn.IFS(Q867&lt;=50,"low sales",Q867&lt;=100,"medium sales",Q867&gt;100,"High sales")</f>
        <v>low sales</v>
      </c>
    </row>
    <row r="868" spans="1:18" x14ac:dyDescent="0.35">
      <c r="A868" s="2" t="s">
        <v>5385</v>
      </c>
      <c r="B868" s="3">
        <v>44209</v>
      </c>
      <c r="C868" s="3" t="str">
        <f t="shared" si="52"/>
        <v>Wednesday</v>
      </c>
      <c r="D868" s="3" t="str">
        <f t="shared" si="53"/>
        <v>January</v>
      </c>
      <c r="E868" s="3" t="str">
        <f t="shared" si="54"/>
        <v>2021</v>
      </c>
      <c r="F868" s="2" t="s">
        <v>5386</v>
      </c>
      <c r="G868" t="s">
        <v>6158</v>
      </c>
      <c r="H868" s="2">
        <v>3</v>
      </c>
      <c r="I868" s="2" t="str">
        <f>_xlfn.XLOOKUP(F868,customers!A:A,customers!B:B)</f>
        <v>Rafaela Treacher</v>
      </c>
      <c r="J868" s="2" t="str">
        <f>_xlfn.XLOOKUP(F868,customers!A:A,customers!C:C)</f>
        <v>rtreachero2@usa.gov</v>
      </c>
      <c r="K868" s="2" t="str">
        <f>_xlfn.XLOOKUP(F868,customers!A:A,customers!F:F)</f>
        <v>Greystones</v>
      </c>
      <c r="L868" s="2" t="str">
        <f>_xlfn.XLOOKUP(F868,customers!A:A,customers!G:G)</f>
        <v>Ireland</v>
      </c>
      <c r="M868" t="str">
        <f>_xlfn.XLOOKUP(G868,products!A:A,products!B:B)</f>
        <v>Ara</v>
      </c>
      <c r="N868" t="str">
        <f>_xlfn.XLOOKUP(G868,products!A:A,products!C:C)</f>
        <v>D</v>
      </c>
      <c r="O868">
        <f>_xlfn.XLOOKUP(G868,products!A:A,products!D:D)</f>
        <v>0.5</v>
      </c>
      <c r="P868">
        <f>_xlfn.XLOOKUP(G868,products!A:A,products!E:E)</f>
        <v>5.97</v>
      </c>
      <c r="Q868">
        <f t="shared" si="55"/>
        <v>17.91</v>
      </c>
      <c r="R868" t="str" cm="1">
        <f t="array" ref="R868">_xlfn.IFS(Q868&lt;=50,"low sales",Q868&lt;=100,"medium sales",Q868&gt;100,"High sales")</f>
        <v>low sales</v>
      </c>
    </row>
    <row r="869" spans="1:18" x14ac:dyDescent="0.35">
      <c r="A869" s="2" t="s">
        <v>5391</v>
      </c>
      <c r="B869" s="3">
        <v>44792</v>
      </c>
      <c r="C869" s="3" t="str">
        <f t="shared" si="52"/>
        <v>Friday</v>
      </c>
      <c r="D869" s="3" t="str">
        <f t="shared" si="53"/>
        <v>August</v>
      </c>
      <c r="E869" s="3" t="str">
        <f t="shared" si="54"/>
        <v>2022</v>
      </c>
      <c r="F869" s="2" t="s">
        <v>5392</v>
      </c>
      <c r="G869" t="s">
        <v>6182</v>
      </c>
      <c r="H869" s="2">
        <v>1</v>
      </c>
      <c r="I869" s="2" t="str">
        <f>_xlfn.XLOOKUP(F869,customers!A:A,customers!B:B)</f>
        <v>Bee Fattorini</v>
      </c>
      <c r="J869" s="2" t="str">
        <f>_xlfn.XLOOKUP(F869,customers!A:A,customers!C:C)</f>
        <v>bfattorinio3@quantcast.com</v>
      </c>
      <c r="K869" s="2" t="str">
        <f>_xlfn.XLOOKUP(F869,customers!A:A,customers!F:F)</f>
        <v>Monaghan</v>
      </c>
      <c r="L869" s="2" t="str">
        <f>_xlfn.XLOOKUP(F869,customers!A:A,customers!G:G)</f>
        <v>Ireland</v>
      </c>
      <c r="M869" t="str">
        <f>_xlfn.XLOOKUP(G869,products!A:A,products!B:B)</f>
        <v>Ara</v>
      </c>
      <c r="N869" t="str">
        <f>_xlfn.XLOOKUP(G869,products!A:A,products!C:C)</f>
        <v>L</v>
      </c>
      <c r="O869">
        <f>_xlfn.XLOOKUP(G869,products!A:A,products!D:D)</f>
        <v>2.5</v>
      </c>
      <c r="P869">
        <f>_xlfn.XLOOKUP(G869,products!A:A,products!E:E)</f>
        <v>29.784999999999997</v>
      </c>
      <c r="Q869">
        <f t="shared" si="55"/>
        <v>29.784999999999997</v>
      </c>
      <c r="R869" t="str" cm="1">
        <f t="array" ref="R869">_xlfn.IFS(Q869&lt;=50,"low sales",Q869&lt;=100,"medium sales",Q869&gt;100,"High sales")</f>
        <v>low sales</v>
      </c>
    </row>
    <row r="870" spans="1:18" x14ac:dyDescent="0.35">
      <c r="A870" s="2" t="s">
        <v>5396</v>
      </c>
      <c r="B870" s="3">
        <v>43526</v>
      </c>
      <c r="C870" s="3" t="str">
        <f t="shared" si="52"/>
        <v>Saturday</v>
      </c>
      <c r="D870" s="3" t="str">
        <f t="shared" si="53"/>
        <v>March</v>
      </c>
      <c r="E870" s="3" t="str">
        <f t="shared" si="54"/>
        <v>2019</v>
      </c>
      <c r="F870" s="2" t="s">
        <v>5397</v>
      </c>
      <c r="G870" t="s">
        <v>6139</v>
      </c>
      <c r="H870" s="2">
        <v>5</v>
      </c>
      <c r="I870" s="2" t="str">
        <f>_xlfn.XLOOKUP(F870,customers!A:A,customers!B:B)</f>
        <v>Margie Palleske</v>
      </c>
      <c r="J870" s="2" t="str">
        <f>_xlfn.XLOOKUP(F870,customers!A:A,customers!C:C)</f>
        <v>mpalleskeo4@nyu.edu</v>
      </c>
      <c r="K870" s="2" t="str">
        <f>_xlfn.XLOOKUP(F870,customers!A:A,customers!F:F)</f>
        <v>Pompano Beach</v>
      </c>
      <c r="L870" s="2" t="str">
        <f>_xlfn.XLOOKUP(F870,customers!A:A,customers!G:G)</f>
        <v>United States</v>
      </c>
      <c r="M870" t="str">
        <f>_xlfn.XLOOKUP(G870,products!A:A,products!B:B)</f>
        <v>Exc</v>
      </c>
      <c r="N870" t="str">
        <f>_xlfn.XLOOKUP(G870,products!A:A,products!C:C)</f>
        <v>M</v>
      </c>
      <c r="O870">
        <f>_xlfn.XLOOKUP(G870,products!A:A,products!D:D)</f>
        <v>0.5</v>
      </c>
      <c r="P870">
        <f>_xlfn.XLOOKUP(G870,products!A:A,products!E:E)</f>
        <v>8.25</v>
      </c>
      <c r="Q870">
        <f t="shared" si="55"/>
        <v>41.25</v>
      </c>
      <c r="R870" t="str" cm="1">
        <f t="array" ref="R870">_xlfn.IFS(Q870&lt;=50,"low sales",Q870&lt;=100,"medium sales",Q870&gt;100,"High sales")</f>
        <v>low sales</v>
      </c>
    </row>
    <row r="871" spans="1:18" x14ac:dyDescent="0.35">
      <c r="A871" s="2" t="s">
        <v>5402</v>
      </c>
      <c r="B871" s="3">
        <v>43851</v>
      </c>
      <c r="C871" s="3" t="str">
        <f t="shared" si="52"/>
        <v>Tuesday</v>
      </c>
      <c r="D871" s="3" t="str">
        <f t="shared" si="53"/>
        <v>January</v>
      </c>
      <c r="E871" s="3" t="str">
        <f t="shared" si="54"/>
        <v>2020</v>
      </c>
      <c r="F871" s="2" t="s">
        <v>5403</v>
      </c>
      <c r="G871" t="s">
        <v>6146</v>
      </c>
      <c r="H871" s="2">
        <v>3</v>
      </c>
      <c r="I871" s="2" t="str">
        <f>_xlfn.XLOOKUP(F871,customers!A:A,customers!B:B)</f>
        <v>Alexina Randals</v>
      </c>
      <c r="J871" s="2">
        <f>_xlfn.XLOOKUP(F871,customers!A:A,customers!C:C)</f>
        <v>0</v>
      </c>
      <c r="K871" s="2" t="str">
        <f>_xlfn.XLOOKUP(F871,customers!A:A,customers!F:F)</f>
        <v>Sacramento</v>
      </c>
      <c r="L871" s="2" t="str">
        <f>_xlfn.XLOOKUP(F871,customers!A:A,customers!G:G)</f>
        <v>United States</v>
      </c>
      <c r="M871" t="str">
        <f>_xlfn.XLOOKUP(G871,products!A:A,products!B:B)</f>
        <v>Rob</v>
      </c>
      <c r="N871" t="str">
        <f>_xlfn.XLOOKUP(G871,products!A:A,products!C:C)</f>
        <v>M</v>
      </c>
      <c r="O871">
        <f>_xlfn.XLOOKUP(G871,products!A:A,products!D:D)</f>
        <v>0.5</v>
      </c>
      <c r="P871">
        <f>_xlfn.XLOOKUP(G871,products!A:A,products!E:E)</f>
        <v>5.97</v>
      </c>
      <c r="Q871">
        <f t="shared" si="55"/>
        <v>17.91</v>
      </c>
      <c r="R871" t="str" cm="1">
        <f t="array" ref="R871">_xlfn.IFS(Q871&lt;=50,"low sales",Q871&lt;=100,"medium sales",Q871&gt;100,"High sales")</f>
        <v>low sales</v>
      </c>
    </row>
    <row r="872" spans="1:18" x14ac:dyDescent="0.35">
      <c r="A872" s="2" t="s">
        <v>5407</v>
      </c>
      <c r="B872" s="3">
        <v>44460</v>
      </c>
      <c r="C872" s="3" t="str">
        <f t="shared" si="52"/>
        <v>Tuesday</v>
      </c>
      <c r="D872" s="3" t="str">
        <f t="shared" si="53"/>
        <v>September</v>
      </c>
      <c r="E872" s="3" t="str">
        <f t="shared" si="54"/>
        <v>2021</v>
      </c>
      <c r="F872" s="2" t="s">
        <v>5408</v>
      </c>
      <c r="G872" t="s">
        <v>6144</v>
      </c>
      <c r="H872" s="2">
        <v>1</v>
      </c>
      <c r="I872" s="2" t="str">
        <f>_xlfn.XLOOKUP(F872,customers!A:A,customers!B:B)</f>
        <v>Filip Antcliffe</v>
      </c>
      <c r="J872" s="2" t="str">
        <f>_xlfn.XLOOKUP(F872,customers!A:A,customers!C:C)</f>
        <v>fantcliffeo6@amazon.co.jp</v>
      </c>
      <c r="K872" s="2" t="str">
        <f>_xlfn.XLOOKUP(F872,customers!A:A,customers!F:F)</f>
        <v>Clonskeagh</v>
      </c>
      <c r="L872" s="2" t="str">
        <f>_xlfn.XLOOKUP(F872,customers!A:A,customers!G:G)</f>
        <v>Ireland</v>
      </c>
      <c r="M872" t="str">
        <f>_xlfn.XLOOKUP(G872,products!A:A,products!B:B)</f>
        <v>Exc</v>
      </c>
      <c r="N872" t="str">
        <f>_xlfn.XLOOKUP(G872,products!A:A,products!C:C)</f>
        <v>D</v>
      </c>
      <c r="O872">
        <f>_xlfn.XLOOKUP(G872,products!A:A,products!D:D)</f>
        <v>0.5</v>
      </c>
      <c r="P872">
        <f>_xlfn.XLOOKUP(G872,products!A:A,products!E:E)</f>
        <v>7.29</v>
      </c>
      <c r="Q872">
        <f t="shared" si="55"/>
        <v>7.29</v>
      </c>
      <c r="R872" t="str" cm="1">
        <f t="array" ref="R872">_xlfn.IFS(Q872&lt;=50,"low sales",Q872&lt;=100,"medium sales",Q872&gt;100,"High sales")</f>
        <v>low sales</v>
      </c>
    </row>
    <row r="873" spans="1:18" x14ac:dyDescent="0.35">
      <c r="A873" s="2" t="s">
        <v>5413</v>
      </c>
      <c r="B873" s="3">
        <v>43707</v>
      </c>
      <c r="C873" s="3" t="str">
        <f t="shared" si="52"/>
        <v>Friday</v>
      </c>
      <c r="D873" s="3" t="str">
        <f t="shared" si="53"/>
        <v>August</v>
      </c>
      <c r="E873" s="3" t="str">
        <f t="shared" si="54"/>
        <v>2019</v>
      </c>
      <c r="F873" s="2" t="s">
        <v>5414</v>
      </c>
      <c r="G873" t="s">
        <v>6171</v>
      </c>
      <c r="H873" s="2">
        <v>2</v>
      </c>
      <c r="I873" s="2" t="str">
        <f>_xlfn.XLOOKUP(F873,customers!A:A,customers!B:B)</f>
        <v>Peyter Matignon</v>
      </c>
      <c r="J873" s="2" t="str">
        <f>_xlfn.XLOOKUP(F873,customers!A:A,customers!C:C)</f>
        <v>pmatignono7@harvard.edu</v>
      </c>
      <c r="K873" s="2" t="str">
        <f>_xlfn.XLOOKUP(F873,customers!A:A,customers!F:F)</f>
        <v>Kirkton</v>
      </c>
      <c r="L873" s="2" t="str">
        <f>_xlfn.XLOOKUP(F873,customers!A:A,customers!G:G)</f>
        <v>United Kingdom</v>
      </c>
      <c r="M873" t="str">
        <f>_xlfn.XLOOKUP(G873,products!A:A,products!B:B)</f>
        <v>Exc</v>
      </c>
      <c r="N873" t="str">
        <f>_xlfn.XLOOKUP(G873,products!A:A,products!C:C)</f>
        <v>L</v>
      </c>
      <c r="O873">
        <f>_xlfn.XLOOKUP(G873,products!A:A,products!D:D)</f>
        <v>1</v>
      </c>
      <c r="P873">
        <f>_xlfn.XLOOKUP(G873,products!A:A,products!E:E)</f>
        <v>14.85</v>
      </c>
      <c r="Q873">
        <f t="shared" si="55"/>
        <v>29.7</v>
      </c>
      <c r="R873" t="str" cm="1">
        <f t="array" ref="R873">_xlfn.IFS(Q873&lt;=50,"low sales",Q873&lt;=100,"medium sales",Q873&gt;100,"High sales")</f>
        <v>low sales</v>
      </c>
    </row>
    <row r="874" spans="1:18" x14ac:dyDescent="0.35">
      <c r="A874" s="2" t="s">
        <v>5421</v>
      </c>
      <c r="B874" s="3">
        <v>43521</v>
      </c>
      <c r="C874" s="3" t="str">
        <f t="shared" si="52"/>
        <v>Monday</v>
      </c>
      <c r="D874" s="3" t="str">
        <f t="shared" si="53"/>
        <v>February</v>
      </c>
      <c r="E874" s="3" t="str">
        <f t="shared" si="54"/>
        <v>2019</v>
      </c>
      <c r="F874" s="2" t="s">
        <v>5422</v>
      </c>
      <c r="G874" t="s">
        <v>6155</v>
      </c>
      <c r="H874" s="2">
        <v>2</v>
      </c>
      <c r="I874" s="2" t="str">
        <f>_xlfn.XLOOKUP(F874,customers!A:A,customers!B:B)</f>
        <v>Claudie Weond</v>
      </c>
      <c r="J874" s="2" t="str">
        <f>_xlfn.XLOOKUP(F874,customers!A:A,customers!C:C)</f>
        <v>cweondo8@theglobeandmail.com</v>
      </c>
      <c r="K874" s="2" t="str">
        <f>_xlfn.XLOOKUP(F874,customers!A:A,customers!F:F)</f>
        <v>Asheville</v>
      </c>
      <c r="L874" s="2" t="str">
        <f>_xlfn.XLOOKUP(F874,customers!A:A,customers!G:G)</f>
        <v>United States</v>
      </c>
      <c r="M874" t="str">
        <f>_xlfn.XLOOKUP(G874,products!A:A,products!B:B)</f>
        <v>Ara</v>
      </c>
      <c r="N874" t="str">
        <f>_xlfn.XLOOKUP(G874,products!A:A,products!C:C)</f>
        <v>M</v>
      </c>
      <c r="O874">
        <f>_xlfn.XLOOKUP(G874,products!A:A,products!D:D)</f>
        <v>1</v>
      </c>
      <c r="P874">
        <f>_xlfn.XLOOKUP(G874,products!A:A,products!E:E)</f>
        <v>11.25</v>
      </c>
      <c r="Q874">
        <f t="shared" si="55"/>
        <v>22.5</v>
      </c>
      <c r="R874" t="str" cm="1">
        <f t="array" ref="R874">_xlfn.IFS(Q874&lt;=50,"low sales",Q874&lt;=100,"medium sales",Q874&gt;100,"High sales")</f>
        <v>low sales</v>
      </c>
    </row>
    <row r="875" spans="1:18" x14ac:dyDescent="0.35">
      <c r="A875" s="2" t="s">
        <v>5427</v>
      </c>
      <c r="B875" s="3">
        <v>43725</v>
      </c>
      <c r="C875" s="3" t="str">
        <f t="shared" si="52"/>
        <v>Tuesday</v>
      </c>
      <c r="D875" s="3" t="str">
        <f t="shared" si="53"/>
        <v>September</v>
      </c>
      <c r="E875" s="3" t="str">
        <f t="shared" si="54"/>
        <v>2019</v>
      </c>
      <c r="F875" s="2" t="s">
        <v>5428</v>
      </c>
      <c r="G875" t="s">
        <v>6174</v>
      </c>
      <c r="H875" s="2">
        <v>4</v>
      </c>
      <c r="I875" s="2" t="str">
        <f>_xlfn.XLOOKUP(F875,customers!A:A,customers!B:B)</f>
        <v>Modesty MacConnechie</v>
      </c>
      <c r="J875" s="2" t="str">
        <f>_xlfn.XLOOKUP(F875,customers!A:A,customers!C:C)</f>
        <v>mmacconnechieo9@reuters.com</v>
      </c>
      <c r="K875" s="2" t="str">
        <f>_xlfn.XLOOKUP(F875,customers!A:A,customers!F:F)</f>
        <v>Charleston</v>
      </c>
      <c r="L875" s="2" t="str">
        <f>_xlfn.XLOOKUP(F875,customers!A:A,customers!G:G)</f>
        <v>United States</v>
      </c>
      <c r="M875" t="str">
        <f>_xlfn.XLOOKUP(G875,products!A:A,products!B:B)</f>
        <v>Rob</v>
      </c>
      <c r="N875" t="str">
        <f>_xlfn.XLOOKUP(G875,products!A:A,products!C:C)</f>
        <v>M</v>
      </c>
      <c r="O875">
        <f>_xlfn.XLOOKUP(G875,products!A:A,products!D:D)</f>
        <v>0.2</v>
      </c>
      <c r="P875">
        <f>_xlfn.XLOOKUP(G875,products!A:A,products!E:E)</f>
        <v>2.9849999999999999</v>
      </c>
      <c r="Q875">
        <f t="shared" si="55"/>
        <v>11.94</v>
      </c>
      <c r="R875" t="str" cm="1">
        <f t="array" ref="R875">_xlfn.IFS(Q875&lt;=50,"low sales",Q875&lt;=100,"medium sales",Q875&gt;100,"High sales")</f>
        <v>low sales</v>
      </c>
    </row>
    <row r="876" spans="1:18" x14ac:dyDescent="0.35">
      <c r="A876" s="2" t="s">
        <v>5433</v>
      </c>
      <c r="B876" s="3">
        <v>43680</v>
      </c>
      <c r="C876" s="3" t="str">
        <f t="shared" si="52"/>
        <v>Saturday</v>
      </c>
      <c r="D876" s="3" t="str">
        <f t="shared" si="53"/>
        <v>August</v>
      </c>
      <c r="E876" s="3" t="str">
        <f t="shared" si="54"/>
        <v>2019</v>
      </c>
      <c r="F876" s="2" t="s">
        <v>5434</v>
      </c>
      <c r="G876" t="s">
        <v>6140</v>
      </c>
      <c r="H876" s="2">
        <v>2</v>
      </c>
      <c r="I876" s="2" t="str">
        <f>_xlfn.XLOOKUP(F876,customers!A:A,customers!B:B)</f>
        <v>Jaquenette Skentelbery</v>
      </c>
      <c r="J876" s="2" t="str">
        <f>_xlfn.XLOOKUP(F876,customers!A:A,customers!C:C)</f>
        <v>jskentelberyoa@paypal.com</v>
      </c>
      <c r="K876" s="2" t="str">
        <f>_xlfn.XLOOKUP(F876,customers!A:A,customers!F:F)</f>
        <v>Houston</v>
      </c>
      <c r="L876" s="2" t="str">
        <f>_xlfn.XLOOKUP(F876,customers!A:A,customers!G:G)</f>
        <v>United States</v>
      </c>
      <c r="M876" t="str">
        <f>_xlfn.XLOOKUP(G876,products!A:A,products!B:B)</f>
        <v>Ara</v>
      </c>
      <c r="N876" t="str">
        <f>_xlfn.XLOOKUP(G876,products!A:A,products!C:C)</f>
        <v>L</v>
      </c>
      <c r="O876">
        <f>_xlfn.XLOOKUP(G876,products!A:A,products!D:D)</f>
        <v>1</v>
      </c>
      <c r="P876">
        <f>_xlfn.XLOOKUP(G876,products!A:A,products!E:E)</f>
        <v>12.95</v>
      </c>
      <c r="Q876">
        <f t="shared" si="55"/>
        <v>25.9</v>
      </c>
      <c r="R876" t="str" cm="1">
        <f t="array" ref="R876">_xlfn.IFS(Q876&lt;=50,"low sales",Q876&lt;=100,"medium sales",Q876&gt;100,"High sales")</f>
        <v>low sales</v>
      </c>
    </row>
    <row r="877" spans="1:18" x14ac:dyDescent="0.35">
      <c r="A877" s="2" t="s">
        <v>5439</v>
      </c>
      <c r="B877" s="3">
        <v>44253</v>
      </c>
      <c r="C877" s="3" t="str">
        <f t="shared" si="52"/>
        <v>Friday</v>
      </c>
      <c r="D877" s="3" t="str">
        <f t="shared" si="53"/>
        <v>February</v>
      </c>
      <c r="E877" s="3" t="str">
        <f t="shared" si="54"/>
        <v>2021</v>
      </c>
      <c r="F877" s="2" t="s">
        <v>5440</v>
      </c>
      <c r="G877" t="s">
        <v>6160</v>
      </c>
      <c r="H877" s="2">
        <v>5</v>
      </c>
      <c r="I877" s="2" t="str">
        <f>_xlfn.XLOOKUP(F877,customers!A:A,customers!B:B)</f>
        <v>Orazio Comber</v>
      </c>
      <c r="J877" s="2" t="str">
        <f>_xlfn.XLOOKUP(F877,customers!A:A,customers!C:C)</f>
        <v>ocomberob@goo.gl</v>
      </c>
      <c r="K877" s="2" t="str">
        <f>_xlfn.XLOOKUP(F877,customers!A:A,customers!F:F)</f>
        <v>Confey</v>
      </c>
      <c r="L877" s="2" t="str">
        <f>_xlfn.XLOOKUP(F877,customers!A:A,customers!G:G)</f>
        <v>Ireland</v>
      </c>
      <c r="M877" t="str">
        <f>_xlfn.XLOOKUP(G877,products!A:A,products!B:B)</f>
        <v>Lib</v>
      </c>
      <c r="N877" t="str">
        <f>_xlfn.XLOOKUP(G877,products!A:A,products!C:C)</f>
        <v>M</v>
      </c>
      <c r="O877">
        <f>_xlfn.XLOOKUP(G877,products!A:A,products!D:D)</f>
        <v>0.5</v>
      </c>
      <c r="P877">
        <f>_xlfn.XLOOKUP(G877,products!A:A,products!E:E)</f>
        <v>8.73</v>
      </c>
      <c r="Q877">
        <f t="shared" si="55"/>
        <v>43.650000000000006</v>
      </c>
      <c r="R877" t="str" cm="1">
        <f t="array" ref="R877">_xlfn.IFS(Q877&lt;=50,"low sales",Q877&lt;=100,"medium sales",Q877&gt;100,"High sales")</f>
        <v>low sales</v>
      </c>
    </row>
    <row r="878" spans="1:18" x14ac:dyDescent="0.35">
      <c r="A878" s="2" t="s">
        <v>5439</v>
      </c>
      <c r="B878" s="3">
        <v>44253</v>
      </c>
      <c r="C878" s="3" t="str">
        <f t="shared" si="52"/>
        <v>Friday</v>
      </c>
      <c r="D878" s="3" t="str">
        <f t="shared" si="53"/>
        <v>February</v>
      </c>
      <c r="E878" s="3" t="str">
        <f t="shared" si="54"/>
        <v>2021</v>
      </c>
      <c r="F878" s="2" t="s">
        <v>5440</v>
      </c>
      <c r="G878" t="s">
        <v>6180</v>
      </c>
      <c r="H878" s="2">
        <v>6</v>
      </c>
      <c r="I878" s="2" t="str">
        <f>_xlfn.XLOOKUP(F878,customers!A:A,customers!B:B)</f>
        <v>Orazio Comber</v>
      </c>
      <c r="J878" s="2" t="str">
        <f>_xlfn.XLOOKUP(F878,customers!A:A,customers!C:C)</f>
        <v>ocomberob@goo.gl</v>
      </c>
      <c r="K878" s="2" t="str">
        <f>_xlfn.XLOOKUP(F878,customers!A:A,customers!F:F)</f>
        <v>Confey</v>
      </c>
      <c r="L878" s="2" t="str">
        <f>_xlfn.XLOOKUP(F878,customers!A:A,customers!G:G)</f>
        <v>Ireland</v>
      </c>
      <c r="M878" t="str">
        <f>_xlfn.XLOOKUP(G878,products!A:A,products!B:B)</f>
        <v>Ara</v>
      </c>
      <c r="N878" t="str">
        <f>_xlfn.XLOOKUP(G878,products!A:A,products!C:C)</f>
        <v>L</v>
      </c>
      <c r="O878">
        <f>_xlfn.XLOOKUP(G878,products!A:A,products!D:D)</f>
        <v>0.5</v>
      </c>
      <c r="P878">
        <f>_xlfn.XLOOKUP(G878,products!A:A,products!E:E)</f>
        <v>7.77</v>
      </c>
      <c r="Q878">
        <f t="shared" si="55"/>
        <v>46.62</v>
      </c>
      <c r="R878" t="str" cm="1">
        <f t="array" ref="R878">_xlfn.IFS(Q878&lt;=50,"low sales",Q878&lt;=100,"medium sales",Q878&gt;100,"High sales")</f>
        <v>low sales</v>
      </c>
    </row>
    <row r="879" spans="1:18" x14ac:dyDescent="0.35">
      <c r="A879" s="2" t="s">
        <v>5450</v>
      </c>
      <c r="B879" s="3">
        <v>44411</v>
      </c>
      <c r="C879" s="3" t="str">
        <f t="shared" si="52"/>
        <v>Tuesday</v>
      </c>
      <c r="D879" s="3" t="str">
        <f t="shared" si="53"/>
        <v>August</v>
      </c>
      <c r="E879" s="3" t="str">
        <f t="shared" si="54"/>
        <v>2021</v>
      </c>
      <c r="F879" s="2" t="s">
        <v>5451</v>
      </c>
      <c r="G879" t="s">
        <v>6161</v>
      </c>
      <c r="H879" s="2">
        <v>3</v>
      </c>
      <c r="I879" s="2" t="str">
        <f>_xlfn.XLOOKUP(F879,customers!A:A,customers!B:B)</f>
        <v>Zachary Tramel</v>
      </c>
      <c r="J879" s="2" t="str">
        <f>_xlfn.XLOOKUP(F879,customers!A:A,customers!C:C)</f>
        <v>ztramelod@netlog.com</v>
      </c>
      <c r="K879" s="2" t="str">
        <f>_xlfn.XLOOKUP(F879,customers!A:A,customers!F:F)</f>
        <v>Newark</v>
      </c>
      <c r="L879" s="2" t="str">
        <f>_xlfn.XLOOKUP(F879,customers!A:A,customers!G:G)</f>
        <v>United States</v>
      </c>
      <c r="M879" t="str">
        <f>_xlfn.XLOOKUP(G879,products!A:A,products!B:B)</f>
        <v>Lib</v>
      </c>
      <c r="N879" t="str">
        <f>_xlfn.XLOOKUP(G879,products!A:A,products!C:C)</f>
        <v>L</v>
      </c>
      <c r="O879">
        <f>_xlfn.XLOOKUP(G879,products!A:A,products!D:D)</f>
        <v>0.5</v>
      </c>
      <c r="P879">
        <f>_xlfn.XLOOKUP(G879,products!A:A,products!E:E)</f>
        <v>9.51</v>
      </c>
      <c r="Q879">
        <f t="shared" si="55"/>
        <v>28.53</v>
      </c>
      <c r="R879" t="str" cm="1">
        <f t="array" ref="R879">_xlfn.IFS(Q879&lt;=50,"low sales",Q879&lt;=100,"medium sales",Q879&gt;100,"High sales")</f>
        <v>low sales</v>
      </c>
    </row>
    <row r="880" spans="1:18" x14ac:dyDescent="0.35">
      <c r="A880" s="2" t="s">
        <v>5456</v>
      </c>
      <c r="B880" s="3">
        <v>44323</v>
      </c>
      <c r="C880" s="3" t="str">
        <f t="shared" si="52"/>
        <v>Friday</v>
      </c>
      <c r="D880" s="3" t="str">
        <f t="shared" si="53"/>
        <v>May</v>
      </c>
      <c r="E880" s="3" t="str">
        <f t="shared" si="54"/>
        <v>2021</v>
      </c>
      <c r="F880" s="2" t="s">
        <v>5457</v>
      </c>
      <c r="G880" t="s">
        <v>6142</v>
      </c>
      <c r="H880" s="2">
        <v>1</v>
      </c>
      <c r="I880" s="2" t="str">
        <f>_xlfn.XLOOKUP(F880,customers!A:A,customers!B:B)</f>
        <v>Izaak Primak</v>
      </c>
      <c r="J880" s="2">
        <f>_xlfn.XLOOKUP(F880,customers!A:A,customers!C:C)</f>
        <v>0</v>
      </c>
      <c r="K880" s="2" t="str">
        <f>_xlfn.XLOOKUP(F880,customers!A:A,customers!F:F)</f>
        <v>Seattle</v>
      </c>
      <c r="L880" s="2" t="str">
        <f>_xlfn.XLOOKUP(F880,customers!A:A,customers!G:G)</f>
        <v>United States</v>
      </c>
      <c r="M880" t="str">
        <f>_xlfn.XLOOKUP(G880,products!A:A,products!B:B)</f>
        <v>Rob</v>
      </c>
      <c r="N880" t="str">
        <f>_xlfn.XLOOKUP(G880,products!A:A,products!C:C)</f>
        <v>L</v>
      </c>
      <c r="O880">
        <f>_xlfn.XLOOKUP(G880,products!A:A,products!D:D)</f>
        <v>2.5</v>
      </c>
      <c r="P880">
        <f>_xlfn.XLOOKUP(G880,products!A:A,products!E:E)</f>
        <v>27.484999999999996</v>
      </c>
      <c r="Q880">
        <f t="shared" si="55"/>
        <v>27.484999999999996</v>
      </c>
      <c r="R880" t="str" cm="1">
        <f t="array" ref="R880">_xlfn.IFS(Q880&lt;=50,"low sales",Q880&lt;=100,"medium sales",Q880&gt;100,"High sales")</f>
        <v>low sales</v>
      </c>
    </row>
    <row r="881" spans="1:18" x14ac:dyDescent="0.35">
      <c r="A881" s="2" t="s">
        <v>5461</v>
      </c>
      <c r="B881" s="3">
        <v>43630</v>
      </c>
      <c r="C881" s="3" t="str">
        <f t="shared" si="52"/>
        <v>Friday</v>
      </c>
      <c r="D881" s="3" t="str">
        <f t="shared" si="53"/>
        <v>June</v>
      </c>
      <c r="E881" s="3" t="str">
        <f t="shared" si="54"/>
        <v>2019</v>
      </c>
      <c r="F881" s="2" t="s">
        <v>5462</v>
      </c>
      <c r="G881" t="s">
        <v>6153</v>
      </c>
      <c r="H881" s="2">
        <v>3</v>
      </c>
      <c r="I881" s="2" t="str">
        <f>_xlfn.XLOOKUP(F881,customers!A:A,customers!B:B)</f>
        <v>Brittani Thoresbie</v>
      </c>
      <c r="J881" s="2">
        <f>_xlfn.XLOOKUP(F881,customers!A:A,customers!C:C)</f>
        <v>0</v>
      </c>
      <c r="K881" s="2" t="str">
        <f>_xlfn.XLOOKUP(F881,customers!A:A,customers!F:F)</f>
        <v>Englewood</v>
      </c>
      <c r="L881" s="2" t="str">
        <f>_xlfn.XLOOKUP(F881,customers!A:A,customers!G:G)</f>
        <v>United States</v>
      </c>
      <c r="M881" t="str">
        <f>_xlfn.XLOOKUP(G881,products!A:A,products!B:B)</f>
        <v>Exc</v>
      </c>
      <c r="N881" t="str">
        <f>_xlfn.XLOOKUP(G881,products!A:A,products!C:C)</f>
        <v>D</v>
      </c>
      <c r="O881">
        <f>_xlfn.XLOOKUP(G881,products!A:A,products!D:D)</f>
        <v>0.2</v>
      </c>
      <c r="P881">
        <f>_xlfn.XLOOKUP(G881,products!A:A,products!E:E)</f>
        <v>3.645</v>
      </c>
      <c r="Q881">
        <f t="shared" si="55"/>
        <v>10.935</v>
      </c>
      <c r="R881" t="str" cm="1">
        <f t="array" ref="R881">_xlfn.IFS(Q881&lt;=50,"low sales",Q881&lt;=100,"medium sales",Q881&gt;100,"High sales")</f>
        <v>low sales</v>
      </c>
    </row>
    <row r="882" spans="1:18" x14ac:dyDescent="0.35">
      <c r="A882" s="2" t="s">
        <v>5466</v>
      </c>
      <c r="B882" s="3">
        <v>43790</v>
      </c>
      <c r="C882" s="3" t="str">
        <f t="shared" si="52"/>
        <v>Thursday</v>
      </c>
      <c r="D882" s="3" t="str">
        <f t="shared" si="53"/>
        <v>November</v>
      </c>
      <c r="E882" s="3" t="str">
        <f t="shared" si="54"/>
        <v>2019</v>
      </c>
      <c r="F882" s="2" t="s">
        <v>5467</v>
      </c>
      <c r="G882" t="s">
        <v>6178</v>
      </c>
      <c r="H882" s="2">
        <v>2</v>
      </c>
      <c r="I882" s="2" t="str">
        <f>_xlfn.XLOOKUP(F882,customers!A:A,customers!B:B)</f>
        <v>Constanta Hatfull</v>
      </c>
      <c r="J882" s="2" t="str">
        <f>_xlfn.XLOOKUP(F882,customers!A:A,customers!C:C)</f>
        <v>chatfullog@ebay.com</v>
      </c>
      <c r="K882" s="2" t="str">
        <f>_xlfn.XLOOKUP(F882,customers!A:A,customers!F:F)</f>
        <v>Rockford</v>
      </c>
      <c r="L882" s="2" t="str">
        <f>_xlfn.XLOOKUP(F882,customers!A:A,customers!G:G)</f>
        <v>United States</v>
      </c>
      <c r="M882" t="str">
        <f>_xlfn.XLOOKUP(G882,products!A:A,products!B:B)</f>
        <v>Rob</v>
      </c>
      <c r="N882" t="str">
        <f>_xlfn.XLOOKUP(G882,products!A:A,products!C:C)</f>
        <v>L</v>
      </c>
      <c r="O882">
        <f>_xlfn.XLOOKUP(G882,products!A:A,products!D:D)</f>
        <v>0.2</v>
      </c>
      <c r="P882">
        <f>_xlfn.XLOOKUP(G882,products!A:A,products!E:E)</f>
        <v>3.5849999999999995</v>
      </c>
      <c r="Q882">
        <f t="shared" si="55"/>
        <v>7.169999999999999</v>
      </c>
      <c r="R882" t="str" cm="1">
        <f t="array" ref="R882">_xlfn.IFS(Q882&lt;=50,"low sales",Q882&lt;=100,"medium sales",Q882&gt;100,"High sales")</f>
        <v>low sales</v>
      </c>
    </row>
    <row r="883" spans="1:18" x14ac:dyDescent="0.35">
      <c r="A883" s="2" t="s">
        <v>5472</v>
      </c>
      <c r="B883" s="3">
        <v>44286</v>
      </c>
      <c r="C883" s="3" t="str">
        <f t="shared" si="52"/>
        <v>Wednesday</v>
      </c>
      <c r="D883" s="3" t="str">
        <f t="shared" si="53"/>
        <v>March</v>
      </c>
      <c r="E883" s="3" t="str">
        <f t="shared" si="54"/>
        <v>2021</v>
      </c>
      <c r="F883" s="2" t="s">
        <v>5473</v>
      </c>
      <c r="G883" t="s">
        <v>6167</v>
      </c>
      <c r="H883" s="2">
        <v>6</v>
      </c>
      <c r="I883" s="2" t="str">
        <f>_xlfn.XLOOKUP(F883,customers!A:A,customers!B:B)</f>
        <v>Bobbe Castagneto</v>
      </c>
      <c r="J883" s="2">
        <f>_xlfn.XLOOKUP(F883,customers!A:A,customers!C:C)</f>
        <v>0</v>
      </c>
      <c r="K883" s="2" t="str">
        <f>_xlfn.XLOOKUP(F883,customers!A:A,customers!F:F)</f>
        <v>Billings</v>
      </c>
      <c r="L883" s="2" t="str">
        <f>_xlfn.XLOOKUP(F883,customers!A:A,customers!G:G)</f>
        <v>United States</v>
      </c>
      <c r="M883" t="str">
        <f>_xlfn.XLOOKUP(G883,products!A:A,products!B:B)</f>
        <v>Ara</v>
      </c>
      <c r="N883" t="str">
        <f>_xlfn.XLOOKUP(G883,products!A:A,products!C:C)</f>
        <v>L</v>
      </c>
      <c r="O883">
        <f>_xlfn.XLOOKUP(G883,products!A:A,products!D:D)</f>
        <v>0.2</v>
      </c>
      <c r="P883">
        <f>_xlfn.XLOOKUP(G883,products!A:A,products!E:E)</f>
        <v>3.8849999999999998</v>
      </c>
      <c r="Q883">
        <f t="shared" si="55"/>
        <v>23.31</v>
      </c>
      <c r="R883" t="str" cm="1">
        <f t="array" ref="R883">_xlfn.IFS(Q883&lt;=50,"low sales",Q883&lt;=100,"medium sales",Q883&gt;100,"High sales")</f>
        <v>low sales</v>
      </c>
    </row>
    <row r="884" spans="1:18" x14ac:dyDescent="0.35">
      <c r="A884" s="2" t="s">
        <v>5477</v>
      </c>
      <c r="B884" s="3">
        <v>43647</v>
      </c>
      <c r="C884" s="3" t="str">
        <f t="shared" si="52"/>
        <v>Monday</v>
      </c>
      <c r="D884" s="3" t="str">
        <f t="shared" si="53"/>
        <v>July</v>
      </c>
      <c r="E884" s="3" t="str">
        <f t="shared" si="54"/>
        <v>2019</v>
      </c>
      <c r="F884" s="2" t="s">
        <v>5526</v>
      </c>
      <c r="G884" t="s">
        <v>6168</v>
      </c>
      <c r="H884" s="2">
        <v>5</v>
      </c>
      <c r="I884" s="2" t="str">
        <f>_xlfn.XLOOKUP(F884,customers!A:A,customers!B:B)</f>
        <v>Kippie Marrison</v>
      </c>
      <c r="J884" s="2" t="str">
        <f>_xlfn.XLOOKUP(F884,customers!A:A,customers!C:C)</f>
        <v>kmarrisonoq@dropbox.com</v>
      </c>
      <c r="K884" s="2" t="str">
        <f>_xlfn.XLOOKUP(F884,customers!A:A,customers!F:F)</f>
        <v>Denver</v>
      </c>
      <c r="L884" s="2" t="str">
        <f>_xlfn.XLOOKUP(F884,customers!A:A,customers!G:G)</f>
        <v>United States</v>
      </c>
      <c r="M884" t="str">
        <f>_xlfn.XLOOKUP(G884,products!A:A,products!B:B)</f>
        <v>Ara</v>
      </c>
      <c r="N884" t="str">
        <f>_xlfn.XLOOKUP(G884,products!A:A,products!C:C)</f>
        <v>D</v>
      </c>
      <c r="O884">
        <f>_xlfn.XLOOKUP(G884,products!A:A,products!D:D)</f>
        <v>2.5</v>
      </c>
      <c r="P884">
        <f>_xlfn.XLOOKUP(G884,products!A:A,products!E:E)</f>
        <v>22.884999999999998</v>
      </c>
      <c r="Q884">
        <f t="shared" si="55"/>
        <v>114.42499999999998</v>
      </c>
      <c r="R884" t="str" cm="1">
        <f t="array" ref="R884">_xlfn.IFS(Q884&lt;=50,"low sales",Q884&lt;=100,"medium sales",Q884&gt;100,"High sales")</f>
        <v>High sales</v>
      </c>
    </row>
    <row r="885" spans="1:18" x14ac:dyDescent="0.35">
      <c r="A885" s="2" t="s">
        <v>5483</v>
      </c>
      <c r="B885" s="3">
        <v>43956</v>
      </c>
      <c r="C885" s="3" t="str">
        <f t="shared" si="52"/>
        <v>Tuesday</v>
      </c>
      <c r="D885" s="3" t="str">
        <f t="shared" si="53"/>
        <v>May</v>
      </c>
      <c r="E885" s="3" t="str">
        <f t="shared" si="54"/>
        <v>2020</v>
      </c>
      <c r="F885" s="2" t="s">
        <v>5484</v>
      </c>
      <c r="G885" t="s">
        <v>6175</v>
      </c>
      <c r="H885" s="2">
        <v>3</v>
      </c>
      <c r="I885" s="2" t="str">
        <f>_xlfn.XLOOKUP(F885,customers!A:A,customers!B:B)</f>
        <v>Lindon Agnolo</v>
      </c>
      <c r="J885" s="2" t="str">
        <f>_xlfn.XLOOKUP(F885,customers!A:A,customers!C:C)</f>
        <v>lagnolooj@pinterest.com</v>
      </c>
      <c r="K885" s="2" t="str">
        <f>_xlfn.XLOOKUP(F885,customers!A:A,customers!F:F)</f>
        <v>Tulsa</v>
      </c>
      <c r="L885" s="2" t="str">
        <f>_xlfn.XLOOKUP(F885,customers!A:A,customers!G:G)</f>
        <v>United States</v>
      </c>
      <c r="M885" t="str">
        <f>_xlfn.XLOOKUP(G885,products!A:A,products!B:B)</f>
        <v>Ara</v>
      </c>
      <c r="N885" t="str">
        <f>_xlfn.XLOOKUP(G885,products!A:A,products!C:C)</f>
        <v>M</v>
      </c>
      <c r="O885">
        <f>_xlfn.XLOOKUP(G885,products!A:A,products!D:D)</f>
        <v>2.5</v>
      </c>
      <c r="P885">
        <f>_xlfn.XLOOKUP(G885,products!A:A,products!E:E)</f>
        <v>25.874999999999996</v>
      </c>
      <c r="Q885">
        <f t="shared" si="55"/>
        <v>77.624999999999986</v>
      </c>
      <c r="R885" t="str" cm="1">
        <f t="array" ref="R885">_xlfn.IFS(Q885&lt;=50,"low sales",Q885&lt;=100,"medium sales",Q885&gt;100,"High sales")</f>
        <v>medium sales</v>
      </c>
    </row>
    <row r="886" spans="1:18" x14ac:dyDescent="0.35">
      <c r="A886" s="2" t="s">
        <v>5489</v>
      </c>
      <c r="B886" s="3">
        <v>43941</v>
      </c>
      <c r="C886" s="3" t="str">
        <f t="shared" si="52"/>
        <v>Monday</v>
      </c>
      <c r="D886" s="3" t="str">
        <f t="shared" si="53"/>
        <v>April</v>
      </c>
      <c r="E886" s="3" t="str">
        <f t="shared" si="54"/>
        <v>2020</v>
      </c>
      <c r="F886" s="2" t="s">
        <v>5490</v>
      </c>
      <c r="G886" t="s">
        <v>6172</v>
      </c>
      <c r="H886" s="2">
        <v>1</v>
      </c>
      <c r="I886" s="2" t="str">
        <f>_xlfn.XLOOKUP(F886,customers!A:A,customers!B:B)</f>
        <v>Delainey Kiddy</v>
      </c>
      <c r="J886" s="2" t="str">
        <f>_xlfn.XLOOKUP(F886,customers!A:A,customers!C:C)</f>
        <v>dkiddyok@fda.gov</v>
      </c>
      <c r="K886" s="2" t="str">
        <f>_xlfn.XLOOKUP(F886,customers!A:A,customers!F:F)</f>
        <v>Fresno</v>
      </c>
      <c r="L886" s="2" t="str">
        <f>_xlfn.XLOOKUP(F886,customers!A:A,customers!G:G)</f>
        <v>United States</v>
      </c>
      <c r="M886" t="str">
        <f>_xlfn.XLOOKUP(G886,products!A:A,products!B:B)</f>
        <v>Rob</v>
      </c>
      <c r="N886" t="str">
        <f>_xlfn.XLOOKUP(G886,products!A:A,products!C:C)</f>
        <v>D</v>
      </c>
      <c r="O886">
        <f>_xlfn.XLOOKUP(G886,products!A:A,products!D:D)</f>
        <v>0.5</v>
      </c>
      <c r="P886">
        <f>_xlfn.XLOOKUP(G886,products!A:A,products!E:E)</f>
        <v>5.3699999999999992</v>
      </c>
      <c r="Q886">
        <f t="shared" si="55"/>
        <v>5.3699999999999992</v>
      </c>
      <c r="R886" t="str" cm="1">
        <f t="array" ref="R886">_xlfn.IFS(Q886&lt;=50,"low sales",Q886&lt;=100,"medium sales",Q886&gt;100,"High sales")</f>
        <v>low sales</v>
      </c>
    </row>
    <row r="887" spans="1:18" x14ac:dyDescent="0.35">
      <c r="A887" s="2" t="s">
        <v>5495</v>
      </c>
      <c r="B887" s="3">
        <v>43664</v>
      </c>
      <c r="C887" s="3" t="str">
        <f t="shared" si="52"/>
        <v>Thursday</v>
      </c>
      <c r="D887" s="3" t="str">
        <f t="shared" si="53"/>
        <v>July</v>
      </c>
      <c r="E887" s="3" t="str">
        <f t="shared" si="54"/>
        <v>2019</v>
      </c>
      <c r="F887" s="2" t="s">
        <v>5496</v>
      </c>
      <c r="G887" t="s">
        <v>6149</v>
      </c>
      <c r="H887" s="2">
        <v>6</v>
      </c>
      <c r="I887" s="2" t="str">
        <f>_xlfn.XLOOKUP(F887,customers!A:A,customers!B:B)</f>
        <v>Helli Petroulis</v>
      </c>
      <c r="J887" s="2" t="str">
        <f>_xlfn.XLOOKUP(F887,customers!A:A,customers!C:C)</f>
        <v>hpetroulisol@state.tx.us</v>
      </c>
      <c r="K887" s="2" t="str">
        <f>_xlfn.XLOOKUP(F887,customers!A:A,customers!F:F)</f>
        <v>Mullagh</v>
      </c>
      <c r="L887" s="2" t="str">
        <f>_xlfn.XLOOKUP(F887,customers!A:A,customers!G:G)</f>
        <v>Ireland</v>
      </c>
      <c r="M887" t="str">
        <f>_xlfn.XLOOKUP(G887,products!A:A,products!B:B)</f>
        <v>Rob</v>
      </c>
      <c r="N887" t="str">
        <f>_xlfn.XLOOKUP(G887,products!A:A,products!C:C)</f>
        <v>D</v>
      </c>
      <c r="O887">
        <f>_xlfn.XLOOKUP(G887,products!A:A,products!D:D)</f>
        <v>2.5</v>
      </c>
      <c r="P887">
        <f>_xlfn.XLOOKUP(G887,products!A:A,products!E:E)</f>
        <v>20.584999999999997</v>
      </c>
      <c r="Q887">
        <f t="shared" si="55"/>
        <v>123.50999999999999</v>
      </c>
      <c r="R887" t="str" cm="1">
        <f t="array" ref="R887">_xlfn.IFS(Q887&lt;=50,"low sales",Q887&lt;=100,"medium sales",Q887&gt;100,"High sales")</f>
        <v>High sales</v>
      </c>
    </row>
    <row r="888" spans="1:18" x14ac:dyDescent="0.35">
      <c r="A888" s="2" t="s">
        <v>5501</v>
      </c>
      <c r="B888" s="3">
        <v>44518</v>
      </c>
      <c r="C888" s="3" t="str">
        <f t="shared" si="52"/>
        <v>Thursday</v>
      </c>
      <c r="D888" s="3" t="str">
        <f t="shared" si="53"/>
        <v>November</v>
      </c>
      <c r="E888" s="3" t="str">
        <f t="shared" si="54"/>
        <v>2021</v>
      </c>
      <c r="F888" s="2" t="s">
        <v>5502</v>
      </c>
      <c r="G888" t="s">
        <v>6160</v>
      </c>
      <c r="H888" s="2">
        <v>2</v>
      </c>
      <c r="I888" s="2" t="str">
        <f>_xlfn.XLOOKUP(F888,customers!A:A,customers!B:B)</f>
        <v>Marty Scholl</v>
      </c>
      <c r="J888" s="2" t="str">
        <f>_xlfn.XLOOKUP(F888,customers!A:A,customers!C:C)</f>
        <v>mschollom@taobao.com</v>
      </c>
      <c r="K888" s="2" t="str">
        <f>_xlfn.XLOOKUP(F888,customers!A:A,customers!F:F)</f>
        <v>San Francisco</v>
      </c>
      <c r="L888" s="2" t="str">
        <f>_xlfn.XLOOKUP(F888,customers!A:A,customers!G:G)</f>
        <v>United States</v>
      </c>
      <c r="M888" t="str">
        <f>_xlfn.XLOOKUP(G888,products!A:A,products!B:B)</f>
        <v>Lib</v>
      </c>
      <c r="N888" t="str">
        <f>_xlfn.XLOOKUP(G888,products!A:A,products!C:C)</f>
        <v>M</v>
      </c>
      <c r="O888">
        <f>_xlfn.XLOOKUP(G888,products!A:A,products!D:D)</f>
        <v>0.5</v>
      </c>
      <c r="P888">
        <f>_xlfn.XLOOKUP(G888,products!A:A,products!E:E)</f>
        <v>8.73</v>
      </c>
      <c r="Q888">
        <f t="shared" si="55"/>
        <v>17.46</v>
      </c>
      <c r="R888" t="str" cm="1">
        <f t="array" ref="R888">_xlfn.IFS(Q888&lt;=50,"low sales",Q888&lt;=100,"medium sales",Q888&gt;100,"High sales")</f>
        <v>low sales</v>
      </c>
    </row>
    <row r="889" spans="1:18" x14ac:dyDescent="0.35">
      <c r="A889" s="2" t="s">
        <v>5507</v>
      </c>
      <c r="B889" s="3">
        <v>44002</v>
      </c>
      <c r="C889" s="3" t="str">
        <f t="shared" si="52"/>
        <v>Saturday</v>
      </c>
      <c r="D889" s="3" t="str">
        <f t="shared" si="53"/>
        <v>June</v>
      </c>
      <c r="E889" s="3" t="str">
        <f t="shared" si="54"/>
        <v>2020</v>
      </c>
      <c r="F889" s="2" t="s">
        <v>5508</v>
      </c>
      <c r="G889" t="s">
        <v>6184</v>
      </c>
      <c r="H889" s="2">
        <v>3</v>
      </c>
      <c r="I889" s="2" t="str">
        <f>_xlfn.XLOOKUP(F889,customers!A:A,customers!B:B)</f>
        <v>Kienan Ferson</v>
      </c>
      <c r="J889" s="2" t="str">
        <f>_xlfn.XLOOKUP(F889,customers!A:A,customers!C:C)</f>
        <v>kfersonon@g.co</v>
      </c>
      <c r="K889" s="2" t="str">
        <f>_xlfn.XLOOKUP(F889,customers!A:A,customers!F:F)</f>
        <v>Mobile</v>
      </c>
      <c r="L889" s="2" t="str">
        <f>_xlfn.XLOOKUP(F889,customers!A:A,customers!G:G)</f>
        <v>United States</v>
      </c>
      <c r="M889" t="str">
        <f>_xlfn.XLOOKUP(G889,products!A:A,products!B:B)</f>
        <v>Exc</v>
      </c>
      <c r="N889" t="str">
        <f>_xlfn.XLOOKUP(G889,products!A:A,products!C:C)</f>
        <v>L</v>
      </c>
      <c r="O889">
        <f>_xlfn.XLOOKUP(G889,products!A:A,products!D:D)</f>
        <v>0.2</v>
      </c>
      <c r="P889">
        <f>_xlfn.XLOOKUP(G889,products!A:A,products!E:E)</f>
        <v>4.4550000000000001</v>
      </c>
      <c r="Q889">
        <f t="shared" si="55"/>
        <v>13.365</v>
      </c>
      <c r="R889" t="str" cm="1">
        <f t="array" ref="R889">_xlfn.IFS(Q889&lt;=50,"low sales",Q889&lt;=100,"medium sales",Q889&gt;100,"High sales")</f>
        <v>low sales</v>
      </c>
    </row>
    <row r="890" spans="1:18" x14ac:dyDescent="0.35">
      <c r="A890" s="2" t="s">
        <v>5513</v>
      </c>
      <c r="B890" s="3">
        <v>44292</v>
      </c>
      <c r="C890" s="3" t="str">
        <f t="shared" si="52"/>
        <v>Tuesday</v>
      </c>
      <c r="D890" s="3" t="str">
        <f t="shared" si="53"/>
        <v>April</v>
      </c>
      <c r="E890" s="3" t="str">
        <f t="shared" si="54"/>
        <v>2021</v>
      </c>
      <c r="F890" s="2" t="s">
        <v>5514</v>
      </c>
      <c r="G890" t="s">
        <v>6167</v>
      </c>
      <c r="H890" s="2">
        <v>2</v>
      </c>
      <c r="I890" s="2" t="str">
        <f>_xlfn.XLOOKUP(F890,customers!A:A,customers!B:B)</f>
        <v>Blake Kelloway</v>
      </c>
      <c r="J890" s="2" t="str">
        <f>_xlfn.XLOOKUP(F890,customers!A:A,customers!C:C)</f>
        <v>bkellowayoo@omniture.com</v>
      </c>
      <c r="K890" s="2" t="str">
        <f>_xlfn.XLOOKUP(F890,customers!A:A,customers!F:F)</f>
        <v>San Francisco</v>
      </c>
      <c r="L890" s="2" t="str">
        <f>_xlfn.XLOOKUP(F890,customers!A:A,customers!G:G)</f>
        <v>United States</v>
      </c>
      <c r="M890" t="str">
        <f>_xlfn.XLOOKUP(G890,products!A:A,products!B:B)</f>
        <v>Ara</v>
      </c>
      <c r="N890" t="str">
        <f>_xlfn.XLOOKUP(G890,products!A:A,products!C:C)</f>
        <v>L</v>
      </c>
      <c r="O890">
        <f>_xlfn.XLOOKUP(G890,products!A:A,products!D:D)</f>
        <v>0.2</v>
      </c>
      <c r="P890">
        <f>_xlfn.XLOOKUP(G890,products!A:A,products!E:E)</f>
        <v>3.8849999999999998</v>
      </c>
      <c r="Q890">
        <f t="shared" si="55"/>
        <v>7.77</v>
      </c>
      <c r="R890" t="str" cm="1">
        <f t="array" ref="R890">_xlfn.IFS(Q890&lt;=50,"low sales",Q890&lt;=100,"medium sales",Q890&gt;100,"High sales")</f>
        <v>low sales</v>
      </c>
    </row>
    <row r="891" spans="1:18" x14ac:dyDescent="0.35">
      <c r="A891" s="2" t="s">
        <v>5519</v>
      </c>
      <c r="B891" s="3">
        <v>43633</v>
      </c>
      <c r="C891" s="3" t="str">
        <f t="shared" si="52"/>
        <v>Monday</v>
      </c>
      <c r="D891" s="3" t="str">
        <f t="shared" si="53"/>
        <v>June</v>
      </c>
      <c r="E891" s="3" t="str">
        <f t="shared" si="54"/>
        <v>2019</v>
      </c>
      <c r="F891" s="2" t="s">
        <v>5520</v>
      </c>
      <c r="G891" t="s">
        <v>6163</v>
      </c>
      <c r="H891" s="2">
        <v>1</v>
      </c>
      <c r="I891" s="2" t="str">
        <f>_xlfn.XLOOKUP(F891,customers!A:A,customers!B:B)</f>
        <v>Scarlett Oliffe</v>
      </c>
      <c r="J891" s="2" t="str">
        <f>_xlfn.XLOOKUP(F891,customers!A:A,customers!C:C)</f>
        <v>soliffeop@yellowbook.com</v>
      </c>
      <c r="K891" s="2" t="str">
        <f>_xlfn.XLOOKUP(F891,customers!A:A,customers!F:F)</f>
        <v>Jamaica</v>
      </c>
      <c r="L891" s="2" t="str">
        <f>_xlfn.XLOOKUP(F891,customers!A:A,customers!G:G)</f>
        <v>United States</v>
      </c>
      <c r="M891" t="str">
        <f>_xlfn.XLOOKUP(G891,products!A:A,products!B:B)</f>
        <v>Rob</v>
      </c>
      <c r="N891" t="str">
        <f>_xlfn.XLOOKUP(G891,products!A:A,products!C:C)</f>
        <v>D</v>
      </c>
      <c r="O891">
        <f>_xlfn.XLOOKUP(G891,products!A:A,products!D:D)</f>
        <v>0.2</v>
      </c>
      <c r="P891">
        <f>_xlfn.XLOOKUP(G891,products!A:A,products!E:E)</f>
        <v>2.6849999999999996</v>
      </c>
      <c r="Q891">
        <f t="shared" si="55"/>
        <v>2.6849999999999996</v>
      </c>
      <c r="R891" t="str" cm="1">
        <f t="array" ref="R891">_xlfn.IFS(Q891&lt;=50,"low sales",Q891&lt;=100,"medium sales",Q891&gt;100,"High sales")</f>
        <v>low sales</v>
      </c>
    </row>
    <row r="892" spans="1:18" x14ac:dyDescent="0.35">
      <c r="A892" s="2" t="s">
        <v>5525</v>
      </c>
      <c r="B892" s="3">
        <v>44646</v>
      </c>
      <c r="C892" s="3" t="str">
        <f t="shared" si="52"/>
        <v>Saturday</v>
      </c>
      <c r="D892" s="3" t="str">
        <f t="shared" si="53"/>
        <v>March</v>
      </c>
      <c r="E892" s="3" t="str">
        <f t="shared" si="54"/>
        <v>2022</v>
      </c>
      <c r="F892" s="2" t="s">
        <v>5526</v>
      </c>
      <c r="G892" t="s">
        <v>6149</v>
      </c>
      <c r="H892" s="2">
        <v>1</v>
      </c>
      <c r="I892" s="2" t="str">
        <f>_xlfn.XLOOKUP(F892,customers!A:A,customers!B:B)</f>
        <v>Kippie Marrison</v>
      </c>
      <c r="J892" s="2" t="str">
        <f>_xlfn.XLOOKUP(F892,customers!A:A,customers!C:C)</f>
        <v>kmarrisonoq@dropbox.com</v>
      </c>
      <c r="K892" s="2" t="str">
        <f>_xlfn.XLOOKUP(F892,customers!A:A,customers!F:F)</f>
        <v>Denver</v>
      </c>
      <c r="L892" s="2" t="str">
        <f>_xlfn.XLOOKUP(F892,customers!A:A,customers!G:G)</f>
        <v>United States</v>
      </c>
      <c r="M892" t="str">
        <f>_xlfn.XLOOKUP(G892,products!A:A,products!B:B)</f>
        <v>Rob</v>
      </c>
      <c r="N892" t="str">
        <f>_xlfn.XLOOKUP(G892,products!A:A,products!C:C)</f>
        <v>D</v>
      </c>
      <c r="O892">
        <f>_xlfn.XLOOKUP(G892,products!A:A,products!D:D)</f>
        <v>2.5</v>
      </c>
      <c r="P892">
        <f>_xlfn.XLOOKUP(G892,products!A:A,products!E:E)</f>
        <v>20.584999999999997</v>
      </c>
      <c r="Q892">
        <f t="shared" si="55"/>
        <v>20.584999999999997</v>
      </c>
      <c r="R892" t="str" cm="1">
        <f t="array" ref="R892">_xlfn.IFS(Q892&lt;=50,"low sales",Q892&lt;=100,"medium sales",Q892&gt;100,"High sales")</f>
        <v>low sales</v>
      </c>
    </row>
    <row r="893" spans="1:18" x14ac:dyDescent="0.35">
      <c r="A893" s="2" t="s">
        <v>5531</v>
      </c>
      <c r="B893" s="3">
        <v>44469</v>
      </c>
      <c r="C893" s="3" t="str">
        <f t="shared" si="52"/>
        <v>Thursday</v>
      </c>
      <c r="D893" s="3" t="str">
        <f t="shared" si="53"/>
        <v>September</v>
      </c>
      <c r="E893" s="3" t="str">
        <f t="shared" si="54"/>
        <v>2021</v>
      </c>
      <c r="F893" s="2" t="s">
        <v>5532</v>
      </c>
      <c r="G893" t="s">
        <v>6168</v>
      </c>
      <c r="H893" s="2">
        <v>5</v>
      </c>
      <c r="I893" s="2" t="str">
        <f>_xlfn.XLOOKUP(F893,customers!A:A,customers!B:B)</f>
        <v>Celestia Dolohunty</v>
      </c>
      <c r="J893" s="2" t="str">
        <f>_xlfn.XLOOKUP(F893,customers!A:A,customers!C:C)</f>
        <v>cdolohuntyor@dailymail.co.uk</v>
      </c>
      <c r="K893" s="2" t="str">
        <f>_xlfn.XLOOKUP(F893,customers!A:A,customers!F:F)</f>
        <v>San Diego</v>
      </c>
      <c r="L893" s="2" t="str">
        <f>_xlfn.XLOOKUP(F893,customers!A:A,customers!G:G)</f>
        <v>United States</v>
      </c>
      <c r="M893" t="str">
        <f>_xlfn.XLOOKUP(G893,products!A:A,products!B:B)</f>
        <v>Ara</v>
      </c>
      <c r="N893" t="str">
        <f>_xlfn.XLOOKUP(G893,products!A:A,products!C:C)</f>
        <v>D</v>
      </c>
      <c r="O893">
        <f>_xlfn.XLOOKUP(G893,products!A:A,products!D:D)</f>
        <v>2.5</v>
      </c>
      <c r="P893">
        <f>_xlfn.XLOOKUP(G893,products!A:A,products!E:E)</f>
        <v>22.884999999999998</v>
      </c>
      <c r="Q893">
        <f t="shared" si="55"/>
        <v>114.42499999999998</v>
      </c>
      <c r="R893" t="str" cm="1">
        <f t="array" ref="R893">_xlfn.IFS(Q893&lt;=50,"low sales",Q893&lt;=100,"medium sales",Q893&gt;100,"High sales")</f>
        <v>High sales</v>
      </c>
    </row>
    <row r="894" spans="1:18" x14ac:dyDescent="0.35">
      <c r="A894" s="2" t="s">
        <v>5537</v>
      </c>
      <c r="B894" s="3">
        <v>43635</v>
      </c>
      <c r="C894" s="3" t="str">
        <f t="shared" si="52"/>
        <v>Wednesday</v>
      </c>
      <c r="D894" s="3" t="str">
        <f t="shared" si="53"/>
        <v>June</v>
      </c>
      <c r="E894" s="3" t="str">
        <f t="shared" si="54"/>
        <v>2019</v>
      </c>
      <c r="F894" s="2" t="s">
        <v>5538</v>
      </c>
      <c r="G894" t="s">
        <v>6156</v>
      </c>
      <c r="H894" s="2">
        <v>5</v>
      </c>
      <c r="I894" s="2" t="str">
        <f>_xlfn.XLOOKUP(F894,customers!A:A,customers!B:B)</f>
        <v>Patsy Vasilenko</v>
      </c>
      <c r="J894" s="2" t="str">
        <f>_xlfn.XLOOKUP(F894,customers!A:A,customers!C:C)</f>
        <v>pvasilenkoos@addtoany.com</v>
      </c>
      <c r="K894" s="2" t="str">
        <f>_xlfn.XLOOKUP(F894,customers!A:A,customers!F:F)</f>
        <v>Preston</v>
      </c>
      <c r="L894" s="2" t="str">
        <f>_xlfn.XLOOKUP(F894,customers!A:A,customers!G:G)</f>
        <v>United Kingdom</v>
      </c>
      <c r="M894" t="str">
        <f>_xlfn.XLOOKUP(G894,products!A:A,products!B:B)</f>
        <v>Exc</v>
      </c>
      <c r="N894" t="str">
        <f>_xlfn.XLOOKUP(G894,products!A:A,products!C:C)</f>
        <v>M</v>
      </c>
      <c r="O894">
        <f>_xlfn.XLOOKUP(G894,products!A:A,products!D:D)</f>
        <v>0.2</v>
      </c>
      <c r="P894">
        <f>_xlfn.XLOOKUP(G894,products!A:A,products!E:E)</f>
        <v>4.125</v>
      </c>
      <c r="Q894">
        <f t="shared" si="55"/>
        <v>20.625</v>
      </c>
      <c r="R894" t="str" cm="1">
        <f t="array" ref="R894">_xlfn.IFS(Q894&lt;=50,"low sales",Q894&lt;=100,"medium sales",Q894&gt;100,"High sales")</f>
        <v>low sales</v>
      </c>
    </row>
    <row r="895" spans="1:18" x14ac:dyDescent="0.35">
      <c r="A895" s="2" t="s">
        <v>5543</v>
      </c>
      <c r="B895" s="3">
        <v>44651</v>
      </c>
      <c r="C895" s="3" t="str">
        <f t="shared" si="52"/>
        <v>Thursday</v>
      </c>
      <c r="D895" s="3" t="str">
        <f t="shared" si="53"/>
        <v>March</v>
      </c>
      <c r="E895" s="3" t="str">
        <f t="shared" si="54"/>
        <v>2022</v>
      </c>
      <c r="F895" s="2" t="s">
        <v>5544</v>
      </c>
      <c r="G895" t="s">
        <v>6161</v>
      </c>
      <c r="H895" s="2">
        <v>6</v>
      </c>
      <c r="I895" s="2" t="str">
        <f>_xlfn.XLOOKUP(F895,customers!A:A,customers!B:B)</f>
        <v>Raphaela Schankelborg</v>
      </c>
      <c r="J895" s="2" t="str">
        <f>_xlfn.XLOOKUP(F895,customers!A:A,customers!C:C)</f>
        <v>rschankelborgot@ameblo.jp</v>
      </c>
      <c r="K895" s="2" t="str">
        <f>_xlfn.XLOOKUP(F895,customers!A:A,customers!F:F)</f>
        <v>Pittsburgh</v>
      </c>
      <c r="L895" s="2" t="str">
        <f>_xlfn.XLOOKUP(F895,customers!A:A,customers!G:G)</f>
        <v>United States</v>
      </c>
      <c r="M895" t="str">
        <f>_xlfn.XLOOKUP(G895,products!A:A,products!B:B)</f>
        <v>Lib</v>
      </c>
      <c r="N895" t="str">
        <f>_xlfn.XLOOKUP(G895,products!A:A,products!C:C)</f>
        <v>L</v>
      </c>
      <c r="O895">
        <f>_xlfn.XLOOKUP(G895,products!A:A,products!D:D)</f>
        <v>0.5</v>
      </c>
      <c r="P895">
        <f>_xlfn.XLOOKUP(G895,products!A:A,products!E:E)</f>
        <v>9.51</v>
      </c>
      <c r="Q895">
        <f t="shared" si="55"/>
        <v>57.06</v>
      </c>
      <c r="R895" t="str" cm="1">
        <f t="array" ref="R895">_xlfn.IFS(Q895&lt;=50,"low sales",Q895&lt;=100,"medium sales",Q895&gt;100,"High sales")</f>
        <v>medium sales</v>
      </c>
    </row>
    <row r="896" spans="1:18" x14ac:dyDescent="0.35">
      <c r="A896" s="2" t="s">
        <v>5548</v>
      </c>
      <c r="B896" s="3">
        <v>44016</v>
      </c>
      <c r="C896" s="3" t="str">
        <f t="shared" si="52"/>
        <v>Saturday</v>
      </c>
      <c r="D896" s="3" t="str">
        <f t="shared" si="53"/>
        <v>July</v>
      </c>
      <c r="E896" s="3" t="str">
        <f t="shared" si="54"/>
        <v>2020</v>
      </c>
      <c r="F896" s="2" t="s">
        <v>5549</v>
      </c>
      <c r="G896" t="s">
        <v>6149</v>
      </c>
      <c r="H896" s="2">
        <v>4</v>
      </c>
      <c r="I896" s="2" t="str">
        <f>_xlfn.XLOOKUP(F896,customers!A:A,customers!B:B)</f>
        <v>Sharity Wickens</v>
      </c>
      <c r="J896" s="2">
        <f>_xlfn.XLOOKUP(F896,customers!A:A,customers!C:C)</f>
        <v>0</v>
      </c>
      <c r="K896" s="2" t="str">
        <f>_xlfn.XLOOKUP(F896,customers!A:A,customers!F:F)</f>
        <v>Cavan</v>
      </c>
      <c r="L896" s="2" t="str">
        <f>_xlfn.XLOOKUP(F896,customers!A:A,customers!G:G)</f>
        <v>Ireland</v>
      </c>
      <c r="M896" t="str">
        <f>_xlfn.XLOOKUP(G896,products!A:A,products!B:B)</f>
        <v>Rob</v>
      </c>
      <c r="N896" t="str">
        <f>_xlfn.XLOOKUP(G896,products!A:A,products!C:C)</f>
        <v>D</v>
      </c>
      <c r="O896">
        <f>_xlfn.XLOOKUP(G896,products!A:A,products!D:D)</f>
        <v>2.5</v>
      </c>
      <c r="P896">
        <f>_xlfn.XLOOKUP(G896,products!A:A,products!E:E)</f>
        <v>20.584999999999997</v>
      </c>
      <c r="Q896">
        <f t="shared" si="55"/>
        <v>82.339999999999989</v>
      </c>
      <c r="R896" t="str" cm="1">
        <f t="array" ref="R896">_xlfn.IFS(Q896&lt;=50,"low sales",Q896&lt;=100,"medium sales",Q896&gt;100,"High sales")</f>
        <v>medium sales</v>
      </c>
    </row>
    <row r="897" spans="1:18" x14ac:dyDescent="0.35">
      <c r="A897" s="2" t="s">
        <v>5553</v>
      </c>
      <c r="B897" s="3">
        <v>44521</v>
      </c>
      <c r="C897" s="3" t="str">
        <f t="shared" si="52"/>
        <v>Sunday</v>
      </c>
      <c r="D897" s="3" t="str">
        <f t="shared" si="53"/>
        <v>November</v>
      </c>
      <c r="E897" s="3" t="str">
        <f t="shared" si="54"/>
        <v>2021</v>
      </c>
      <c r="F897" s="2" t="s">
        <v>5554</v>
      </c>
      <c r="G897" t="s">
        <v>6166</v>
      </c>
      <c r="H897" s="2">
        <v>5</v>
      </c>
      <c r="I897" s="2" t="str">
        <f>_xlfn.XLOOKUP(F897,customers!A:A,customers!B:B)</f>
        <v>Derick Snow</v>
      </c>
      <c r="J897" s="2">
        <f>_xlfn.XLOOKUP(F897,customers!A:A,customers!C:C)</f>
        <v>0</v>
      </c>
      <c r="K897" s="2" t="str">
        <f>_xlfn.XLOOKUP(F897,customers!A:A,customers!F:F)</f>
        <v>New York City</v>
      </c>
      <c r="L897" s="2" t="str">
        <f>_xlfn.XLOOKUP(F897,customers!A:A,customers!G:G)</f>
        <v>United States</v>
      </c>
      <c r="M897" t="str">
        <f>_xlfn.XLOOKUP(G897,products!A:A,products!B:B)</f>
        <v>Exc</v>
      </c>
      <c r="N897" t="str">
        <f>_xlfn.XLOOKUP(G897,products!A:A,products!C:C)</f>
        <v>M</v>
      </c>
      <c r="O897">
        <f>_xlfn.XLOOKUP(G897,products!A:A,products!D:D)</f>
        <v>2.5</v>
      </c>
      <c r="P897">
        <f>_xlfn.XLOOKUP(G897,products!A:A,products!E:E)</f>
        <v>31.624999999999996</v>
      </c>
      <c r="Q897">
        <f t="shared" si="55"/>
        <v>158.12499999999997</v>
      </c>
      <c r="R897" t="str" cm="1">
        <f t="array" ref="R897">_xlfn.IFS(Q897&lt;=50,"low sales",Q897&lt;=100,"medium sales",Q897&gt;100,"High sales")</f>
        <v>High sales</v>
      </c>
    </row>
    <row r="898" spans="1:18" x14ac:dyDescent="0.35">
      <c r="A898" s="2" t="s">
        <v>5558</v>
      </c>
      <c r="B898" s="3">
        <v>44347</v>
      </c>
      <c r="C898" s="3" t="str">
        <f t="shared" si="52"/>
        <v>Monday</v>
      </c>
      <c r="D898" s="3" t="str">
        <f t="shared" si="53"/>
        <v>May</v>
      </c>
      <c r="E898" s="3" t="str">
        <f t="shared" si="54"/>
        <v>2021</v>
      </c>
      <c r="F898" s="2" t="s">
        <v>5559</v>
      </c>
      <c r="G898" t="s">
        <v>6172</v>
      </c>
      <c r="H898" s="2">
        <v>6</v>
      </c>
      <c r="I898" s="2" t="str">
        <f>_xlfn.XLOOKUP(F898,customers!A:A,customers!B:B)</f>
        <v>Baxy Cargen</v>
      </c>
      <c r="J898" s="2" t="str">
        <f>_xlfn.XLOOKUP(F898,customers!A:A,customers!C:C)</f>
        <v>bcargenow@geocities.jp</v>
      </c>
      <c r="K898" s="2" t="str">
        <f>_xlfn.XLOOKUP(F898,customers!A:A,customers!F:F)</f>
        <v>Seattle</v>
      </c>
      <c r="L898" s="2" t="str">
        <f>_xlfn.XLOOKUP(F898,customers!A:A,customers!G:G)</f>
        <v>United States</v>
      </c>
      <c r="M898" t="str">
        <f>_xlfn.XLOOKUP(G898,products!A:A,products!B:B)</f>
        <v>Rob</v>
      </c>
      <c r="N898" t="str">
        <f>_xlfn.XLOOKUP(G898,products!A:A,products!C:C)</f>
        <v>D</v>
      </c>
      <c r="O898">
        <f>_xlfn.XLOOKUP(G898,products!A:A,products!D:D)</f>
        <v>0.5</v>
      </c>
      <c r="P898">
        <f>_xlfn.XLOOKUP(G898,products!A:A,products!E:E)</f>
        <v>5.3699999999999992</v>
      </c>
      <c r="Q898">
        <f t="shared" si="55"/>
        <v>32.22</v>
      </c>
      <c r="R898" t="str" cm="1">
        <f t="array" ref="R898">_xlfn.IFS(Q898&lt;=50,"low sales",Q898&lt;=100,"medium sales",Q898&gt;100,"High sales")</f>
        <v>low sales</v>
      </c>
    </row>
    <row r="899" spans="1:18" x14ac:dyDescent="0.35">
      <c r="A899" s="2" t="s">
        <v>5564</v>
      </c>
      <c r="B899" s="3">
        <v>43932</v>
      </c>
      <c r="C899" s="3" t="str">
        <f t="shared" ref="C899:C962" si="56">TEXT(B899,"DDDD")</f>
        <v>Saturday</v>
      </c>
      <c r="D899" s="3" t="str">
        <f t="shared" ref="D899:D962" si="57">TEXT(B899,"MMMM")</f>
        <v>April</v>
      </c>
      <c r="E899" s="3" t="str">
        <f t="shared" ref="E899:E962" si="58">TEXT(B899,"YYYY")</f>
        <v>2020</v>
      </c>
      <c r="F899" s="2" t="s">
        <v>5565</v>
      </c>
      <c r="G899" t="s">
        <v>6183</v>
      </c>
      <c r="H899" s="2">
        <v>2</v>
      </c>
      <c r="I899" s="2" t="str">
        <f>_xlfn.XLOOKUP(F899,customers!A:A,customers!B:B)</f>
        <v>Ryann Stickler</v>
      </c>
      <c r="J899" s="2" t="str">
        <f>_xlfn.XLOOKUP(F899,customers!A:A,customers!C:C)</f>
        <v>rsticklerox@printfriendly.com</v>
      </c>
      <c r="K899" s="2" t="str">
        <f>_xlfn.XLOOKUP(F899,customers!A:A,customers!F:F)</f>
        <v>Birmingham</v>
      </c>
      <c r="L899" s="2" t="str">
        <f>_xlfn.XLOOKUP(F899,customers!A:A,customers!G:G)</f>
        <v>United Kingdom</v>
      </c>
      <c r="M899" t="str">
        <f>_xlfn.XLOOKUP(G899,products!A:A,products!B:B)</f>
        <v>Exc</v>
      </c>
      <c r="N899" t="str">
        <f>_xlfn.XLOOKUP(G899,products!A:A,products!C:C)</f>
        <v>D</v>
      </c>
      <c r="O899">
        <f>_xlfn.XLOOKUP(G899,products!A:A,products!D:D)</f>
        <v>1</v>
      </c>
      <c r="P899">
        <f>_xlfn.XLOOKUP(G899,products!A:A,products!E:E)</f>
        <v>12.15</v>
      </c>
      <c r="Q899">
        <f t="shared" ref="Q899:Q962" si="59">P899*H899</f>
        <v>24.3</v>
      </c>
      <c r="R899" t="str" cm="1">
        <f t="array" ref="R899">_xlfn.IFS(Q899&lt;=50,"low sales",Q899&lt;=100,"medium sales",Q899&gt;100,"High sales")</f>
        <v>low sales</v>
      </c>
    </row>
    <row r="900" spans="1:18" x14ac:dyDescent="0.35">
      <c r="A900" s="2" t="s">
        <v>5570</v>
      </c>
      <c r="B900" s="3">
        <v>44089</v>
      </c>
      <c r="C900" s="3" t="str">
        <f t="shared" si="56"/>
        <v>Tuesday</v>
      </c>
      <c r="D900" s="3" t="str">
        <f t="shared" si="57"/>
        <v>September</v>
      </c>
      <c r="E900" s="3" t="str">
        <f t="shared" si="58"/>
        <v>2020</v>
      </c>
      <c r="F900" s="2" t="s">
        <v>5571</v>
      </c>
      <c r="G900" t="s">
        <v>6173</v>
      </c>
      <c r="H900" s="2">
        <v>5</v>
      </c>
      <c r="I900" s="2" t="str">
        <f>_xlfn.XLOOKUP(F900,customers!A:A,customers!B:B)</f>
        <v>Daryn Cassius</v>
      </c>
      <c r="J900" s="2">
        <f>_xlfn.XLOOKUP(F900,customers!A:A,customers!C:C)</f>
        <v>0</v>
      </c>
      <c r="K900" s="2" t="str">
        <f>_xlfn.XLOOKUP(F900,customers!A:A,customers!F:F)</f>
        <v>Battle Creek</v>
      </c>
      <c r="L900" s="2" t="str">
        <f>_xlfn.XLOOKUP(F900,customers!A:A,customers!G:G)</f>
        <v>United States</v>
      </c>
      <c r="M900" t="str">
        <f>_xlfn.XLOOKUP(G900,products!A:A,products!B:B)</f>
        <v>Rob</v>
      </c>
      <c r="N900" t="str">
        <f>_xlfn.XLOOKUP(G900,products!A:A,products!C:C)</f>
        <v>L</v>
      </c>
      <c r="O900">
        <f>_xlfn.XLOOKUP(G900,products!A:A,products!D:D)</f>
        <v>0.5</v>
      </c>
      <c r="P900">
        <f>_xlfn.XLOOKUP(G900,products!A:A,products!E:E)</f>
        <v>7.169999999999999</v>
      </c>
      <c r="Q900">
        <f t="shared" si="59"/>
        <v>35.849999999999994</v>
      </c>
      <c r="R900" t="str" cm="1">
        <f t="array" ref="R900">_xlfn.IFS(Q900&lt;=50,"low sales",Q900&lt;=100,"medium sales",Q900&gt;100,"High sales")</f>
        <v>low sales</v>
      </c>
    </row>
    <row r="901" spans="1:18" x14ac:dyDescent="0.35">
      <c r="A901" s="2" t="s">
        <v>5575</v>
      </c>
      <c r="B901" s="3">
        <v>44523</v>
      </c>
      <c r="C901" s="3" t="str">
        <f t="shared" si="56"/>
        <v>Tuesday</v>
      </c>
      <c r="D901" s="3" t="str">
        <f t="shared" si="57"/>
        <v>November</v>
      </c>
      <c r="E901" s="3" t="str">
        <f t="shared" si="58"/>
        <v>2021</v>
      </c>
      <c r="F901" s="2" t="s">
        <v>5554</v>
      </c>
      <c r="G901" t="s">
        <v>6162</v>
      </c>
      <c r="H901" s="2">
        <v>5</v>
      </c>
      <c r="I901" s="2" t="str">
        <f>_xlfn.XLOOKUP(F901,customers!A:A,customers!B:B)</f>
        <v>Derick Snow</v>
      </c>
      <c r="J901" s="2">
        <f>_xlfn.XLOOKUP(F901,customers!A:A,customers!C:C)</f>
        <v>0</v>
      </c>
      <c r="K901" s="2" t="str">
        <f>_xlfn.XLOOKUP(F901,customers!A:A,customers!F:F)</f>
        <v>New York City</v>
      </c>
      <c r="L901" s="2" t="str">
        <f>_xlfn.XLOOKUP(F901,customers!A:A,customers!G:G)</f>
        <v>United States</v>
      </c>
      <c r="M901" t="str">
        <f>_xlfn.XLOOKUP(G901,products!A:A,products!B:B)</f>
        <v>Lib</v>
      </c>
      <c r="N901" t="str">
        <f>_xlfn.XLOOKUP(G901,products!A:A,products!C:C)</f>
        <v>M</v>
      </c>
      <c r="O901">
        <f>_xlfn.XLOOKUP(G901,products!A:A,products!D:D)</f>
        <v>1</v>
      </c>
      <c r="P901">
        <f>_xlfn.XLOOKUP(G901,products!A:A,products!E:E)</f>
        <v>14.55</v>
      </c>
      <c r="Q901">
        <f t="shared" si="59"/>
        <v>72.75</v>
      </c>
      <c r="R901" t="str" cm="1">
        <f t="array" ref="R901">_xlfn.IFS(Q901&lt;=50,"low sales",Q901&lt;=100,"medium sales",Q901&gt;100,"High sales")</f>
        <v>medium sales</v>
      </c>
    </row>
    <row r="902" spans="1:18" x14ac:dyDescent="0.35">
      <c r="A902" s="2" t="s">
        <v>5580</v>
      </c>
      <c r="B902" s="3">
        <v>44584</v>
      </c>
      <c r="C902" s="3" t="str">
        <f t="shared" si="56"/>
        <v>Sunday</v>
      </c>
      <c r="D902" s="3" t="str">
        <f t="shared" si="57"/>
        <v>January</v>
      </c>
      <c r="E902" s="3" t="str">
        <f t="shared" si="58"/>
        <v>2022</v>
      </c>
      <c r="F902" s="2" t="s">
        <v>5581</v>
      </c>
      <c r="G902" t="s">
        <v>6170</v>
      </c>
      <c r="H902" s="2">
        <v>3</v>
      </c>
      <c r="I902" s="2" t="str">
        <f>_xlfn.XLOOKUP(F902,customers!A:A,customers!B:B)</f>
        <v>Skelly Dolohunty</v>
      </c>
      <c r="J902" s="2">
        <f>_xlfn.XLOOKUP(F902,customers!A:A,customers!C:C)</f>
        <v>0</v>
      </c>
      <c r="K902" s="2" t="str">
        <f>_xlfn.XLOOKUP(F902,customers!A:A,customers!F:F)</f>
        <v>Ballymun</v>
      </c>
      <c r="L902" s="2" t="str">
        <f>_xlfn.XLOOKUP(F902,customers!A:A,customers!G:G)</f>
        <v>Ireland</v>
      </c>
      <c r="M902" t="str">
        <f>_xlfn.XLOOKUP(G902,products!A:A,products!B:B)</f>
        <v>Lib</v>
      </c>
      <c r="N902" t="str">
        <f>_xlfn.XLOOKUP(G902,products!A:A,products!C:C)</f>
        <v>L</v>
      </c>
      <c r="O902">
        <f>_xlfn.XLOOKUP(G902,products!A:A,products!D:D)</f>
        <v>1</v>
      </c>
      <c r="P902">
        <f>_xlfn.XLOOKUP(G902,products!A:A,products!E:E)</f>
        <v>15.85</v>
      </c>
      <c r="Q902">
        <f t="shared" si="59"/>
        <v>47.55</v>
      </c>
      <c r="R902" t="str" cm="1">
        <f t="array" ref="R902">_xlfn.IFS(Q902&lt;=50,"low sales",Q902&lt;=100,"medium sales",Q902&gt;100,"High sales")</f>
        <v>low sales</v>
      </c>
    </row>
    <row r="903" spans="1:18" x14ac:dyDescent="0.35">
      <c r="A903" s="2" t="s">
        <v>5585</v>
      </c>
      <c r="B903" s="3">
        <v>44223</v>
      </c>
      <c r="C903" s="3" t="str">
        <f t="shared" si="56"/>
        <v>Wednesday</v>
      </c>
      <c r="D903" s="3" t="str">
        <f t="shared" si="57"/>
        <v>January</v>
      </c>
      <c r="E903" s="3" t="str">
        <f t="shared" si="58"/>
        <v>2021</v>
      </c>
      <c r="F903" s="2" t="s">
        <v>5586</v>
      </c>
      <c r="G903" t="s">
        <v>6178</v>
      </c>
      <c r="H903" s="2">
        <v>1</v>
      </c>
      <c r="I903" s="2" t="str">
        <f>_xlfn.XLOOKUP(F903,customers!A:A,customers!B:B)</f>
        <v>Drake Jevon</v>
      </c>
      <c r="J903" s="2" t="str">
        <f>_xlfn.XLOOKUP(F903,customers!A:A,customers!C:C)</f>
        <v>djevonp1@ibm.com</v>
      </c>
      <c r="K903" s="2" t="str">
        <f>_xlfn.XLOOKUP(F903,customers!A:A,customers!F:F)</f>
        <v>Houston</v>
      </c>
      <c r="L903" s="2" t="str">
        <f>_xlfn.XLOOKUP(F903,customers!A:A,customers!G:G)</f>
        <v>United States</v>
      </c>
      <c r="M903" t="str">
        <f>_xlfn.XLOOKUP(G903,products!A:A,products!B:B)</f>
        <v>Rob</v>
      </c>
      <c r="N903" t="str">
        <f>_xlfn.XLOOKUP(G903,products!A:A,products!C:C)</f>
        <v>L</v>
      </c>
      <c r="O903">
        <f>_xlfn.XLOOKUP(G903,products!A:A,products!D:D)</f>
        <v>0.2</v>
      </c>
      <c r="P903">
        <f>_xlfn.XLOOKUP(G903,products!A:A,products!E:E)</f>
        <v>3.5849999999999995</v>
      </c>
      <c r="Q903">
        <f t="shared" si="59"/>
        <v>3.5849999999999995</v>
      </c>
      <c r="R903" t="str" cm="1">
        <f t="array" ref="R903">_xlfn.IFS(Q903&lt;=50,"low sales",Q903&lt;=100,"medium sales",Q903&gt;100,"High sales")</f>
        <v>low sales</v>
      </c>
    </row>
    <row r="904" spans="1:18" x14ac:dyDescent="0.35">
      <c r="A904" s="2" t="s">
        <v>5591</v>
      </c>
      <c r="B904" s="3">
        <v>43640</v>
      </c>
      <c r="C904" s="3" t="str">
        <f t="shared" si="56"/>
        <v>Monday</v>
      </c>
      <c r="D904" s="3" t="str">
        <f t="shared" si="57"/>
        <v>June</v>
      </c>
      <c r="E904" s="3" t="str">
        <f t="shared" si="58"/>
        <v>2019</v>
      </c>
      <c r="F904" s="2" t="s">
        <v>5592</v>
      </c>
      <c r="G904" t="s">
        <v>6166</v>
      </c>
      <c r="H904" s="2">
        <v>5</v>
      </c>
      <c r="I904" s="2" t="str">
        <f>_xlfn.XLOOKUP(F904,customers!A:A,customers!B:B)</f>
        <v>Hall Ranner</v>
      </c>
      <c r="J904" s="2" t="str">
        <f>_xlfn.XLOOKUP(F904,customers!A:A,customers!C:C)</f>
        <v>hrannerp2@omniture.com</v>
      </c>
      <c r="K904" s="2" t="str">
        <f>_xlfn.XLOOKUP(F904,customers!A:A,customers!F:F)</f>
        <v>Cincinnati</v>
      </c>
      <c r="L904" s="2" t="str">
        <f>_xlfn.XLOOKUP(F904,customers!A:A,customers!G:G)</f>
        <v>United States</v>
      </c>
      <c r="M904" t="str">
        <f>_xlfn.XLOOKUP(G904,products!A:A,products!B:B)</f>
        <v>Exc</v>
      </c>
      <c r="N904" t="str">
        <f>_xlfn.XLOOKUP(G904,products!A:A,products!C:C)</f>
        <v>M</v>
      </c>
      <c r="O904">
        <f>_xlfn.XLOOKUP(G904,products!A:A,products!D:D)</f>
        <v>2.5</v>
      </c>
      <c r="P904">
        <f>_xlfn.XLOOKUP(G904,products!A:A,products!E:E)</f>
        <v>31.624999999999996</v>
      </c>
      <c r="Q904">
        <f t="shared" si="59"/>
        <v>158.12499999999997</v>
      </c>
      <c r="R904" t="str" cm="1">
        <f t="array" ref="R904">_xlfn.IFS(Q904&lt;=50,"low sales",Q904&lt;=100,"medium sales",Q904&gt;100,"High sales")</f>
        <v>High sales</v>
      </c>
    </row>
    <row r="905" spans="1:18" x14ac:dyDescent="0.35">
      <c r="A905" s="2" t="s">
        <v>5597</v>
      </c>
      <c r="B905" s="3">
        <v>43905</v>
      </c>
      <c r="C905" s="3" t="str">
        <f t="shared" si="56"/>
        <v>Sunday</v>
      </c>
      <c r="D905" s="3" t="str">
        <f t="shared" si="57"/>
        <v>March</v>
      </c>
      <c r="E905" s="3" t="str">
        <f t="shared" si="58"/>
        <v>2020</v>
      </c>
      <c r="F905" s="2" t="s">
        <v>5598</v>
      </c>
      <c r="G905" t="s">
        <v>6160</v>
      </c>
      <c r="H905" s="2">
        <v>2</v>
      </c>
      <c r="I905" s="2" t="str">
        <f>_xlfn.XLOOKUP(F905,customers!A:A,customers!B:B)</f>
        <v>Berkly Imrie</v>
      </c>
      <c r="J905" s="2" t="str">
        <f>_xlfn.XLOOKUP(F905,customers!A:A,customers!C:C)</f>
        <v>bimriep3@addtoany.com</v>
      </c>
      <c r="K905" s="2" t="str">
        <f>_xlfn.XLOOKUP(F905,customers!A:A,customers!F:F)</f>
        <v>Fresno</v>
      </c>
      <c r="L905" s="2" t="str">
        <f>_xlfn.XLOOKUP(F905,customers!A:A,customers!G:G)</f>
        <v>United States</v>
      </c>
      <c r="M905" t="str">
        <f>_xlfn.XLOOKUP(G905,products!A:A,products!B:B)</f>
        <v>Lib</v>
      </c>
      <c r="N905" t="str">
        <f>_xlfn.XLOOKUP(G905,products!A:A,products!C:C)</f>
        <v>M</v>
      </c>
      <c r="O905">
        <f>_xlfn.XLOOKUP(G905,products!A:A,products!D:D)</f>
        <v>0.5</v>
      </c>
      <c r="P905">
        <f>_xlfn.XLOOKUP(G905,products!A:A,products!E:E)</f>
        <v>8.73</v>
      </c>
      <c r="Q905">
        <f t="shared" si="59"/>
        <v>17.46</v>
      </c>
      <c r="R905" t="str" cm="1">
        <f t="array" ref="R905">_xlfn.IFS(Q905&lt;=50,"low sales",Q905&lt;=100,"medium sales",Q905&gt;100,"High sales")</f>
        <v>low sales</v>
      </c>
    </row>
    <row r="906" spans="1:18" x14ac:dyDescent="0.35">
      <c r="A906" s="2" t="s">
        <v>5603</v>
      </c>
      <c r="B906" s="3">
        <v>44463</v>
      </c>
      <c r="C906" s="3" t="str">
        <f t="shared" si="56"/>
        <v>Friday</v>
      </c>
      <c r="D906" s="3" t="str">
        <f t="shared" si="57"/>
        <v>September</v>
      </c>
      <c r="E906" s="3" t="str">
        <f t="shared" si="58"/>
        <v>2021</v>
      </c>
      <c r="F906" s="2" t="s">
        <v>5604</v>
      </c>
      <c r="G906" t="s">
        <v>6182</v>
      </c>
      <c r="H906" s="2">
        <v>5</v>
      </c>
      <c r="I906" s="2" t="str">
        <f>_xlfn.XLOOKUP(F906,customers!A:A,customers!B:B)</f>
        <v>Dorey Sopper</v>
      </c>
      <c r="J906" s="2" t="str">
        <f>_xlfn.XLOOKUP(F906,customers!A:A,customers!C:C)</f>
        <v>dsopperp4@eventbrite.com</v>
      </c>
      <c r="K906" s="2" t="str">
        <f>_xlfn.XLOOKUP(F906,customers!A:A,customers!F:F)</f>
        <v>Saint Paul</v>
      </c>
      <c r="L906" s="2" t="str">
        <f>_xlfn.XLOOKUP(F906,customers!A:A,customers!G:G)</f>
        <v>United States</v>
      </c>
      <c r="M906" t="str">
        <f>_xlfn.XLOOKUP(G906,products!A:A,products!B:B)</f>
        <v>Ara</v>
      </c>
      <c r="N906" t="str">
        <f>_xlfn.XLOOKUP(G906,products!A:A,products!C:C)</f>
        <v>L</v>
      </c>
      <c r="O906">
        <f>_xlfn.XLOOKUP(G906,products!A:A,products!D:D)</f>
        <v>2.5</v>
      </c>
      <c r="P906">
        <f>_xlfn.XLOOKUP(G906,products!A:A,products!E:E)</f>
        <v>29.784999999999997</v>
      </c>
      <c r="Q906">
        <f t="shared" si="59"/>
        <v>148.92499999999998</v>
      </c>
      <c r="R906" t="str" cm="1">
        <f t="array" ref="R906">_xlfn.IFS(Q906&lt;=50,"low sales",Q906&lt;=100,"medium sales",Q906&gt;100,"High sales")</f>
        <v>High sales</v>
      </c>
    </row>
    <row r="907" spans="1:18" x14ac:dyDescent="0.35">
      <c r="A907" s="2" t="s">
        <v>5609</v>
      </c>
      <c r="B907" s="3">
        <v>43560</v>
      </c>
      <c r="C907" s="3" t="str">
        <f t="shared" si="56"/>
        <v>Friday</v>
      </c>
      <c r="D907" s="3" t="str">
        <f t="shared" si="57"/>
        <v>April</v>
      </c>
      <c r="E907" s="3" t="str">
        <f t="shared" si="58"/>
        <v>2019</v>
      </c>
      <c r="F907" s="2" t="s">
        <v>5610</v>
      </c>
      <c r="G907" t="s">
        <v>6157</v>
      </c>
      <c r="H907" s="2">
        <v>6</v>
      </c>
      <c r="I907" s="2" t="str">
        <f>_xlfn.XLOOKUP(F907,customers!A:A,customers!B:B)</f>
        <v>Darcy Lochran</v>
      </c>
      <c r="J907" s="2">
        <f>_xlfn.XLOOKUP(F907,customers!A:A,customers!C:C)</f>
        <v>0</v>
      </c>
      <c r="K907" s="2" t="str">
        <f>_xlfn.XLOOKUP(F907,customers!A:A,customers!F:F)</f>
        <v>El Paso</v>
      </c>
      <c r="L907" s="2" t="str">
        <f>_xlfn.XLOOKUP(F907,customers!A:A,customers!G:G)</f>
        <v>United States</v>
      </c>
      <c r="M907" t="str">
        <f>_xlfn.XLOOKUP(G907,products!A:A,products!B:B)</f>
        <v>Ara</v>
      </c>
      <c r="N907" t="str">
        <f>_xlfn.XLOOKUP(G907,products!A:A,products!C:C)</f>
        <v>M</v>
      </c>
      <c r="O907">
        <f>_xlfn.XLOOKUP(G907,products!A:A,products!D:D)</f>
        <v>0.5</v>
      </c>
      <c r="P907">
        <f>_xlfn.XLOOKUP(G907,products!A:A,products!E:E)</f>
        <v>6.75</v>
      </c>
      <c r="Q907">
        <f t="shared" si="59"/>
        <v>40.5</v>
      </c>
      <c r="R907" t="str" cm="1">
        <f t="array" ref="R907">_xlfn.IFS(Q907&lt;=50,"low sales",Q907&lt;=100,"medium sales",Q907&gt;100,"High sales")</f>
        <v>low sales</v>
      </c>
    </row>
    <row r="908" spans="1:18" x14ac:dyDescent="0.35">
      <c r="A908" s="2" t="s">
        <v>5614</v>
      </c>
      <c r="B908" s="3">
        <v>44588</v>
      </c>
      <c r="C908" s="3" t="str">
        <f t="shared" si="56"/>
        <v>Thursday</v>
      </c>
      <c r="D908" s="3" t="str">
        <f t="shared" si="57"/>
        <v>January</v>
      </c>
      <c r="E908" s="3" t="str">
        <f t="shared" si="58"/>
        <v>2022</v>
      </c>
      <c r="F908" s="2" t="s">
        <v>5615</v>
      </c>
      <c r="G908" t="s">
        <v>6157</v>
      </c>
      <c r="H908" s="2">
        <v>4</v>
      </c>
      <c r="I908" s="2" t="str">
        <f>_xlfn.XLOOKUP(F908,customers!A:A,customers!B:B)</f>
        <v>Lauritz Ledgley</v>
      </c>
      <c r="J908" s="2" t="str">
        <f>_xlfn.XLOOKUP(F908,customers!A:A,customers!C:C)</f>
        <v>lledgleyp6@de.vu</v>
      </c>
      <c r="K908" s="2" t="str">
        <f>_xlfn.XLOOKUP(F908,customers!A:A,customers!F:F)</f>
        <v>Des Moines</v>
      </c>
      <c r="L908" s="2" t="str">
        <f>_xlfn.XLOOKUP(F908,customers!A:A,customers!G:G)</f>
        <v>United States</v>
      </c>
      <c r="M908" t="str">
        <f>_xlfn.XLOOKUP(G908,products!A:A,products!B:B)</f>
        <v>Ara</v>
      </c>
      <c r="N908" t="str">
        <f>_xlfn.XLOOKUP(G908,products!A:A,products!C:C)</f>
        <v>M</v>
      </c>
      <c r="O908">
        <f>_xlfn.XLOOKUP(G908,products!A:A,products!D:D)</f>
        <v>0.5</v>
      </c>
      <c r="P908">
        <f>_xlfn.XLOOKUP(G908,products!A:A,products!E:E)</f>
        <v>6.75</v>
      </c>
      <c r="Q908">
        <f t="shared" si="59"/>
        <v>27</v>
      </c>
      <c r="R908" t="str" cm="1">
        <f t="array" ref="R908">_xlfn.IFS(Q908&lt;=50,"low sales",Q908&lt;=100,"medium sales",Q908&gt;100,"High sales")</f>
        <v>low sales</v>
      </c>
    </row>
    <row r="909" spans="1:18" x14ac:dyDescent="0.35">
      <c r="A909" s="2" t="s">
        <v>5620</v>
      </c>
      <c r="B909" s="3">
        <v>44449</v>
      </c>
      <c r="C909" s="3" t="str">
        <f t="shared" si="56"/>
        <v>Friday</v>
      </c>
      <c r="D909" s="3" t="str">
        <f t="shared" si="57"/>
        <v>September</v>
      </c>
      <c r="E909" s="3" t="str">
        <f t="shared" si="58"/>
        <v>2021</v>
      </c>
      <c r="F909" s="2" t="s">
        <v>5621</v>
      </c>
      <c r="G909" t="s">
        <v>6143</v>
      </c>
      <c r="H909" s="2">
        <v>3</v>
      </c>
      <c r="I909" s="2" t="str">
        <f>_xlfn.XLOOKUP(F909,customers!A:A,customers!B:B)</f>
        <v>Tawnya Menary</v>
      </c>
      <c r="J909" s="2" t="str">
        <f>_xlfn.XLOOKUP(F909,customers!A:A,customers!C:C)</f>
        <v>tmenaryp7@phoca.cz</v>
      </c>
      <c r="K909" s="2" t="str">
        <f>_xlfn.XLOOKUP(F909,customers!A:A,customers!F:F)</f>
        <v>Portland</v>
      </c>
      <c r="L909" s="2" t="str">
        <f>_xlfn.XLOOKUP(F909,customers!A:A,customers!G:G)</f>
        <v>United States</v>
      </c>
      <c r="M909" t="str">
        <f>_xlfn.XLOOKUP(G909,products!A:A,products!B:B)</f>
        <v>Lib</v>
      </c>
      <c r="N909" t="str">
        <f>_xlfn.XLOOKUP(G909,products!A:A,products!C:C)</f>
        <v>D</v>
      </c>
      <c r="O909">
        <f>_xlfn.XLOOKUP(G909,products!A:A,products!D:D)</f>
        <v>1</v>
      </c>
      <c r="P909">
        <f>_xlfn.XLOOKUP(G909,products!A:A,products!E:E)</f>
        <v>12.95</v>
      </c>
      <c r="Q909">
        <f t="shared" si="59"/>
        <v>38.849999999999994</v>
      </c>
      <c r="R909" t="str" cm="1">
        <f t="array" ref="R909">_xlfn.IFS(Q909&lt;=50,"low sales",Q909&lt;=100,"medium sales",Q909&gt;100,"High sales")</f>
        <v>low sales</v>
      </c>
    </row>
    <row r="910" spans="1:18" x14ac:dyDescent="0.35">
      <c r="A910" s="2" t="s">
        <v>5626</v>
      </c>
      <c r="B910" s="3">
        <v>43836</v>
      </c>
      <c r="C910" s="3" t="str">
        <f t="shared" si="56"/>
        <v>Monday</v>
      </c>
      <c r="D910" s="3" t="str">
        <f t="shared" si="57"/>
        <v>January</v>
      </c>
      <c r="E910" s="3" t="str">
        <f t="shared" si="58"/>
        <v>2020</v>
      </c>
      <c r="F910" s="2" t="s">
        <v>5627</v>
      </c>
      <c r="G910" t="s">
        <v>6179</v>
      </c>
      <c r="H910" s="2">
        <v>5</v>
      </c>
      <c r="I910" s="2" t="str">
        <f>_xlfn.XLOOKUP(F910,customers!A:A,customers!B:B)</f>
        <v>Gustaf Ciccotti</v>
      </c>
      <c r="J910" s="2" t="str">
        <f>_xlfn.XLOOKUP(F910,customers!A:A,customers!C:C)</f>
        <v>gciccottip8@so-net.ne.jp</v>
      </c>
      <c r="K910" s="2" t="str">
        <f>_xlfn.XLOOKUP(F910,customers!A:A,customers!F:F)</f>
        <v>Houston</v>
      </c>
      <c r="L910" s="2" t="str">
        <f>_xlfn.XLOOKUP(F910,customers!A:A,customers!G:G)</f>
        <v>United States</v>
      </c>
      <c r="M910" t="str">
        <f>_xlfn.XLOOKUP(G910,products!A:A,products!B:B)</f>
        <v>Rob</v>
      </c>
      <c r="N910" t="str">
        <f>_xlfn.XLOOKUP(G910,products!A:A,products!C:C)</f>
        <v>L</v>
      </c>
      <c r="O910">
        <f>_xlfn.XLOOKUP(G910,products!A:A,products!D:D)</f>
        <v>1</v>
      </c>
      <c r="P910">
        <f>_xlfn.XLOOKUP(G910,products!A:A,products!E:E)</f>
        <v>11.95</v>
      </c>
      <c r="Q910">
        <f t="shared" si="59"/>
        <v>59.75</v>
      </c>
      <c r="R910" t="str" cm="1">
        <f t="array" ref="R910">_xlfn.IFS(Q910&lt;=50,"low sales",Q910&lt;=100,"medium sales",Q910&gt;100,"High sales")</f>
        <v>medium sales</v>
      </c>
    </row>
    <row r="911" spans="1:18" x14ac:dyDescent="0.35">
      <c r="A911" s="2" t="s">
        <v>5632</v>
      </c>
      <c r="B911" s="3">
        <v>44635</v>
      </c>
      <c r="C911" s="3" t="str">
        <f t="shared" si="56"/>
        <v>Tuesday</v>
      </c>
      <c r="D911" s="3" t="str">
        <f t="shared" si="57"/>
        <v>March</v>
      </c>
      <c r="E911" s="3" t="str">
        <f t="shared" si="58"/>
        <v>2022</v>
      </c>
      <c r="F911" s="2" t="s">
        <v>5633</v>
      </c>
      <c r="G911" t="s">
        <v>6178</v>
      </c>
      <c r="H911" s="2">
        <v>3</v>
      </c>
      <c r="I911" s="2" t="str">
        <f>_xlfn.XLOOKUP(F911,customers!A:A,customers!B:B)</f>
        <v>Bobbe Renner</v>
      </c>
      <c r="J911" s="2">
        <f>_xlfn.XLOOKUP(F911,customers!A:A,customers!C:C)</f>
        <v>0</v>
      </c>
      <c r="K911" s="2" t="str">
        <f>_xlfn.XLOOKUP(F911,customers!A:A,customers!F:F)</f>
        <v>Durham</v>
      </c>
      <c r="L911" s="2" t="str">
        <f>_xlfn.XLOOKUP(F911,customers!A:A,customers!G:G)</f>
        <v>United States</v>
      </c>
      <c r="M911" t="str">
        <f>_xlfn.XLOOKUP(G911,products!A:A,products!B:B)</f>
        <v>Rob</v>
      </c>
      <c r="N911" t="str">
        <f>_xlfn.XLOOKUP(G911,products!A:A,products!C:C)</f>
        <v>L</v>
      </c>
      <c r="O911">
        <f>_xlfn.XLOOKUP(G911,products!A:A,products!D:D)</f>
        <v>0.2</v>
      </c>
      <c r="P911">
        <f>_xlfn.XLOOKUP(G911,products!A:A,products!E:E)</f>
        <v>3.5849999999999995</v>
      </c>
      <c r="Q911">
        <f t="shared" si="59"/>
        <v>10.754999999999999</v>
      </c>
      <c r="R911" t="str" cm="1">
        <f t="array" ref="R911">_xlfn.IFS(Q911&lt;=50,"low sales",Q911&lt;=100,"medium sales",Q911&gt;100,"High sales")</f>
        <v>low sales</v>
      </c>
    </row>
    <row r="912" spans="1:18" x14ac:dyDescent="0.35">
      <c r="A912" s="2" t="s">
        <v>5637</v>
      </c>
      <c r="B912" s="3">
        <v>44447</v>
      </c>
      <c r="C912" s="3" t="str">
        <f t="shared" si="56"/>
        <v>Wednesday</v>
      </c>
      <c r="D912" s="3" t="str">
        <f t="shared" si="57"/>
        <v>September</v>
      </c>
      <c r="E912" s="3" t="str">
        <f t="shared" si="58"/>
        <v>2021</v>
      </c>
      <c r="F912" s="2" t="s">
        <v>5638</v>
      </c>
      <c r="G912" t="s">
        <v>6168</v>
      </c>
      <c r="H912" s="2">
        <v>4</v>
      </c>
      <c r="I912" s="2" t="str">
        <f>_xlfn.XLOOKUP(F912,customers!A:A,customers!B:B)</f>
        <v>Wilton Jallin</v>
      </c>
      <c r="J912" s="2" t="str">
        <f>_xlfn.XLOOKUP(F912,customers!A:A,customers!C:C)</f>
        <v>wjallinpa@pcworld.com</v>
      </c>
      <c r="K912" s="2" t="str">
        <f>_xlfn.XLOOKUP(F912,customers!A:A,customers!F:F)</f>
        <v>Boston</v>
      </c>
      <c r="L912" s="2" t="str">
        <f>_xlfn.XLOOKUP(F912,customers!A:A,customers!G:G)</f>
        <v>United States</v>
      </c>
      <c r="M912" t="str">
        <f>_xlfn.XLOOKUP(G912,products!A:A,products!B:B)</f>
        <v>Ara</v>
      </c>
      <c r="N912" t="str">
        <f>_xlfn.XLOOKUP(G912,products!A:A,products!C:C)</f>
        <v>D</v>
      </c>
      <c r="O912">
        <f>_xlfn.XLOOKUP(G912,products!A:A,products!D:D)</f>
        <v>2.5</v>
      </c>
      <c r="P912">
        <f>_xlfn.XLOOKUP(G912,products!A:A,products!E:E)</f>
        <v>22.884999999999998</v>
      </c>
      <c r="Q912">
        <f t="shared" si="59"/>
        <v>91.539999999999992</v>
      </c>
      <c r="R912" t="str" cm="1">
        <f t="array" ref="R912">_xlfn.IFS(Q912&lt;=50,"low sales",Q912&lt;=100,"medium sales",Q912&gt;100,"High sales")</f>
        <v>medium sales</v>
      </c>
    </row>
    <row r="913" spans="1:18" x14ac:dyDescent="0.35">
      <c r="A913" s="2" t="s">
        <v>5643</v>
      </c>
      <c r="B913" s="3">
        <v>44511</v>
      </c>
      <c r="C913" s="3" t="str">
        <f t="shared" si="56"/>
        <v>Thursday</v>
      </c>
      <c r="D913" s="3" t="str">
        <f t="shared" si="57"/>
        <v>November</v>
      </c>
      <c r="E913" s="3" t="str">
        <f t="shared" si="58"/>
        <v>2021</v>
      </c>
      <c r="F913" s="2" t="s">
        <v>5644</v>
      </c>
      <c r="G913" t="s">
        <v>6155</v>
      </c>
      <c r="H913" s="2">
        <v>4</v>
      </c>
      <c r="I913" s="2" t="str">
        <f>_xlfn.XLOOKUP(F913,customers!A:A,customers!B:B)</f>
        <v>Mindy Bogey</v>
      </c>
      <c r="J913" s="2" t="str">
        <f>_xlfn.XLOOKUP(F913,customers!A:A,customers!C:C)</f>
        <v>mbogeypb@thetimes.co.uk</v>
      </c>
      <c r="K913" s="2" t="str">
        <f>_xlfn.XLOOKUP(F913,customers!A:A,customers!F:F)</f>
        <v>Washington</v>
      </c>
      <c r="L913" s="2" t="str">
        <f>_xlfn.XLOOKUP(F913,customers!A:A,customers!G:G)</f>
        <v>United States</v>
      </c>
      <c r="M913" t="str">
        <f>_xlfn.XLOOKUP(G913,products!A:A,products!B:B)</f>
        <v>Ara</v>
      </c>
      <c r="N913" t="str">
        <f>_xlfn.XLOOKUP(G913,products!A:A,products!C:C)</f>
        <v>M</v>
      </c>
      <c r="O913">
        <f>_xlfn.XLOOKUP(G913,products!A:A,products!D:D)</f>
        <v>1</v>
      </c>
      <c r="P913">
        <f>_xlfn.XLOOKUP(G913,products!A:A,products!E:E)</f>
        <v>11.25</v>
      </c>
      <c r="Q913">
        <f t="shared" si="59"/>
        <v>45</v>
      </c>
      <c r="R913" t="str" cm="1">
        <f t="array" ref="R913">_xlfn.IFS(Q913&lt;=50,"low sales",Q913&lt;=100,"medium sales",Q913&gt;100,"High sales")</f>
        <v>low sales</v>
      </c>
    </row>
    <row r="914" spans="1:18" x14ac:dyDescent="0.35">
      <c r="A914" s="2" t="s">
        <v>5649</v>
      </c>
      <c r="B914" s="3">
        <v>43726</v>
      </c>
      <c r="C914" s="3" t="str">
        <f t="shared" si="56"/>
        <v>Wednesday</v>
      </c>
      <c r="D914" s="3" t="str">
        <f t="shared" si="57"/>
        <v>September</v>
      </c>
      <c r="E914" s="3" t="str">
        <f t="shared" si="58"/>
        <v>2019</v>
      </c>
      <c r="F914" s="2" t="s">
        <v>5650</v>
      </c>
      <c r="G914" t="s">
        <v>6151</v>
      </c>
      <c r="H914" s="2">
        <v>6</v>
      </c>
      <c r="I914" s="2" t="str">
        <f>_xlfn.XLOOKUP(F914,customers!A:A,customers!B:B)</f>
        <v>Paulie Fonzone</v>
      </c>
      <c r="J914" s="2">
        <f>_xlfn.XLOOKUP(F914,customers!A:A,customers!C:C)</f>
        <v>0</v>
      </c>
      <c r="K914" s="2" t="str">
        <f>_xlfn.XLOOKUP(F914,customers!A:A,customers!F:F)</f>
        <v>Albany</v>
      </c>
      <c r="L914" s="2" t="str">
        <f>_xlfn.XLOOKUP(F914,customers!A:A,customers!G:G)</f>
        <v>United States</v>
      </c>
      <c r="M914" t="str">
        <f>_xlfn.XLOOKUP(G914,products!A:A,products!B:B)</f>
        <v>Rob</v>
      </c>
      <c r="N914" t="str">
        <f>_xlfn.XLOOKUP(G914,products!A:A,products!C:C)</f>
        <v>M</v>
      </c>
      <c r="O914">
        <f>_xlfn.XLOOKUP(G914,products!A:A,products!D:D)</f>
        <v>2.5</v>
      </c>
      <c r="P914">
        <f>_xlfn.XLOOKUP(G914,products!A:A,products!E:E)</f>
        <v>22.884999999999998</v>
      </c>
      <c r="Q914">
        <f t="shared" si="59"/>
        <v>137.31</v>
      </c>
      <c r="R914" t="str" cm="1">
        <f t="array" ref="R914">_xlfn.IFS(Q914&lt;=50,"low sales",Q914&lt;=100,"medium sales",Q914&gt;100,"High sales")</f>
        <v>High sales</v>
      </c>
    </row>
    <row r="915" spans="1:18" x14ac:dyDescent="0.35">
      <c r="A915" s="2" t="s">
        <v>5654</v>
      </c>
      <c r="B915" s="3">
        <v>44406</v>
      </c>
      <c r="C915" s="3" t="str">
        <f t="shared" si="56"/>
        <v>Thursday</v>
      </c>
      <c r="D915" s="3" t="str">
        <f t="shared" si="57"/>
        <v>July</v>
      </c>
      <c r="E915" s="3" t="str">
        <f t="shared" si="58"/>
        <v>2021</v>
      </c>
      <c r="F915" s="2" t="s">
        <v>5655</v>
      </c>
      <c r="G915" t="s">
        <v>6157</v>
      </c>
      <c r="H915" s="2">
        <v>1</v>
      </c>
      <c r="I915" s="2" t="str">
        <f>_xlfn.XLOOKUP(F915,customers!A:A,customers!B:B)</f>
        <v>Merrile Cobbledick</v>
      </c>
      <c r="J915" s="2" t="str">
        <f>_xlfn.XLOOKUP(F915,customers!A:A,customers!C:C)</f>
        <v>mcobbledickpd@ucsd.edu</v>
      </c>
      <c r="K915" s="2" t="str">
        <f>_xlfn.XLOOKUP(F915,customers!A:A,customers!F:F)</f>
        <v>Tucson</v>
      </c>
      <c r="L915" s="2" t="str">
        <f>_xlfn.XLOOKUP(F915,customers!A:A,customers!G:G)</f>
        <v>United States</v>
      </c>
      <c r="M915" t="str">
        <f>_xlfn.XLOOKUP(G915,products!A:A,products!B:B)</f>
        <v>Ara</v>
      </c>
      <c r="N915" t="str">
        <f>_xlfn.XLOOKUP(G915,products!A:A,products!C:C)</f>
        <v>M</v>
      </c>
      <c r="O915">
        <f>_xlfn.XLOOKUP(G915,products!A:A,products!D:D)</f>
        <v>0.5</v>
      </c>
      <c r="P915">
        <f>_xlfn.XLOOKUP(G915,products!A:A,products!E:E)</f>
        <v>6.75</v>
      </c>
      <c r="Q915">
        <f t="shared" si="59"/>
        <v>6.75</v>
      </c>
      <c r="R915" t="str" cm="1">
        <f t="array" ref="R915">_xlfn.IFS(Q915&lt;=50,"low sales",Q915&lt;=100,"medium sales",Q915&gt;100,"High sales")</f>
        <v>low sales</v>
      </c>
    </row>
    <row r="916" spans="1:18" x14ac:dyDescent="0.35">
      <c r="A916" s="2" t="s">
        <v>5660</v>
      </c>
      <c r="B916" s="3">
        <v>44640</v>
      </c>
      <c r="C916" s="3" t="str">
        <f t="shared" si="56"/>
        <v>Sunday</v>
      </c>
      <c r="D916" s="3" t="str">
        <f t="shared" si="57"/>
        <v>March</v>
      </c>
      <c r="E916" s="3" t="str">
        <f t="shared" si="58"/>
        <v>2022</v>
      </c>
      <c r="F916" s="2" t="s">
        <v>5661</v>
      </c>
      <c r="G916" t="s">
        <v>6155</v>
      </c>
      <c r="H916" s="2">
        <v>4</v>
      </c>
      <c r="I916" s="2" t="str">
        <f>_xlfn.XLOOKUP(F916,customers!A:A,customers!B:B)</f>
        <v>Antonius Lewry</v>
      </c>
      <c r="J916" s="2" t="str">
        <f>_xlfn.XLOOKUP(F916,customers!A:A,customers!C:C)</f>
        <v>alewrype@whitehouse.gov</v>
      </c>
      <c r="K916" s="2" t="str">
        <f>_xlfn.XLOOKUP(F916,customers!A:A,customers!F:F)</f>
        <v>Montgomery</v>
      </c>
      <c r="L916" s="2" t="str">
        <f>_xlfn.XLOOKUP(F916,customers!A:A,customers!G:G)</f>
        <v>United States</v>
      </c>
      <c r="M916" t="str">
        <f>_xlfn.XLOOKUP(G916,products!A:A,products!B:B)</f>
        <v>Ara</v>
      </c>
      <c r="N916" t="str">
        <f>_xlfn.XLOOKUP(G916,products!A:A,products!C:C)</f>
        <v>M</v>
      </c>
      <c r="O916">
        <f>_xlfn.XLOOKUP(G916,products!A:A,products!D:D)</f>
        <v>1</v>
      </c>
      <c r="P916">
        <f>_xlfn.XLOOKUP(G916,products!A:A,products!E:E)</f>
        <v>11.25</v>
      </c>
      <c r="Q916">
        <f t="shared" si="59"/>
        <v>45</v>
      </c>
      <c r="R916" t="str" cm="1">
        <f t="array" ref="R916">_xlfn.IFS(Q916&lt;=50,"low sales",Q916&lt;=100,"medium sales",Q916&gt;100,"High sales")</f>
        <v>low sales</v>
      </c>
    </row>
    <row r="917" spans="1:18" x14ac:dyDescent="0.35">
      <c r="A917" s="2" t="s">
        <v>5666</v>
      </c>
      <c r="B917" s="3">
        <v>43955</v>
      </c>
      <c r="C917" s="3" t="str">
        <f t="shared" si="56"/>
        <v>Monday</v>
      </c>
      <c r="D917" s="3" t="str">
        <f t="shared" si="57"/>
        <v>May</v>
      </c>
      <c r="E917" s="3" t="str">
        <f t="shared" si="58"/>
        <v>2020</v>
      </c>
      <c r="F917" s="2" t="s">
        <v>5667</v>
      </c>
      <c r="G917" t="s">
        <v>6185</v>
      </c>
      <c r="H917" s="2">
        <v>3</v>
      </c>
      <c r="I917" s="2" t="str">
        <f>_xlfn.XLOOKUP(F917,customers!A:A,customers!B:B)</f>
        <v>Isis Hessel</v>
      </c>
      <c r="J917" s="2" t="str">
        <f>_xlfn.XLOOKUP(F917,customers!A:A,customers!C:C)</f>
        <v>ihesselpf@ox.ac.uk</v>
      </c>
      <c r="K917" s="2" t="str">
        <f>_xlfn.XLOOKUP(F917,customers!A:A,customers!F:F)</f>
        <v>Fairbanks</v>
      </c>
      <c r="L917" s="2" t="str">
        <f>_xlfn.XLOOKUP(F917,customers!A:A,customers!G:G)</f>
        <v>United States</v>
      </c>
      <c r="M917" t="str">
        <f>_xlfn.XLOOKUP(G917,products!A:A,products!B:B)</f>
        <v>Exc</v>
      </c>
      <c r="N917" t="str">
        <f>_xlfn.XLOOKUP(G917,products!A:A,products!C:C)</f>
        <v>D</v>
      </c>
      <c r="O917">
        <f>_xlfn.XLOOKUP(G917,products!A:A,products!D:D)</f>
        <v>2.5</v>
      </c>
      <c r="P917">
        <f>_xlfn.XLOOKUP(G917,products!A:A,products!E:E)</f>
        <v>27.945</v>
      </c>
      <c r="Q917">
        <f t="shared" si="59"/>
        <v>83.835000000000008</v>
      </c>
      <c r="R917" t="str" cm="1">
        <f t="array" ref="R917">_xlfn.IFS(Q917&lt;=50,"low sales",Q917&lt;=100,"medium sales",Q917&gt;100,"High sales")</f>
        <v>medium sales</v>
      </c>
    </row>
    <row r="918" spans="1:18" x14ac:dyDescent="0.35">
      <c r="A918" s="2" t="s">
        <v>5672</v>
      </c>
      <c r="B918" s="3">
        <v>44291</v>
      </c>
      <c r="C918" s="3" t="str">
        <f t="shared" si="56"/>
        <v>Monday</v>
      </c>
      <c r="D918" s="3" t="str">
        <f t="shared" si="57"/>
        <v>April</v>
      </c>
      <c r="E918" s="3" t="str">
        <f t="shared" si="58"/>
        <v>2021</v>
      </c>
      <c r="F918" s="2" t="s">
        <v>5673</v>
      </c>
      <c r="G918" t="s">
        <v>6153</v>
      </c>
      <c r="H918" s="2">
        <v>1</v>
      </c>
      <c r="I918" s="2" t="str">
        <f>_xlfn.XLOOKUP(F918,customers!A:A,customers!B:B)</f>
        <v>Harland Trematick</v>
      </c>
      <c r="J918" s="2">
        <f>_xlfn.XLOOKUP(F918,customers!A:A,customers!C:C)</f>
        <v>0</v>
      </c>
      <c r="K918" s="2" t="str">
        <f>_xlfn.XLOOKUP(F918,customers!A:A,customers!F:F)</f>
        <v>Monasterevin</v>
      </c>
      <c r="L918" s="2" t="str">
        <f>_xlfn.XLOOKUP(F918,customers!A:A,customers!G:G)</f>
        <v>Ireland</v>
      </c>
      <c r="M918" t="str">
        <f>_xlfn.XLOOKUP(G918,products!A:A,products!B:B)</f>
        <v>Exc</v>
      </c>
      <c r="N918" t="str">
        <f>_xlfn.XLOOKUP(G918,products!A:A,products!C:C)</f>
        <v>D</v>
      </c>
      <c r="O918">
        <f>_xlfn.XLOOKUP(G918,products!A:A,products!D:D)</f>
        <v>0.2</v>
      </c>
      <c r="P918">
        <f>_xlfn.XLOOKUP(G918,products!A:A,products!E:E)</f>
        <v>3.645</v>
      </c>
      <c r="Q918">
        <f t="shared" si="59"/>
        <v>3.645</v>
      </c>
      <c r="R918" t="str" cm="1">
        <f t="array" ref="R918">_xlfn.IFS(Q918&lt;=50,"low sales",Q918&lt;=100,"medium sales",Q918&gt;100,"High sales")</f>
        <v>low sales</v>
      </c>
    </row>
    <row r="919" spans="1:18" x14ac:dyDescent="0.35">
      <c r="A919" s="2" t="s">
        <v>5676</v>
      </c>
      <c r="B919" s="3">
        <v>44573</v>
      </c>
      <c r="C919" s="3" t="str">
        <f t="shared" si="56"/>
        <v>Wednesday</v>
      </c>
      <c r="D919" s="3" t="str">
        <f t="shared" si="57"/>
        <v>January</v>
      </c>
      <c r="E919" s="3" t="str">
        <f t="shared" si="58"/>
        <v>2022</v>
      </c>
      <c r="F919" s="2" t="s">
        <v>5677</v>
      </c>
      <c r="G919" t="s">
        <v>6157</v>
      </c>
      <c r="H919" s="2">
        <v>1</v>
      </c>
      <c r="I919" s="2" t="str">
        <f>_xlfn.XLOOKUP(F919,customers!A:A,customers!B:B)</f>
        <v>Chloris Sorrell</v>
      </c>
      <c r="J919" s="2" t="str">
        <f>_xlfn.XLOOKUP(F919,customers!A:A,customers!C:C)</f>
        <v>csorrellph@amazon.com</v>
      </c>
      <c r="K919" s="2" t="str">
        <f>_xlfn.XLOOKUP(F919,customers!A:A,customers!F:F)</f>
        <v>Norton</v>
      </c>
      <c r="L919" s="2" t="str">
        <f>_xlfn.XLOOKUP(F919,customers!A:A,customers!G:G)</f>
        <v>United Kingdom</v>
      </c>
      <c r="M919" t="str">
        <f>_xlfn.XLOOKUP(G919,products!A:A,products!B:B)</f>
        <v>Ara</v>
      </c>
      <c r="N919" t="str">
        <f>_xlfn.XLOOKUP(G919,products!A:A,products!C:C)</f>
        <v>M</v>
      </c>
      <c r="O919">
        <f>_xlfn.XLOOKUP(G919,products!A:A,products!D:D)</f>
        <v>0.5</v>
      </c>
      <c r="P919">
        <f>_xlfn.XLOOKUP(G919,products!A:A,products!E:E)</f>
        <v>6.75</v>
      </c>
      <c r="Q919">
        <f t="shared" si="59"/>
        <v>6.75</v>
      </c>
      <c r="R919" t="str" cm="1">
        <f t="array" ref="R919">_xlfn.IFS(Q919&lt;=50,"low sales",Q919&lt;=100,"medium sales",Q919&gt;100,"High sales")</f>
        <v>low sales</v>
      </c>
    </row>
    <row r="920" spans="1:18" x14ac:dyDescent="0.35">
      <c r="A920" s="2" t="s">
        <v>5676</v>
      </c>
      <c r="B920" s="3">
        <v>44573</v>
      </c>
      <c r="C920" s="3" t="str">
        <f t="shared" si="56"/>
        <v>Wednesday</v>
      </c>
      <c r="D920" s="3" t="str">
        <f t="shared" si="57"/>
        <v>January</v>
      </c>
      <c r="E920" s="3" t="str">
        <f t="shared" si="58"/>
        <v>2022</v>
      </c>
      <c r="F920" s="2" t="s">
        <v>5677</v>
      </c>
      <c r="G920" t="s">
        <v>6144</v>
      </c>
      <c r="H920" s="2">
        <v>3</v>
      </c>
      <c r="I920" s="2" t="str">
        <f>_xlfn.XLOOKUP(F920,customers!A:A,customers!B:B)</f>
        <v>Chloris Sorrell</v>
      </c>
      <c r="J920" s="2" t="str">
        <f>_xlfn.XLOOKUP(F920,customers!A:A,customers!C:C)</f>
        <v>csorrellph@amazon.com</v>
      </c>
      <c r="K920" s="2" t="str">
        <f>_xlfn.XLOOKUP(F920,customers!A:A,customers!F:F)</f>
        <v>Norton</v>
      </c>
      <c r="L920" s="2" t="str">
        <f>_xlfn.XLOOKUP(F920,customers!A:A,customers!G:G)</f>
        <v>United Kingdom</v>
      </c>
      <c r="M920" t="str">
        <f>_xlfn.XLOOKUP(G920,products!A:A,products!B:B)</f>
        <v>Exc</v>
      </c>
      <c r="N920" t="str">
        <f>_xlfn.XLOOKUP(G920,products!A:A,products!C:C)</f>
        <v>D</v>
      </c>
      <c r="O920">
        <f>_xlfn.XLOOKUP(G920,products!A:A,products!D:D)</f>
        <v>0.5</v>
      </c>
      <c r="P920">
        <f>_xlfn.XLOOKUP(G920,products!A:A,products!E:E)</f>
        <v>7.29</v>
      </c>
      <c r="Q920">
        <f t="shared" si="59"/>
        <v>21.87</v>
      </c>
      <c r="R920" t="str" cm="1">
        <f t="array" ref="R920">_xlfn.IFS(Q920&lt;=50,"low sales",Q920&lt;=100,"medium sales",Q920&gt;100,"High sales")</f>
        <v>low sales</v>
      </c>
    </row>
    <row r="921" spans="1:18" x14ac:dyDescent="0.35">
      <c r="A921" s="2" t="s">
        <v>5687</v>
      </c>
      <c r="B921" s="3">
        <v>44181</v>
      </c>
      <c r="C921" s="3" t="str">
        <f t="shared" si="56"/>
        <v>Wednesday</v>
      </c>
      <c r="D921" s="3" t="str">
        <f t="shared" si="57"/>
        <v>December</v>
      </c>
      <c r="E921" s="3" t="str">
        <f t="shared" si="58"/>
        <v>2020</v>
      </c>
      <c r="F921" s="2" t="s">
        <v>5688</v>
      </c>
      <c r="G921" t="s">
        <v>6163</v>
      </c>
      <c r="H921" s="2">
        <v>5</v>
      </c>
      <c r="I921" s="2" t="str">
        <f>_xlfn.XLOOKUP(F921,customers!A:A,customers!B:B)</f>
        <v>Quintina Heavyside</v>
      </c>
      <c r="J921" s="2" t="str">
        <f>_xlfn.XLOOKUP(F921,customers!A:A,customers!C:C)</f>
        <v>qheavysidepj@unc.edu</v>
      </c>
      <c r="K921" s="2" t="str">
        <f>_xlfn.XLOOKUP(F921,customers!A:A,customers!F:F)</f>
        <v>Lexington</v>
      </c>
      <c r="L921" s="2" t="str">
        <f>_xlfn.XLOOKUP(F921,customers!A:A,customers!G:G)</f>
        <v>United States</v>
      </c>
      <c r="M921" t="str">
        <f>_xlfn.XLOOKUP(G921,products!A:A,products!B:B)</f>
        <v>Rob</v>
      </c>
      <c r="N921" t="str">
        <f>_xlfn.XLOOKUP(G921,products!A:A,products!C:C)</f>
        <v>D</v>
      </c>
      <c r="O921">
        <f>_xlfn.XLOOKUP(G921,products!A:A,products!D:D)</f>
        <v>0.2</v>
      </c>
      <c r="P921">
        <f>_xlfn.XLOOKUP(G921,products!A:A,products!E:E)</f>
        <v>2.6849999999999996</v>
      </c>
      <c r="Q921">
        <f t="shared" si="59"/>
        <v>13.424999999999997</v>
      </c>
      <c r="R921" t="str" cm="1">
        <f t="array" ref="R921">_xlfn.IFS(Q921&lt;=50,"low sales",Q921&lt;=100,"medium sales",Q921&gt;100,"High sales")</f>
        <v>low sales</v>
      </c>
    </row>
    <row r="922" spans="1:18" x14ac:dyDescent="0.35">
      <c r="A922" s="2" t="s">
        <v>5693</v>
      </c>
      <c r="B922" s="3">
        <v>44711</v>
      </c>
      <c r="C922" s="3" t="str">
        <f t="shared" si="56"/>
        <v>Monday</v>
      </c>
      <c r="D922" s="3" t="str">
        <f t="shared" si="57"/>
        <v>May</v>
      </c>
      <c r="E922" s="3" t="str">
        <f t="shared" si="58"/>
        <v>2022</v>
      </c>
      <c r="F922" s="2" t="s">
        <v>5694</v>
      </c>
      <c r="G922" t="s">
        <v>6149</v>
      </c>
      <c r="H922" s="2">
        <v>6</v>
      </c>
      <c r="I922" s="2" t="str">
        <f>_xlfn.XLOOKUP(F922,customers!A:A,customers!B:B)</f>
        <v>Hadley Reuven</v>
      </c>
      <c r="J922" s="2" t="str">
        <f>_xlfn.XLOOKUP(F922,customers!A:A,customers!C:C)</f>
        <v>hreuvenpk@whitehouse.gov</v>
      </c>
      <c r="K922" s="2" t="str">
        <f>_xlfn.XLOOKUP(F922,customers!A:A,customers!F:F)</f>
        <v>Grand Rapids</v>
      </c>
      <c r="L922" s="2" t="str">
        <f>_xlfn.XLOOKUP(F922,customers!A:A,customers!G:G)</f>
        <v>United States</v>
      </c>
      <c r="M922" t="str">
        <f>_xlfn.XLOOKUP(G922,products!A:A,products!B:B)</f>
        <v>Rob</v>
      </c>
      <c r="N922" t="str">
        <f>_xlfn.XLOOKUP(G922,products!A:A,products!C:C)</f>
        <v>D</v>
      </c>
      <c r="O922">
        <f>_xlfn.XLOOKUP(G922,products!A:A,products!D:D)</f>
        <v>2.5</v>
      </c>
      <c r="P922">
        <f>_xlfn.XLOOKUP(G922,products!A:A,products!E:E)</f>
        <v>20.584999999999997</v>
      </c>
      <c r="Q922">
        <f t="shared" si="59"/>
        <v>123.50999999999999</v>
      </c>
      <c r="R922" t="str" cm="1">
        <f t="array" ref="R922">_xlfn.IFS(Q922&lt;=50,"low sales",Q922&lt;=100,"medium sales",Q922&gt;100,"High sales")</f>
        <v>High sales</v>
      </c>
    </row>
    <row r="923" spans="1:18" x14ac:dyDescent="0.35">
      <c r="A923" s="2" t="s">
        <v>5699</v>
      </c>
      <c r="B923" s="3">
        <v>44509</v>
      </c>
      <c r="C923" s="3" t="str">
        <f t="shared" si="56"/>
        <v>Tuesday</v>
      </c>
      <c r="D923" s="3" t="str">
        <f t="shared" si="57"/>
        <v>November</v>
      </c>
      <c r="E923" s="3" t="str">
        <f t="shared" si="58"/>
        <v>2021</v>
      </c>
      <c r="F923" s="2" t="s">
        <v>5700</v>
      </c>
      <c r="G923" t="s">
        <v>6150</v>
      </c>
      <c r="H923" s="2">
        <v>2</v>
      </c>
      <c r="I923" s="2" t="str">
        <f>_xlfn.XLOOKUP(F923,customers!A:A,customers!B:B)</f>
        <v>Mitch Attwool</v>
      </c>
      <c r="J923" s="2" t="str">
        <f>_xlfn.XLOOKUP(F923,customers!A:A,customers!C:C)</f>
        <v>mattwoolpl@nba.com</v>
      </c>
      <c r="K923" s="2" t="str">
        <f>_xlfn.XLOOKUP(F923,customers!A:A,customers!F:F)</f>
        <v>Des Moines</v>
      </c>
      <c r="L923" s="2" t="str">
        <f>_xlfn.XLOOKUP(F923,customers!A:A,customers!G:G)</f>
        <v>United States</v>
      </c>
      <c r="M923" t="str">
        <f>_xlfn.XLOOKUP(G923,products!A:A,products!B:B)</f>
        <v>Lib</v>
      </c>
      <c r="N923" t="str">
        <f>_xlfn.XLOOKUP(G923,products!A:A,products!C:C)</f>
        <v>D</v>
      </c>
      <c r="O923">
        <f>_xlfn.XLOOKUP(G923,products!A:A,products!D:D)</f>
        <v>0.2</v>
      </c>
      <c r="P923">
        <f>_xlfn.XLOOKUP(G923,products!A:A,products!E:E)</f>
        <v>3.8849999999999998</v>
      </c>
      <c r="Q923">
        <f t="shared" si="59"/>
        <v>7.77</v>
      </c>
      <c r="R923" t="str" cm="1">
        <f t="array" ref="R923">_xlfn.IFS(Q923&lt;=50,"low sales",Q923&lt;=100,"medium sales",Q923&gt;100,"High sales")</f>
        <v>low sales</v>
      </c>
    </row>
    <row r="924" spans="1:18" x14ac:dyDescent="0.35">
      <c r="A924" s="2" t="s">
        <v>5705</v>
      </c>
      <c r="B924" s="3">
        <v>44659</v>
      </c>
      <c r="C924" s="3" t="str">
        <f t="shared" si="56"/>
        <v>Friday</v>
      </c>
      <c r="D924" s="3" t="str">
        <f t="shared" si="57"/>
        <v>April</v>
      </c>
      <c r="E924" s="3" t="str">
        <f t="shared" si="58"/>
        <v>2022</v>
      </c>
      <c r="F924" s="2" t="s">
        <v>5706</v>
      </c>
      <c r="G924" t="s">
        <v>6155</v>
      </c>
      <c r="H924" s="2">
        <v>6</v>
      </c>
      <c r="I924" s="2" t="str">
        <f>_xlfn.XLOOKUP(F924,customers!A:A,customers!B:B)</f>
        <v>Charin Maplethorp</v>
      </c>
      <c r="J924" s="2">
        <f>_xlfn.XLOOKUP(F924,customers!A:A,customers!C:C)</f>
        <v>0</v>
      </c>
      <c r="K924" s="2" t="str">
        <f>_xlfn.XLOOKUP(F924,customers!A:A,customers!F:F)</f>
        <v>Wilmington</v>
      </c>
      <c r="L924" s="2" t="str">
        <f>_xlfn.XLOOKUP(F924,customers!A:A,customers!G:G)</f>
        <v>United States</v>
      </c>
      <c r="M924" t="str">
        <f>_xlfn.XLOOKUP(G924,products!A:A,products!B:B)</f>
        <v>Ara</v>
      </c>
      <c r="N924" t="str">
        <f>_xlfn.XLOOKUP(G924,products!A:A,products!C:C)</f>
        <v>M</v>
      </c>
      <c r="O924">
        <f>_xlfn.XLOOKUP(G924,products!A:A,products!D:D)</f>
        <v>1</v>
      </c>
      <c r="P924">
        <f>_xlfn.XLOOKUP(G924,products!A:A,products!E:E)</f>
        <v>11.25</v>
      </c>
      <c r="Q924">
        <f t="shared" si="59"/>
        <v>67.5</v>
      </c>
      <c r="R924" t="str" cm="1">
        <f t="array" ref="R924">_xlfn.IFS(Q924&lt;=50,"low sales",Q924&lt;=100,"medium sales",Q924&gt;100,"High sales")</f>
        <v>medium sales</v>
      </c>
    </row>
    <row r="925" spans="1:18" x14ac:dyDescent="0.35">
      <c r="A925" s="2" t="s">
        <v>5709</v>
      </c>
      <c r="B925" s="3">
        <v>43746</v>
      </c>
      <c r="C925" s="3" t="str">
        <f t="shared" si="56"/>
        <v>Tuesday</v>
      </c>
      <c r="D925" s="3" t="str">
        <f t="shared" si="57"/>
        <v>October</v>
      </c>
      <c r="E925" s="3" t="str">
        <f t="shared" si="58"/>
        <v>2019</v>
      </c>
      <c r="F925" s="2" t="s">
        <v>5710</v>
      </c>
      <c r="G925" t="s">
        <v>6185</v>
      </c>
      <c r="H925" s="2">
        <v>1</v>
      </c>
      <c r="I925" s="2" t="str">
        <f>_xlfn.XLOOKUP(F925,customers!A:A,customers!B:B)</f>
        <v>Goldie Wynes</v>
      </c>
      <c r="J925" s="2" t="str">
        <f>_xlfn.XLOOKUP(F925,customers!A:A,customers!C:C)</f>
        <v>gwynespn@dagondesign.com</v>
      </c>
      <c r="K925" s="2" t="str">
        <f>_xlfn.XLOOKUP(F925,customers!A:A,customers!F:F)</f>
        <v>Austin</v>
      </c>
      <c r="L925" s="2" t="str">
        <f>_xlfn.XLOOKUP(F925,customers!A:A,customers!G:G)</f>
        <v>United States</v>
      </c>
      <c r="M925" t="str">
        <f>_xlfn.XLOOKUP(G925,products!A:A,products!B:B)</f>
        <v>Exc</v>
      </c>
      <c r="N925" t="str">
        <f>_xlfn.XLOOKUP(G925,products!A:A,products!C:C)</f>
        <v>D</v>
      </c>
      <c r="O925">
        <f>_xlfn.XLOOKUP(G925,products!A:A,products!D:D)</f>
        <v>2.5</v>
      </c>
      <c r="P925">
        <f>_xlfn.XLOOKUP(G925,products!A:A,products!E:E)</f>
        <v>27.945</v>
      </c>
      <c r="Q925">
        <f t="shared" si="59"/>
        <v>27.945</v>
      </c>
      <c r="R925" t="str" cm="1">
        <f t="array" ref="R925">_xlfn.IFS(Q925&lt;=50,"low sales",Q925&lt;=100,"medium sales",Q925&gt;100,"High sales")</f>
        <v>low sales</v>
      </c>
    </row>
    <row r="926" spans="1:18" x14ac:dyDescent="0.35">
      <c r="A926" s="2" t="s">
        <v>5715</v>
      </c>
      <c r="B926" s="3">
        <v>44451</v>
      </c>
      <c r="C926" s="3" t="str">
        <f t="shared" si="56"/>
        <v>Sunday</v>
      </c>
      <c r="D926" s="3" t="str">
        <f t="shared" si="57"/>
        <v>September</v>
      </c>
      <c r="E926" s="3" t="str">
        <f t="shared" si="58"/>
        <v>2021</v>
      </c>
      <c r="F926" s="2" t="s">
        <v>5716</v>
      </c>
      <c r="G926" t="s">
        <v>6182</v>
      </c>
      <c r="H926" s="2">
        <v>3</v>
      </c>
      <c r="I926" s="2" t="str">
        <f>_xlfn.XLOOKUP(F926,customers!A:A,customers!B:B)</f>
        <v>Celie MacCourt</v>
      </c>
      <c r="J926" s="2" t="str">
        <f>_xlfn.XLOOKUP(F926,customers!A:A,customers!C:C)</f>
        <v>cmaccourtpo@amazon.com</v>
      </c>
      <c r="K926" s="2" t="str">
        <f>_xlfn.XLOOKUP(F926,customers!A:A,customers!F:F)</f>
        <v>Orlando</v>
      </c>
      <c r="L926" s="2" t="str">
        <f>_xlfn.XLOOKUP(F926,customers!A:A,customers!G:G)</f>
        <v>United States</v>
      </c>
      <c r="M926" t="str">
        <f>_xlfn.XLOOKUP(G926,products!A:A,products!B:B)</f>
        <v>Ara</v>
      </c>
      <c r="N926" t="str">
        <f>_xlfn.XLOOKUP(G926,products!A:A,products!C:C)</f>
        <v>L</v>
      </c>
      <c r="O926">
        <f>_xlfn.XLOOKUP(G926,products!A:A,products!D:D)</f>
        <v>2.5</v>
      </c>
      <c r="P926">
        <f>_xlfn.XLOOKUP(G926,products!A:A,products!E:E)</f>
        <v>29.784999999999997</v>
      </c>
      <c r="Q926">
        <f t="shared" si="59"/>
        <v>89.35499999999999</v>
      </c>
      <c r="R926" t="str" cm="1">
        <f t="array" ref="R926">_xlfn.IFS(Q926&lt;=50,"low sales",Q926&lt;=100,"medium sales",Q926&gt;100,"High sales")</f>
        <v>medium sales</v>
      </c>
    </row>
    <row r="927" spans="1:18" x14ac:dyDescent="0.35">
      <c r="A927" s="2" t="s">
        <v>5720</v>
      </c>
      <c r="B927" s="3">
        <v>44770</v>
      </c>
      <c r="C927" s="3" t="str">
        <f t="shared" si="56"/>
        <v>Thursday</v>
      </c>
      <c r="D927" s="3" t="str">
        <f t="shared" si="57"/>
        <v>July</v>
      </c>
      <c r="E927" s="3" t="str">
        <f t="shared" si="58"/>
        <v>2022</v>
      </c>
      <c r="F927" s="2" t="s">
        <v>5554</v>
      </c>
      <c r="G927" t="s">
        <v>6157</v>
      </c>
      <c r="H927" s="2">
        <v>3</v>
      </c>
      <c r="I927" s="2" t="str">
        <f>_xlfn.XLOOKUP(F927,customers!A:A,customers!B:B)</f>
        <v>Derick Snow</v>
      </c>
      <c r="J927" s="2">
        <f>_xlfn.XLOOKUP(F927,customers!A:A,customers!C:C)</f>
        <v>0</v>
      </c>
      <c r="K927" s="2" t="str">
        <f>_xlfn.XLOOKUP(F927,customers!A:A,customers!F:F)</f>
        <v>New York City</v>
      </c>
      <c r="L927" s="2" t="str">
        <f>_xlfn.XLOOKUP(F927,customers!A:A,customers!G:G)</f>
        <v>United States</v>
      </c>
      <c r="M927" t="str">
        <f>_xlfn.XLOOKUP(G927,products!A:A,products!B:B)</f>
        <v>Ara</v>
      </c>
      <c r="N927" t="str">
        <f>_xlfn.XLOOKUP(G927,products!A:A,products!C:C)</f>
        <v>M</v>
      </c>
      <c r="O927">
        <f>_xlfn.XLOOKUP(G927,products!A:A,products!D:D)</f>
        <v>0.5</v>
      </c>
      <c r="P927">
        <f>_xlfn.XLOOKUP(G927,products!A:A,products!E:E)</f>
        <v>6.75</v>
      </c>
      <c r="Q927">
        <f t="shared" si="59"/>
        <v>20.25</v>
      </c>
      <c r="R927" t="str" cm="1">
        <f t="array" ref="R927">_xlfn.IFS(Q927&lt;=50,"low sales",Q927&lt;=100,"medium sales",Q927&gt;100,"High sales")</f>
        <v>low sales</v>
      </c>
    </row>
    <row r="928" spans="1:18" x14ac:dyDescent="0.35">
      <c r="A928" s="2" t="s">
        <v>5725</v>
      </c>
      <c r="B928" s="3">
        <v>44012</v>
      </c>
      <c r="C928" s="3" t="str">
        <f t="shared" si="56"/>
        <v>Tuesday</v>
      </c>
      <c r="D928" s="3" t="str">
        <f t="shared" si="57"/>
        <v>June</v>
      </c>
      <c r="E928" s="3" t="str">
        <f t="shared" si="58"/>
        <v>2020</v>
      </c>
      <c r="F928" s="2" t="s">
        <v>5726</v>
      </c>
      <c r="G928" t="s">
        <v>6157</v>
      </c>
      <c r="H928" s="2">
        <v>5</v>
      </c>
      <c r="I928" s="2" t="str">
        <f>_xlfn.XLOOKUP(F928,customers!A:A,customers!B:B)</f>
        <v>Evy Wilsone</v>
      </c>
      <c r="J928" s="2" t="str">
        <f>_xlfn.XLOOKUP(F928,customers!A:A,customers!C:C)</f>
        <v>ewilsonepq@eepurl.com</v>
      </c>
      <c r="K928" s="2" t="str">
        <f>_xlfn.XLOOKUP(F928,customers!A:A,customers!F:F)</f>
        <v>Washington</v>
      </c>
      <c r="L928" s="2" t="str">
        <f>_xlfn.XLOOKUP(F928,customers!A:A,customers!G:G)</f>
        <v>United States</v>
      </c>
      <c r="M928" t="str">
        <f>_xlfn.XLOOKUP(G928,products!A:A,products!B:B)</f>
        <v>Ara</v>
      </c>
      <c r="N928" t="str">
        <f>_xlfn.XLOOKUP(G928,products!A:A,products!C:C)</f>
        <v>M</v>
      </c>
      <c r="O928">
        <f>_xlfn.XLOOKUP(G928,products!A:A,products!D:D)</f>
        <v>0.5</v>
      </c>
      <c r="P928">
        <f>_xlfn.XLOOKUP(G928,products!A:A,products!E:E)</f>
        <v>6.75</v>
      </c>
      <c r="Q928">
        <f t="shared" si="59"/>
        <v>33.75</v>
      </c>
      <c r="R928" t="str" cm="1">
        <f t="array" ref="R928">_xlfn.IFS(Q928&lt;=50,"low sales",Q928&lt;=100,"medium sales",Q928&gt;100,"High sales")</f>
        <v>low sales</v>
      </c>
    </row>
    <row r="929" spans="1:18" x14ac:dyDescent="0.35">
      <c r="A929" s="2" t="s">
        <v>5731</v>
      </c>
      <c r="B929" s="3">
        <v>43474</v>
      </c>
      <c r="C929" s="3" t="str">
        <f t="shared" si="56"/>
        <v>Wednesday</v>
      </c>
      <c r="D929" s="3" t="str">
        <f t="shared" si="57"/>
        <v>January</v>
      </c>
      <c r="E929" s="3" t="str">
        <f t="shared" si="58"/>
        <v>2019</v>
      </c>
      <c r="F929" s="2" t="s">
        <v>5732</v>
      </c>
      <c r="G929" t="s">
        <v>6185</v>
      </c>
      <c r="H929" s="2">
        <v>4</v>
      </c>
      <c r="I929" s="2" t="str">
        <f>_xlfn.XLOOKUP(F929,customers!A:A,customers!B:B)</f>
        <v>Dolores Duffie</v>
      </c>
      <c r="J929" s="2" t="str">
        <f>_xlfn.XLOOKUP(F929,customers!A:A,customers!C:C)</f>
        <v>dduffiepr@time.com</v>
      </c>
      <c r="K929" s="2" t="str">
        <f>_xlfn.XLOOKUP(F929,customers!A:A,customers!F:F)</f>
        <v>Portland</v>
      </c>
      <c r="L929" s="2" t="str">
        <f>_xlfn.XLOOKUP(F929,customers!A:A,customers!G:G)</f>
        <v>United States</v>
      </c>
      <c r="M929" t="str">
        <f>_xlfn.XLOOKUP(G929,products!A:A,products!B:B)</f>
        <v>Exc</v>
      </c>
      <c r="N929" t="str">
        <f>_xlfn.XLOOKUP(G929,products!A:A,products!C:C)</f>
        <v>D</v>
      </c>
      <c r="O929">
        <f>_xlfn.XLOOKUP(G929,products!A:A,products!D:D)</f>
        <v>2.5</v>
      </c>
      <c r="P929">
        <f>_xlfn.XLOOKUP(G929,products!A:A,products!E:E)</f>
        <v>27.945</v>
      </c>
      <c r="Q929">
        <f t="shared" si="59"/>
        <v>111.78</v>
      </c>
      <c r="R929" t="str" cm="1">
        <f t="array" ref="R929">_xlfn.IFS(Q929&lt;=50,"low sales",Q929&lt;=100,"medium sales",Q929&gt;100,"High sales")</f>
        <v>High sales</v>
      </c>
    </row>
    <row r="930" spans="1:18" x14ac:dyDescent="0.35">
      <c r="A930" s="2" t="s">
        <v>5737</v>
      </c>
      <c r="B930" s="3">
        <v>44754</v>
      </c>
      <c r="C930" s="3" t="str">
        <f t="shared" si="56"/>
        <v>Tuesday</v>
      </c>
      <c r="D930" s="3" t="str">
        <f t="shared" si="57"/>
        <v>July</v>
      </c>
      <c r="E930" s="3" t="str">
        <f t="shared" si="58"/>
        <v>2022</v>
      </c>
      <c r="F930" s="2" t="s">
        <v>5738</v>
      </c>
      <c r="G930" t="s">
        <v>6166</v>
      </c>
      <c r="H930" s="2">
        <v>2</v>
      </c>
      <c r="I930" s="2" t="str">
        <f>_xlfn.XLOOKUP(F930,customers!A:A,customers!B:B)</f>
        <v>Mathilda Matiasek</v>
      </c>
      <c r="J930" s="2" t="str">
        <f>_xlfn.XLOOKUP(F930,customers!A:A,customers!C:C)</f>
        <v>mmatiasekps@ucoz.ru</v>
      </c>
      <c r="K930" s="2" t="str">
        <f>_xlfn.XLOOKUP(F930,customers!A:A,customers!F:F)</f>
        <v>New York City</v>
      </c>
      <c r="L930" s="2" t="str">
        <f>_xlfn.XLOOKUP(F930,customers!A:A,customers!G:G)</f>
        <v>United States</v>
      </c>
      <c r="M930" t="str">
        <f>_xlfn.XLOOKUP(G930,products!A:A,products!B:B)</f>
        <v>Exc</v>
      </c>
      <c r="N930" t="str">
        <f>_xlfn.XLOOKUP(G930,products!A:A,products!C:C)</f>
        <v>M</v>
      </c>
      <c r="O930">
        <f>_xlfn.XLOOKUP(G930,products!A:A,products!D:D)</f>
        <v>2.5</v>
      </c>
      <c r="P930">
        <f>_xlfn.XLOOKUP(G930,products!A:A,products!E:E)</f>
        <v>31.624999999999996</v>
      </c>
      <c r="Q930">
        <f t="shared" si="59"/>
        <v>63.249999999999993</v>
      </c>
      <c r="R930" t="str" cm="1">
        <f t="array" ref="R930">_xlfn.IFS(Q930&lt;=50,"low sales",Q930&lt;=100,"medium sales",Q930&gt;100,"High sales")</f>
        <v>medium sales</v>
      </c>
    </row>
    <row r="931" spans="1:18" x14ac:dyDescent="0.35">
      <c r="A931" s="2" t="s">
        <v>5742</v>
      </c>
      <c r="B931" s="3">
        <v>44165</v>
      </c>
      <c r="C931" s="3" t="str">
        <f t="shared" si="56"/>
        <v>Monday</v>
      </c>
      <c r="D931" s="3" t="str">
        <f t="shared" si="57"/>
        <v>November</v>
      </c>
      <c r="E931" s="3" t="str">
        <f t="shared" si="58"/>
        <v>2020</v>
      </c>
      <c r="F931" s="2" t="s">
        <v>5743</v>
      </c>
      <c r="G931" t="s">
        <v>6184</v>
      </c>
      <c r="H931" s="2">
        <v>2</v>
      </c>
      <c r="I931" s="2" t="str">
        <f>_xlfn.XLOOKUP(F931,customers!A:A,customers!B:B)</f>
        <v>Jarred Camillo</v>
      </c>
      <c r="J931" s="2" t="str">
        <f>_xlfn.XLOOKUP(F931,customers!A:A,customers!C:C)</f>
        <v>jcamillopt@shinystat.com</v>
      </c>
      <c r="K931" s="2" t="str">
        <f>_xlfn.XLOOKUP(F931,customers!A:A,customers!F:F)</f>
        <v>Washington</v>
      </c>
      <c r="L931" s="2" t="str">
        <f>_xlfn.XLOOKUP(F931,customers!A:A,customers!G:G)</f>
        <v>United States</v>
      </c>
      <c r="M931" t="str">
        <f>_xlfn.XLOOKUP(G931,products!A:A,products!B:B)</f>
        <v>Exc</v>
      </c>
      <c r="N931" t="str">
        <f>_xlfn.XLOOKUP(G931,products!A:A,products!C:C)</f>
        <v>L</v>
      </c>
      <c r="O931">
        <f>_xlfn.XLOOKUP(G931,products!A:A,products!D:D)</f>
        <v>0.2</v>
      </c>
      <c r="P931">
        <f>_xlfn.XLOOKUP(G931,products!A:A,products!E:E)</f>
        <v>4.4550000000000001</v>
      </c>
      <c r="Q931">
        <f t="shared" si="59"/>
        <v>8.91</v>
      </c>
      <c r="R931" t="str" cm="1">
        <f t="array" ref="R931">_xlfn.IFS(Q931&lt;=50,"low sales",Q931&lt;=100,"medium sales",Q931&gt;100,"High sales")</f>
        <v>low sales</v>
      </c>
    </row>
    <row r="932" spans="1:18" x14ac:dyDescent="0.35">
      <c r="A932" s="2" t="s">
        <v>5748</v>
      </c>
      <c r="B932" s="3">
        <v>43546</v>
      </c>
      <c r="C932" s="3" t="str">
        <f t="shared" si="56"/>
        <v>Friday</v>
      </c>
      <c r="D932" s="3" t="str">
        <f t="shared" si="57"/>
        <v>March</v>
      </c>
      <c r="E932" s="3" t="str">
        <f t="shared" si="58"/>
        <v>2019</v>
      </c>
      <c r="F932" s="2" t="s">
        <v>5749</v>
      </c>
      <c r="G932" t="s">
        <v>6183</v>
      </c>
      <c r="H932" s="2">
        <v>1</v>
      </c>
      <c r="I932" s="2" t="str">
        <f>_xlfn.XLOOKUP(F932,customers!A:A,customers!B:B)</f>
        <v>Kameko Philbrick</v>
      </c>
      <c r="J932" s="2" t="str">
        <f>_xlfn.XLOOKUP(F932,customers!A:A,customers!C:C)</f>
        <v>kphilbrickpu@cdc.gov</v>
      </c>
      <c r="K932" s="2" t="str">
        <f>_xlfn.XLOOKUP(F932,customers!A:A,customers!F:F)</f>
        <v>Washington</v>
      </c>
      <c r="L932" s="2" t="str">
        <f>_xlfn.XLOOKUP(F932,customers!A:A,customers!G:G)</f>
        <v>United States</v>
      </c>
      <c r="M932" t="str">
        <f>_xlfn.XLOOKUP(G932,products!A:A,products!B:B)</f>
        <v>Exc</v>
      </c>
      <c r="N932" t="str">
        <f>_xlfn.XLOOKUP(G932,products!A:A,products!C:C)</f>
        <v>D</v>
      </c>
      <c r="O932">
        <f>_xlfn.XLOOKUP(G932,products!A:A,products!D:D)</f>
        <v>1</v>
      </c>
      <c r="P932">
        <f>_xlfn.XLOOKUP(G932,products!A:A,products!E:E)</f>
        <v>12.15</v>
      </c>
      <c r="Q932">
        <f t="shared" si="59"/>
        <v>12.15</v>
      </c>
      <c r="R932" t="str" cm="1">
        <f t="array" ref="R932">_xlfn.IFS(Q932&lt;=50,"low sales",Q932&lt;=100,"medium sales",Q932&gt;100,"High sales")</f>
        <v>low sales</v>
      </c>
    </row>
    <row r="933" spans="1:18" x14ac:dyDescent="0.35">
      <c r="A933" s="2" t="s">
        <v>5753</v>
      </c>
      <c r="B933" s="3">
        <v>44607</v>
      </c>
      <c r="C933" s="3" t="str">
        <f t="shared" si="56"/>
        <v>Tuesday</v>
      </c>
      <c r="D933" s="3" t="str">
        <f t="shared" si="57"/>
        <v>February</v>
      </c>
      <c r="E933" s="3" t="str">
        <f t="shared" si="58"/>
        <v>2022</v>
      </c>
      <c r="F933" s="2" t="s">
        <v>5754</v>
      </c>
      <c r="G933" t="s">
        <v>6158</v>
      </c>
      <c r="H933" s="2">
        <v>4</v>
      </c>
      <c r="I933" s="2" t="str">
        <f>_xlfn.XLOOKUP(F933,customers!A:A,customers!B:B)</f>
        <v>Mallory Shrimpling</v>
      </c>
      <c r="J933" s="2">
        <f>_xlfn.XLOOKUP(F933,customers!A:A,customers!C:C)</f>
        <v>0</v>
      </c>
      <c r="K933" s="2" t="str">
        <f>_xlfn.XLOOKUP(F933,customers!A:A,customers!F:F)</f>
        <v>Allentown</v>
      </c>
      <c r="L933" s="2" t="str">
        <f>_xlfn.XLOOKUP(F933,customers!A:A,customers!G:G)</f>
        <v>United States</v>
      </c>
      <c r="M933" t="str">
        <f>_xlfn.XLOOKUP(G933,products!A:A,products!B:B)</f>
        <v>Ara</v>
      </c>
      <c r="N933" t="str">
        <f>_xlfn.XLOOKUP(G933,products!A:A,products!C:C)</f>
        <v>D</v>
      </c>
      <c r="O933">
        <f>_xlfn.XLOOKUP(G933,products!A:A,products!D:D)</f>
        <v>0.5</v>
      </c>
      <c r="P933">
        <f>_xlfn.XLOOKUP(G933,products!A:A,products!E:E)</f>
        <v>5.97</v>
      </c>
      <c r="Q933">
        <f t="shared" si="59"/>
        <v>23.88</v>
      </c>
      <c r="R933" t="str" cm="1">
        <f t="array" ref="R933">_xlfn.IFS(Q933&lt;=50,"low sales",Q933&lt;=100,"medium sales",Q933&gt;100,"High sales")</f>
        <v>low sales</v>
      </c>
    </row>
    <row r="934" spans="1:18" x14ac:dyDescent="0.35">
      <c r="A934" s="2" t="s">
        <v>5757</v>
      </c>
      <c r="B934" s="3">
        <v>44117</v>
      </c>
      <c r="C934" s="3" t="str">
        <f t="shared" si="56"/>
        <v>Tuesday</v>
      </c>
      <c r="D934" s="3" t="str">
        <f t="shared" si="57"/>
        <v>October</v>
      </c>
      <c r="E934" s="3" t="str">
        <f t="shared" si="58"/>
        <v>2020</v>
      </c>
      <c r="F934" s="2" t="s">
        <v>5758</v>
      </c>
      <c r="G934" t="s">
        <v>6141</v>
      </c>
      <c r="H934" s="2">
        <v>4</v>
      </c>
      <c r="I934" s="2" t="str">
        <f>_xlfn.XLOOKUP(F934,customers!A:A,customers!B:B)</f>
        <v>Barnett Sillis</v>
      </c>
      <c r="J934" s="2" t="str">
        <f>_xlfn.XLOOKUP(F934,customers!A:A,customers!C:C)</f>
        <v>bsillispw@istockphoto.com</v>
      </c>
      <c r="K934" s="2" t="str">
        <f>_xlfn.XLOOKUP(F934,customers!A:A,customers!F:F)</f>
        <v>Miami</v>
      </c>
      <c r="L934" s="2" t="str">
        <f>_xlfn.XLOOKUP(F934,customers!A:A,customers!G:G)</f>
        <v>United States</v>
      </c>
      <c r="M934" t="str">
        <f>_xlfn.XLOOKUP(G934,products!A:A,products!B:B)</f>
        <v>Exc</v>
      </c>
      <c r="N934" t="str">
        <f>_xlfn.XLOOKUP(G934,products!A:A,products!C:C)</f>
        <v>M</v>
      </c>
      <c r="O934">
        <f>_xlfn.XLOOKUP(G934,products!A:A,products!D:D)</f>
        <v>1</v>
      </c>
      <c r="P934">
        <f>_xlfn.XLOOKUP(G934,products!A:A,products!E:E)</f>
        <v>13.75</v>
      </c>
      <c r="Q934">
        <f t="shared" si="59"/>
        <v>55</v>
      </c>
      <c r="R934" t="str" cm="1">
        <f t="array" ref="R934">_xlfn.IFS(Q934&lt;=50,"low sales",Q934&lt;=100,"medium sales",Q934&gt;100,"High sales")</f>
        <v>medium sales</v>
      </c>
    </row>
    <row r="935" spans="1:18" x14ac:dyDescent="0.35">
      <c r="A935" s="2" t="s">
        <v>5763</v>
      </c>
      <c r="B935" s="3">
        <v>44557</v>
      </c>
      <c r="C935" s="3" t="str">
        <f t="shared" si="56"/>
        <v>Monday</v>
      </c>
      <c r="D935" s="3" t="str">
        <f t="shared" si="57"/>
        <v>December</v>
      </c>
      <c r="E935" s="3" t="str">
        <f t="shared" si="58"/>
        <v>2021</v>
      </c>
      <c r="F935" s="2" t="s">
        <v>5764</v>
      </c>
      <c r="G935" t="s">
        <v>6177</v>
      </c>
      <c r="H935" s="2">
        <v>3</v>
      </c>
      <c r="I935" s="2" t="str">
        <f>_xlfn.XLOOKUP(F935,customers!A:A,customers!B:B)</f>
        <v>Brenn Dundredge</v>
      </c>
      <c r="J935" s="2">
        <f>_xlfn.XLOOKUP(F935,customers!A:A,customers!C:C)</f>
        <v>0</v>
      </c>
      <c r="K935" s="2" t="str">
        <f>_xlfn.XLOOKUP(F935,customers!A:A,customers!F:F)</f>
        <v>Oklahoma City</v>
      </c>
      <c r="L935" s="2" t="str">
        <f>_xlfn.XLOOKUP(F935,customers!A:A,customers!G:G)</f>
        <v>United States</v>
      </c>
      <c r="M935" t="str">
        <f>_xlfn.XLOOKUP(G935,products!A:A,products!B:B)</f>
        <v>Rob</v>
      </c>
      <c r="N935" t="str">
        <f>_xlfn.XLOOKUP(G935,products!A:A,products!C:C)</f>
        <v>D</v>
      </c>
      <c r="O935">
        <f>_xlfn.XLOOKUP(G935,products!A:A,products!D:D)</f>
        <v>1</v>
      </c>
      <c r="P935">
        <f>_xlfn.XLOOKUP(G935,products!A:A,products!E:E)</f>
        <v>8.9499999999999993</v>
      </c>
      <c r="Q935">
        <f t="shared" si="59"/>
        <v>26.849999999999998</v>
      </c>
      <c r="R935" t="str" cm="1">
        <f t="array" ref="R935">_xlfn.IFS(Q935&lt;=50,"low sales",Q935&lt;=100,"medium sales",Q935&gt;100,"High sales")</f>
        <v>low sales</v>
      </c>
    </row>
    <row r="936" spans="1:18" x14ac:dyDescent="0.35">
      <c r="A936" s="2" t="s">
        <v>5768</v>
      </c>
      <c r="B936" s="3">
        <v>44409</v>
      </c>
      <c r="C936" s="3" t="str">
        <f t="shared" si="56"/>
        <v>Sunday</v>
      </c>
      <c r="D936" s="3" t="str">
        <f t="shared" si="57"/>
        <v>August</v>
      </c>
      <c r="E936" s="3" t="str">
        <f t="shared" si="58"/>
        <v>2021</v>
      </c>
      <c r="F936" s="2" t="s">
        <v>5769</v>
      </c>
      <c r="G936" t="s">
        <v>6151</v>
      </c>
      <c r="H936" s="2">
        <v>5</v>
      </c>
      <c r="I936" s="2" t="str">
        <f>_xlfn.XLOOKUP(F936,customers!A:A,customers!B:B)</f>
        <v>Read Cutts</v>
      </c>
      <c r="J936" s="2" t="str">
        <f>_xlfn.XLOOKUP(F936,customers!A:A,customers!C:C)</f>
        <v>rcuttspy@techcrunch.com</v>
      </c>
      <c r="K936" s="2" t="str">
        <f>_xlfn.XLOOKUP(F936,customers!A:A,customers!F:F)</f>
        <v>Rockford</v>
      </c>
      <c r="L936" s="2" t="str">
        <f>_xlfn.XLOOKUP(F936,customers!A:A,customers!G:G)</f>
        <v>United States</v>
      </c>
      <c r="M936" t="str">
        <f>_xlfn.XLOOKUP(G936,products!A:A,products!B:B)</f>
        <v>Rob</v>
      </c>
      <c r="N936" t="str">
        <f>_xlfn.XLOOKUP(G936,products!A:A,products!C:C)</f>
        <v>M</v>
      </c>
      <c r="O936">
        <f>_xlfn.XLOOKUP(G936,products!A:A,products!D:D)</f>
        <v>2.5</v>
      </c>
      <c r="P936">
        <f>_xlfn.XLOOKUP(G936,products!A:A,products!E:E)</f>
        <v>22.884999999999998</v>
      </c>
      <c r="Q936">
        <f t="shared" si="59"/>
        <v>114.42499999999998</v>
      </c>
      <c r="R936" t="str" cm="1">
        <f t="array" ref="R936">_xlfn.IFS(Q936&lt;=50,"low sales",Q936&lt;=100,"medium sales",Q936&gt;100,"High sales")</f>
        <v>High sales</v>
      </c>
    </row>
    <row r="937" spans="1:18" x14ac:dyDescent="0.35">
      <c r="A937" s="2" t="s">
        <v>5774</v>
      </c>
      <c r="B937" s="3">
        <v>44153</v>
      </c>
      <c r="C937" s="3" t="str">
        <f t="shared" si="56"/>
        <v>Wednesday</v>
      </c>
      <c r="D937" s="3" t="str">
        <f t="shared" si="57"/>
        <v>November</v>
      </c>
      <c r="E937" s="3" t="str">
        <f t="shared" si="58"/>
        <v>2020</v>
      </c>
      <c r="F937" s="2" t="s">
        <v>5775</v>
      </c>
      <c r="G937" t="s">
        <v>6175</v>
      </c>
      <c r="H937" s="2">
        <v>6</v>
      </c>
      <c r="I937" s="2" t="str">
        <f>_xlfn.XLOOKUP(F937,customers!A:A,customers!B:B)</f>
        <v>Michale Delves</v>
      </c>
      <c r="J937" s="2" t="str">
        <f>_xlfn.XLOOKUP(F937,customers!A:A,customers!C:C)</f>
        <v>mdelvespz@nature.com</v>
      </c>
      <c r="K937" s="2" t="str">
        <f>_xlfn.XLOOKUP(F937,customers!A:A,customers!F:F)</f>
        <v>Montgomery</v>
      </c>
      <c r="L937" s="2" t="str">
        <f>_xlfn.XLOOKUP(F937,customers!A:A,customers!G:G)</f>
        <v>United States</v>
      </c>
      <c r="M937" t="str">
        <f>_xlfn.XLOOKUP(G937,products!A:A,products!B:B)</f>
        <v>Ara</v>
      </c>
      <c r="N937" t="str">
        <f>_xlfn.XLOOKUP(G937,products!A:A,products!C:C)</f>
        <v>M</v>
      </c>
      <c r="O937">
        <f>_xlfn.XLOOKUP(G937,products!A:A,products!D:D)</f>
        <v>2.5</v>
      </c>
      <c r="P937">
        <f>_xlfn.XLOOKUP(G937,products!A:A,products!E:E)</f>
        <v>25.874999999999996</v>
      </c>
      <c r="Q937">
        <f t="shared" si="59"/>
        <v>155.24999999999997</v>
      </c>
      <c r="R937" t="str" cm="1">
        <f t="array" ref="R937">_xlfn.IFS(Q937&lt;=50,"low sales",Q937&lt;=100,"medium sales",Q937&gt;100,"High sales")</f>
        <v>High sales</v>
      </c>
    </row>
    <row r="938" spans="1:18" x14ac:dyDescent="0.35">
      <c r="A938" s="2" t="s">
        <v>5780</v>
      </c>
      <c r="B938" s="3">
        <v>44493</v>
      </c>
      <c r="C938" s="3" t="str">
        <f t="shared" si="56"/>
        <v>Sunday</v>
      </c>
      <c r="D938" s="3" t="str">
        <f t="shared" si="57"/>
        <v>October</v>
      </c>
      <c r="E938" s="3" t="str">
        <f t="shared" si="58"/>
        <v>2021</v>
      </c>
      <c r="F938" s="2" t="s">
        <v>5781</v>
      </c>
      <c r="G938" t="s">
        <v>6169</v>
      </c>
      <c r="H938" s="2">
        <v>3</v>
      </c>
      <c r="I938" s="2" t="str">
        <f>_xlfn.XLOOKUP(F938,customers!A:A,customers!B:B)</f>
        <v>Devland Gritton</v>
      </c>
      <c r="J938" s="2" t="str">
        <f>_xlfn.XLOOKUP(F938,customers!A:A,customers!C:C)</f>
        <v>dgrittonq0@nydailynews.com</v>
      </c>
      <c r="K938" s="2" t="str">
        <f>_xlfn.XLOOKUP(F938,customers!A:A,customers!F:F)</f>
        <v>Pasadena</v>
      </c>
      <c r="L938" s="2" t="str">
        <f>_xlfn.XLOOKUP(F938,customers!A:A,customers!G:G)</f>
        <v>United States</v>
      </c>
      <c r="M938" t="str">
        <f>_xlfn.XLOOKUP(G938,products!A:A,products!B:B)</f>
        <v>Lib</v>
      </c>
      <c r="N938" t="str">
        <f>_xlfn.XLOOKUP(G938,products!A:A,products!C:C)</f>
        <v>D</v>
      </c>
      <c r="O938">
        <f>_xlfn.XLOOKUP(G938,products!A:A,products!D:D)</f>
        <v>0.5</v>
      </c>
      <c r="P938">
        <f>_xlfn.XLOOKUP(G938,products!A:A,products!E:E)</f>
        <v>7.77</v>
      </c>
      <c r="Q938">
        <f t="shared" si="59"/>
        <v>23.31</v>
      </c>
      <c r="R938" t="str" cm="1">
        <f t="array" ref="R938">_xlfn.IFS(Q938&lt;=50,"low sales",Q938&lt;=100,"medium sales",Q938&gt;100,"High sales")</f>
        <v>low sales</v>
      </c>
    </row>
    <row r="939" spans="1:18" x14ac:dyDescent="0.35">
      <c r="A939" s="2" t="s">
        <v>5780</v>
      </c>
      <c r="B939" s="3">
        <v>44493</v>
      </c>
      <c r="C939" s="3" t="str">
        <f t="shared" si="56"/>
        <v>Sunday</v>
      </c>
      <c r="D939" s="3" t="str">
        <f t="shared" si="57"/>
        <v>October</v>
      </c>
      <c r="E939" s="3" t="str">
        <f t="shared" si="58"/>
        <v>2021</v>
      </c>
      <c r="F939" s="2" t="s">
        <v>5781</v>
      </c>
      <c r="G939" t="s">
        <v>6151</v>
      </c>
      <c r="H939" s="2">
        <v>4</v>
      </c>
      <c r="I939" s="2" t="str">
        <f>_xlfn.XLOOKUP(F939,customers!A:A,customers!B:B)</f>
        <v>Devland Gritton</v>
      </c>
      <c r="J939" s="2" t="str">
        <f>_xlfn.XLOOKUP(F939,customers!A:A,customers!C:C)</f>
        <v>dgrittonq0@nydailynews.com</v>
      </c>
      <c r="K939" s="2" t="str">
        <f>_xlfn.XLOOKUP(F939,customers!A:A,customers!F:F)</f>
        <v>Pasadena</v>
      </c>
      <c r="L939" s="2" t="str">
        <f>_xlfn.XLOOKUP(F939,customers!A:A,customers!G:G)</f>
        <v>United States</v>
      </c>
      <c r="M939" t="str">
        <f>_xlfn.XLOOKUP(G939,products!A:A,products!B:B)</f>
        <v>Rob</v>
      </c>
      <c r="N939" t="str">
        <f>_xlfn.XLOOKUP(G939,products!A:A,products!C:C)</f>
        <v>M</v>
      </c>
      <c r="O939">
        <f>_xlfn.XLOOKUP(G939,products!A:A,products!D:D)</f>
        <v>2.5</v>
      </c>
      <c r="P939">
        <f>_xlfn.XLOOKUP(G939,products!A:A,products!E:E)</f>
        <v>22.884999999999998</v>
      </c>
      <c r="Q939">
        <f t="shared" si="59"/>
        <v>91.539999999999992</v>
      </c>
      <c r="R939" t="str" cm="1">
        <f t="array" ref="R939">_xlfn.IFS(Q939&lt;=50,"low sales",Q939&lt;=100,"medium sales",Q939&gt;100,"High sales")</f>
        <v>medium sales</v>
      </c>
    </row>
    <row r="940" spans="1:18" x14ac:dyDescent="0.35">
      <c r="A940" s="2" t="s">
        <v>5791</v>
      </c>
      <c r="B940" s="3">
        <v>43829</v>
      </c>
      <c r="C940" s="3" t="str">
        <f t="shared" si="56"/>
        <v>Monday</v>
      </c>
      <c r="D940" s="3" t="str">
        <f t="shared" si="57"/>
        <v>December</v>
      </c>
      <c r="E940" s="3" t="str">
        <f t="shared" si="58"/>
        <v>2019</v>
      </c>
      <c r="F940" s="2" t="s">
        <v>5792</v>
      </c>
      <c r="G940" t="s">
        <v>6171</v>
      </c>
      <c r="H940" s="2">
        <v>5</v>
      </c>
      <c r="I940" s="2" t="str">
        <f>_xlfn.XLOOKUP(F940,customers!A:A,customers!B:B)</f>
        <v>Dell Gut</v>
      </c>
      <c r="J940" s="2" t="str">
        <f>_xlfn.XLOOKUP(F940,customers!A:A,customers!C:C)</f>
        <v>dgutq2@umich.edu</v>
      </c>
      <c r="K940" s="2" t="str">
        <f>_xlfn.XLOOKUP(F940,customers!A:A,customers!F:F)</f>
        <v>Houston</v>
      </c>
      <c r="L940" s="2" t="str">
        <f>_xlfn.XLOOKUP(F940,customers!A:A,customers!G:G)</f>
        <v>United States</v>
      </c>
      <c r="M940" t="str">
        <f>_xlfn.XLOOKUP(G940,products!A:A,products!B:B)</f>
        <v>Exc</v>
      </c>
      <c r="N940" t="str">
        <f>_xlfn.XLOOKUP(G940,products!A:A,products!C:C)</f>
        <v>L</v>
      </c>
      <c r="O940">
        <f>_xlfn.XLOOKUP(G940,products!A:A,products!D:D)</f>
        <v>1</v>
      </c>
      <c r="P940">
        <f>_xlfn.XLOOKUP(G940,products!A:A,products!E:E)</f>
        <v>14.85</v>
      </c>
      <c r="Q940">
        <f t="shared" si="59"/>
        <v>74.25</v>
      </c>
      <c r="R940" t="str" cm="1">
        <f t="array" ref="R940">_xlfn.IFS(Q940&lt;=50,"low sales",Q940&lt;=100,"medium sales",Q940&gt;100,"High sales")</f>
        <v>medium sales</v>
      </c>
    </row>
    <row r="941" spans="1:18" x14ac:dyDescent="0.35">
      <c r="A941" s="2" t="s">
        <v>5797</v>
      </c>
      <c r="B941" s="3">
        <v>44229</v>
      </c>
      <c r="C941" s="3" t="str">
        <f t="shared" si="56"/>
        <v>Tuesday</v>
      </c>
      <c r="D941" s="3" t="str">
        <f t="shared" si="57"/>
        <v>February</v>
      </c>
      <c r="E941" s="3" t="str">
        <f t="shared" si="58"/>
        <v>2021</v>
      </c>
      <c r="F941" s="2" t="s">
        <v>5798</v>
      </c>
      <c r="G941" t="s">
        <v>6145</v>
      </c>
      <c r="H941" s="2">
        <v>6</v>
      </c>
      <c r="I941" s="2" t="str">
        <f>_xlfn.XLOOKUP(F941,customers!A:A,customers!B:B)</f>
        <v>Willy Pummery</v>
      </c>
      <c r="J941" s="2" t="str">
        <f>_xlfn.XLOOKUP(F941,customers!A:A,customers!C:C)</f>
        <v>wpummeryq3@topsy.com</v>
      </c>
      <c r="K941" s="2" t="str">
        <f>_xlfn.XLOOKUP(F941,customers!A:A,customers!F:F)</f>
        <v>Muskegon</v>
      </c>
      <c r="L941" s="2" t="str">
        <f>_xlfn.XLOOKUP(F941,customers!A:A,customers!G:G)</f>
        <v>United States</v>
      </c>
      <c r="M941" t="str">
        <f>_xlfn.XLOOKUP(G941,products!A:A,products!B:B)</f>
        <v>Lib</v>
      </c>
      <c r="N941" t="str">
        <f>_xlfn.XLOOKUP(G941,products!A:A,products!C:C)</f>
        <v>L</v>
      </c>
      <c r="O941">
        <f>_xlfn.XLOOKUP(G941,products!A:A,products!D:D)</f>
        <v>0.2</v>
      </c>
      <c r="P941">
        <f>_xlfn.XLOOKUP(G941,products!A:A,products!E:E)</f>
        <v>4.7549999999999999</v>
      </c>
      <c r="Q941">
        <f t="shared" si="59"/>
        <v>28.53</v>
      </c>
      <c r="R941" t="str" cm="1">
        <f t="array" ref="R941">_xlfn.IFS(Q941&lt;=50,"low sales",Q941&lt;=100,"medium sales",Q941&gt;100,"High sales")</f>
        <v>low sales</v>
      </c>
    </row>
    <row r="942" spans="1:18" x14ac:dyDescent="0.35">
      <c r="A942" s="2" t="s">
        <v>5803</v>
      </c>
      <c r="B942" s="3">
        <v>44332</v>
      </c>
      <c r="C942" s="3" t="str">
        <f t="shared" si="56"/>
        <v>Sunday</v>
      </c>
      <c r="D942" s="3" t="str">
        <f t="shared" si="57"/>
        <v>May</v>
      </c>
      <c r="E942" s="3" t="str">
        <f t="shared" si="58"/>
        <v>2021</v>
      </c>
      <c r="F942" s="2" t="s">
        <v>5804</v>
      </c>
      <c r="G942" t="s">
        <v>6173</v>
      </c>
      <c r="H942" s="2">
        <v>2</v>
      </c>
      <c r="I942" s="2" t="str">
        <f>_xlfn.XLOOKUP(F942,customers!A:A,customers!B:B)</f>
        <v>Geoffrey Siuda</v>
      </c>
      <c r="J942" s="2" t="str">
        <f>_xlfn.XLOOKUP(F942,customers!A:A,customers!C:C)</f>
        <v>gsiudaq4@nytimes.com</v>
      </c>
      <c r="K942" s="2" t="str">
        <f>_xlfn.XLOOKUP(F942,customers!A:A,customers!F:F)</f>
        <v>Washington</v>
      </c>
      <c r="L942" s="2" t="str">
        <f>_xlfn.XLOOKUP(F942,customers!A:A,customers!G:G)</f>
        <v>United States</v>
      </c>
      <c r="M942" t="str">
        <f>_xlfn.XLOOKUP(G942,products!A:A,products!B:B)</f>
        <v>Rob</v>
      </c>
      <c r="N942" t="str">
        <f>_xlfn.XLOOKUP(G942,products!A:A,products!C:C)</f>
        <v>L</v>
      </c>
      <c r="O942">
        <f>_xlfn.XLOOKUP(G942,products!A:A,products!D:D)</f>
        <v>0.5</v>
      </c>
      <c r="P942">
        <f>_xlfn.XLOOKUP(G942,products!A:A,products!E:E)</f>
        <v>7.169999999999999</v>
      </c>
      <c r="Q942">
        <f t="shared" si="59"/>
        <v>14.339999999999998</v>
      </c>
      <c r="R942" t="str" cm="1">
        <f t="array" ref="R942">_xlfn.IFS(Q942&lt;=50,"low sales",Q942&lt;=100,"medium sales",Q942&gt;100,"High sales")</f>
        <v>low sales</v>
      </c>
    </row>
    <row r="943" spans="1:18" x14ac:dyDescent="0.35">
      <c r="A943" s="2" t="s">
        <v>5809</v>
      </c>
      <c r="B943" s="3">
        <v>44674</v>
      </c>
      <c r="C943" s="3" t="str">
        <f t="shared" si="56"/>
        <v>Saturday</v>
      </c>
      <c r="D943" s="3" t="str">
        <f t="shared" si="57"/>
        <v>April</v>
      </c>
      <c r="E943" s="3" t="str">
        <f t="shared" si="58"/>
        <v>2022</v>
      </c>
      <c r="F943" s="2" t="s">
        <v>5810</v>
      </c>
      <c r="G943" t="s">
        <v>6180</v>
      </c>
      <c r="H943" s="2">
        <v>2</v>
      </c>
      <c r="I943" s="2" t="str">
        <f>_xlfn.XLOOKUP(F943,customers!A:A,customers!B:B)</f>
        <v>Henderson Crowne</v>
      </c>
      <c r="J943" s="2" t="str">
        <f>_xlfn.XLOOKUP(F943,customers!A:A,customers!C:C)</f>
        <v>hcrowneq5@wufoo.com</v>
      </c>
      <c r="K943" s="2" t="str">
        <f>_xlfn.XLOOKUP(F943,customers!A:A,customers!F:F)</f>
        <v>Sallins</v>
      </c>
      <c r="L943" s="2" t="str">
        <f>_xlfn.XLOOKUP(F943,customers!A:A,customers!G:G)</f>
        <v>Ireland</v>
      </c>
      <c r="M943" t="str">
        <f>_xlfn.XLOOKUP(G943,products!A:A,products!B:B)</f>
        <v>Ara</v>
      </c>
      <c r="N943" t="str">
        <f>_xlfn.XLOOKUP(G943,products!A:A,products!C:C)</f>
        <v>L</v>
      </c>
      <c r="O943">
        <f>_xlfn.XLOOKUP(G943,products!A:A,products!D:D)</f>
        <v>0.5</v>
      </c>
      <c r="P943">
        <f>_xlfn.XLOOKUP(G943,products!A:A,products!E:E)</f>
        <v>7.77</v>
      </c>
      <c r="Q943">
        <f t="shared" si="59"/>
        <v>15.54</v>
      </c>
      <c r="R943" t="str" cm="1">
        <f t="array" ref="R943">_xlfn.IFS(Q943&lt;=50,"low sales",Q943&lt;=100,"medium sales",Q943&gt;100,"High sales")</f>
        <v>low sales</v>
      </c>
    </row>
    <row r="944" spans="1:18" x14ac:dyDescent="0.35">
      <c r="A944" s="2" t="s">
        <v>5816</v>
      </c>
      <c r="B944" s="3">
        <v>44464</v>
      </c>
      <c r="C944" s="3" t="str">
        <f t="shared" si="56"/>
        <v>Saturday</v>
      </c>
      <c r="D944" s="3" t="str">
        <f t="shared" si="57"/>
        <v>September</v>
      </c>
      <c r="E944" s="3" t="str">
        <f t="shared" si="58"/>
        <v>2021</v>
      </c>
      <c r="F944" s="2" t="s">
        <v>5817</v>
      </c>
      <c r="G944" t="s">
        <v>6179</v>
      </c>
      <c r="H944" s="2">
        <v>3</v>
      </c>
      <c r="I944" s="2" t="str">
        <f>_xlfn.XLOOKUP(F944,customers!A:A,customers!B:B)</f>
        <v>Vernor Pawsey</v>
      </c>
      <c r="J944" s="2" t="str">
        <f>_xlfn.XLOOKUP(F944,customers!A:A,customers!C:C)</f>
        <v>vpawseyq6@tiny.cc</v>
      </c>
      <c r="K944" s="2" t="str">
        <f>_xlfn.XLOOKUP(F944,customers!A:A,customers!F:F)</f>
        <v>Macon</v>
      </c>
      <c r="L944" s="2" t="str">
        <f>_xlfn.XLOOKUP(F944,customers!A:A,customers!G:G)</f>
        <v>United States</v>
      </c>
      <c r="M944" t="str">
        <f>_xlfn.XLOOKUP(G944,products!A:A,products!B:B)</f>
        <v>Rob</v>
      </c>
      <c r="N944" t="str">
        <f>_xlfn.XLOOKUP(G944,products!A:A,products!C:C)</f>
        <v>L</v>
      </c>
      <c r="O944">
        <f>_xlfn.XLOOKUP(G944,products!A:A,products!D:D)</f>
        <v>1</v>
      </c>
      <c r="P944">
        <f>_xlfn.XLOOKUP(G944,products!A:A,products!E:E)</f>
        <v>11.95</v>
      </c>
      <c r="Q944">
        <f t="shared" si="59"/>
        <v>35.849999999999994</v>
      </c>
      <c r="R944" t="str" cm="1">
        <f t="array" ref="R944">_xlfn.IFS(Q944&lt;=50,"low sales",Q944&lt;=100,"medium sales",Q944&gt;100,"High sales")</f>
        <v>low sales</v>
      </c>
    </row>
    <row r="945" spans="1:18" x14ac:dyDescent="0.35">
      <c r="A945" s="2" t="s">
        <v>5822</v>
      </c>
      <c r="B945" s="3">
        <v>44719</v>
      </c>
      <c r="C945" s="3" t="str">
        <f t="shared" si="56"/>
        <v>Tuesday</v>
      </c>
      <c r="D945" s="3" t="str">
        <f t="shared" si="57"/>
        <v>June</v>
      </c>
      <c r="E945" s="3" t="str">
        <f t="shared" si="58"/>
        <v>2022</v>
      </c>
      <c r="F945" s="2" t="s">
        <v>5823</v>
      </c>
      <c r="G945" t="s">
        <v>6180</v>
      </c>
      <c r="H945" s="2">
        <v>6</v>
      </c>
      <c r="I945" s="2" t="str">
        <f>_xlfn.XLOOKUP(F945,customers!A:A,customers!B:B)</f>
        <v>Augustin Waterhouse</v>
      </c>
      <c r="J945" s="2" t="str">
        <f>_xlfn.XLOOKUP(F945,customers!A:A,customers!C:C)</f>
        <v>awaterhouseq7@istockphoto.com</v>
      </c>
      <c r="K945" s="2" t="str">
        <f>_xlfn.XLOOKUP(F945,customers!A:A,customers!F:F)</f>
        <v>Shreveport</v>
      </c>
      <c r="L945" s="2" t="str">
        <f>_xlfn.XLOOKUP(F945,customers!A:A,customers!G:G)</f>
        <v>United States</v>
      </c>
      <c r="M945" t="str">
        <f>_xlfn.XLOOKUP(G945,products!A:A,products!B:B)</f>
        <v>Ara</v>
      </c>
      <c r="N945" t="str">
        <f>_xlfn.XLOOKUP(G945,products!A:A,products!C:C)</f>
        <v>L</v>
      </c>
      <c r="O945">
        <f>_xlfn.XLOOKUP(G945,products!A:A,products!D:D)</f>
        <v>0.5</v>
      </c>
      <c r="P945">
        <f>_xlfn.XLOOKUP(G945,products!A:A,products!E:E)</f>
        <v>7.77</v>
      </c>
      <c r="Q945">
        <f t="shared" si="59"/>
        <v>46.62</v>
      </c>
      <c r="R945" t="str" cm="1">
        <f t="array" ref="R945">_xlfn.IFS(Q945&lt;=50,"low sales",Q945&lt;=100,"medium sales",Q945&gt;100,"High sales")</f>
        <v>low sales</v>
      </c>
    </row>
    <row r="946" spans="1:18" x14ac:dyDescent="0.35">
      <c r="A946" s="2" t="s">
        <v>5828</v>
      </c>
      <c r="B946" s="3">
        <v>44054</v>
      </c>
      <c r="C946" s="3" t="str">
        <f t="shared" si="56"/>
        <v>Tuesday</v>
      </c>
      <c r="D946" s="3" t="str">
        <f t="shared" si="57"/>
        <v>August</v>
      </c>
      <c r="E946" s="3" t="str">
        <f t="shared" si="58"/>
        <v>2020</v>
      </c>
      <c r="F946" s="2" t="s">
        <v>5829</v>
      </c>
      <c r="G946" t="s">
        <v>6173</v>
      </c>
      <c r="H946" s="2">
        <v>5</v>
      </c>
      <c r="I946" s="2" t="str">
        <f>_xlfn.XLOOKUP(F946,customers!A:A,customers!B:B)</f>
        <v>Fanchon Haughian</v>
      </c>
      <c r="J946" s="2" t="str">
        <f>_xlfn.XLOOKUP(F946,customers!A:A,customers!C:C)</f>
        <v>fhaughianq8@1688.com</v>
      </c>
      <c r="K946" s="2" t="str">
        <f>_xlfn.XLOOKUP(F946,customers!A:A,customers!F:F)</f>
        <v>Tacoma</v>
      </c>
      <c r="L946" s="2" t="str">
        <f>_xlfn.XLOOKUP(F946,customers!A:A,customers!G:G)</f>
        <v>United States</v>
      </c>
      <c r="M946" t="str">
        <f>_xlfn.XLOOKUP(G946,products!A:A,products!B:B)</f>
        <v>Rob</v>
      </c>
      <c r="N946" t="str">
        <f>_xlfn.XLOOKUP(G946,products!A:A,products!C:C)</f>
        <v>L</v>
      </c>
      <c r="O946">
        <f>_xlfn.XLOOKUP(G946,products!A:A,products!D:D)</f>
        <v>0.5</v>
      </c>
      <c r="P946">
        <f>_xlfn.XLOOKUP(G946,products!A:A,products!E:E)</f>
        <v>7.169999999999999</v>
      </c>
      <c r="Q946">
        <f t="shared" si="59"/>
        <v>35.849999999999994</v>
      </c>
      <c r="R946" t="str" cm="1">
        <f t="array" ref="R946">_xlfn.IFS(Q946&lt;=50,"low sales",Q946&lt;=100,"medium sales",Q946&gt;100,"High sales")</f>
        <v>low sales</v>
      </c>
    </row>
    <row r="947" spans="1:18" x14ac:dyDescent="0.35">
      <c r="A947" s="2" t="s">
        <v>5834</v>
      </c>
      <c r="B947" s="3">
        <v>43524</v>
      </c>
      <c r="C947" s="3" t="str">
        <f t="shared" si="56"/>
        <v>Thursday</v>
      </c>
      <c r="D947" s="3" t="str">
        <f t="shared" si="57"/>
        <v>February</v>
      </c>
      <c r="E947" s="3" t="str">
        <f t="shared" si="58"/>
        <v>2019</v>
      </c>
      <c r="F947" s="2" t="s">
        <v>5835</v>
      </c>
      <c r="G947" t="s">
        <v>6165</v>
      </c>
      <c r="H947" s="2">
        <v>4</v>
      </c>
      <c r="I947" s="2" t="str">
        <f>_xlfn.XLOOKUP(F947,customers!A:A,customers!B:B)</f>
        <v>Jaimie Hatz</v>
      </c>
      <c r="J947" s="2">
        <f>_xlfn.XLOOKUP(F947,customers!A:A,customers!C:C)</f>
        <v>0</v>
      </c>
      <c r="K947" s="2" t="str">
        <f>_xlfn.XLOOKUP(F947,customers!A:A,customers!F:F)</f>
        <v>El Paso</v>
      </c>
      <c r="L947" s="2" t="str">
        <f>_xlfn.XLOOKUP(F947,customers!A:A,customers!G:G)</f>
        <v>United States</v>
      </c>
      <c r="M947" t="str">
        <f>_xlfn.XLOOKUP(G947,products!A:A,products!B:B)</f>
        <v>Lib</v>
      </c>
      <c r="N947" t="str">
        <f>_xlfn.XLOOKUP(G947,products!A:A,products!C:C)</f>
        <v>D</v>
      </c>
      <c r="O947">
        <f>_xlfn.XLOOKUP(G947,products!A:A,products!D:D)</f>
        <v>2.5</v>
      </c>
      <c r="P947">
        <f>_xlfn.XLOOKUP(G947,products!A:A,products!E:E)</f>
        <v>29.784999999999997</v>
      </c>
      <c r="Q947">
        <f t="shared" si="59"/>
        <v>119.13999999999999</v>
      </c>
      <c r="R947" t="str" cm="1">
        <f t="array" ref="R947">_xlfn.IFS(Q947&lt;=50,"low sales",Q947&lt;=100,"medium sales",Q947&gt;100,"High sales")</f>
        <v>High sales</v>
      </c>
    </row>
    <row r="948" spans="1:18" x14ac:dyDescent="0.35">
      <c r="A948" s="2" t="s">
        <v>5839</v>
      </c>
      <c r="B948" s="3">
        <v>43719</v>
      </c>
      <c r="C948" s="3" t="str">
        <f t="shared" si="56"/>
        <v>Wednesday</v>
      </c>
      <c r="D948" s="3" t="str">
        <f t="shared" si="57"/>
        <v>September</v>
      </c>
      <c r="E948" s="3" t="str">
        <f t="shared" si="58"/>
        <v>2019</v>
      </c>
      <c r="F948" s="2" t="s">
        <v>5840</v>
      </c>
      <c r="G948" t="s">
        <v>6169</v>
      </c>
      <c r="H948" s="2">
        <v>3</v>
      </c>
      <c r="I948" s="2" t="str">
        <f>_xlfn.XLOOKUP(F948,customers!A:A,customers!B:B)</f>
        <v>Edeline Edney</v>
      </c>
      <c r="J948" s="2">
        <f>_xlfn.XLOOKUP(F948,customers!A:A,customers!C:C)</f>
        <v>0</v>
      </c>
      <c r="K948" s="2" t="str">
        <f>_xlfn.XLOOKUP(F948,customers!A:A,customers!F:F)</f>
        <v>Birmingham</v>
      </c>
      <c r="L948" s="2" t="str">
        <f>_xlfn.XLOOKUP(F948,customers!A:A,customers!G:G)</f>
        <v>United States</v>
      </c>
      <c r="M948" t="str">
        <f>_xlfn.XLOOKUP(G948,products!A:A,products!B:B)</f>
        <v>Lib</v>
      </c>
      <c r="N948" t="str">
        <f>_xlfn.XLOOKUP(G948,products!A:A,products!C:C)</f>
        <v>D</v>
      </c>
      <c r="O948">
        <f>_xlfn.XLOOKUP(G948,products!A:A,products!D:D)</f>
        <v>0.5</v>
      </c>
      <c r="P948">
        <f>_xlfn.XLOOKUP(G948,products!A:A,products!E:E)</f>
        <v>7.77</v>
      </c>
      <c r="Q948">
        <f t="shared" si="59"/>
        <v>23.31</v>
      </c>
      <c r="R948" t="str" cm="1">
        <f t="array" ref="R948">_xlfn.IFS(Q948&lt;=50,"low sales",Q948&lt;=100,"medium sales",Q948&gt;100,"High sales")</f>
        <v>low sales</v>
      </c>
    </row>
    <row r="949" spans="1:18" x14ac:dyDescent="0.35">
      <c r="A949" s="2" t="s">
        <v>5844</v>
      </c>
      <c r="B949" s="3">
        <v>44294</v>
      </c>
      <c r="C949" s="3" t="str">
        <f t="shared" si="56"/>
        <v>Thursday</v>
      </c>
      <c r="D949" s="3" t="str">
        <f t="shared" si="57"/>
        <v>April</v>
      </c>
      <c r="E949" s="3" t="str">
        <f t="shared" si="58"/>
        <v>2021</v>
      </c>
      <c r="F949" s="2" t="s">
        <v>5845</v>
      </c>
      <c r="G949" t="s">
        <v>6155</v>
      </c>
      <c r="H949" s="2">
        <v>1</v>
      </c>
      <c r="I949" s="2" t="str">
        <f>_xlfn.XLOOKUP(F949,customers!A:A,customers!B:B)</f>
        <v>Rickie Faltin</v>
      </c>
      <c r="J949" s="2" t="str">
        <f>_xlfn.XLOOKUP(F949,customers!A:A,customers!C:C)</f>
        <v>rfaltinqb@topsy.com</v>
      </c>
      <c r="K949" s="2" t="str">
        <f>_xlfn.XLOOKUP(F949,customers!A:A,customers!F:F)</f>
        <v>Portumna</v>
      </c>
      <c r="L949" s="2" t="str">
        <f>_xlfn.XLOOKUP(F949,customers!A:A,customers!G:G)</f>
        <v>Ireland</v>
      </c>
      <c r="M949" t="str">
        <f>_xlfn.XLOOKUP(G949,products!A:A,products!B:B)</f>
        <v>Ara</v>
      </c>
      <c r="N949" t="str">
        <f>_xlfn.XLOOKUP(G949,products!A:A,products!C:C)</f>
        <v>M</v>
      </c>
      <c r="O949">
        <f>_xlfn.XLOOKUP(G949,products!A:A,products!D:D)</f>
        <v>1</v>
      </c>
      <c r="P949">
        <f>_xlfn.XLOOKUP(G949,products!A:A,products!E:E)</f>
        <v>11.25</v>
      </c>
      <c r="Q949">
        <f t="shared" si="59"/>
        <v>11.25</v>
      </c>
      <c r="R949" t="str" cm="1">
        <f t="array" ref="R949">_xlfn.IFS(Q949&lt;=50,"low sales",Q949&lt;=100,"medium sales",Q949&gt;100,"High sales")</f>
        <v>low sales</v>
      </c>
    </row>
    <row r="950" spans="1:18" x14ac:dyDescent="0.35">
      <c r="A950" s="2" t="s">
        <v>5849</v>
      </c>
      <c r="B950" s="3">
        <v>44445</v>
      </c>
      <c r="C950" s="3" t="str">
        <f t="shared" si="56"/>
        <v>Monday</v>
      </c>
      <c r="D950" s="3" t="str">
        <f t="shared" si="57"/>
        <v>September</v>
      </c>
      <c r="E950" s="3" t="str">
        <f t="shared" si="58"/>
        <v>2021</v>
      </c>
      <c r="F950" s="2" t="s">
        <v>5850</v>
      </c>
      <c r="G950" t="s">
        <v>6185</v>
      </c>
      <c r="H950" s="2">
        <v>3</v>
      </c>
      <c r="I950" s="2" t="str">
        <f>_xlfn.XLOOKUP(F950,customers!A:A,customers!B:B)</f>
        <v>Gnni Cheeke</v>
      </c>
      <c r="J950" s="2" t="str">
        <f>_xlfn.XLOOKUP(F950,customers!A:A,customers!C:C)</f>
        <v>gcheekeqc@sitemeter.com</v>
      </c>
      <c r="K950" s="2" t="str">
        <f>_xlfn.XLOOKUP(F950,customers!A:A,customers!F:F)</f>
        <v>London</v>
      </c>
      <c r="L950" s="2" t="str">
        <f>_xlfn.XLOOKUP(F950,customers!A:A,customers!G:G)</f>
        <v>United Kingdom</v>
      </c>
      <c r="M950" t="str">
        <f>_xlfn.XLOOKUP(G950,products!A:A,products!B:B)</f>
        <v>Exc</v>
      </c>
      <c r="N950" t="str">
        <f>_xlfn.XLOOKUP(G950,products!A:A,products!C:C)</f>
        <v>D</v>
      </c>
      <c r="O950">
        <f>_xlfn.XLOOKUP(G950,products!A:A,products!D:D)</f>
        <v>2.5</v>
      </c>
      <c r="P950">
        <f>_xlfn.XLOOKUP(G950,products!A:A,products!E:E)</f>
        <v>27.945</v>
      </c>
      <c r="Q950">
        <f t="shared" si="59"/>
        <v>83.835000000000008</v>
      </c>
      <c r="R950" t="str" cm="1">
        <f t="array" ref="R950">_xlfn.IFS(Q950&lt;=50,"low sales",Q950&lt;=100,"medium sales",Q950&gt;100,"High sales")</f>
        <v>medium sales</v>
      </c>
    </row>
    <row r="951" spans="1:18" x14ac:dyDescent="0.35">
      <c r="A951" s="2" t="s">
        <v>5855</v>
      </c>
      <c r="B951" s="3">
        <v>44449</v>
      </c>
      <c r="C951" s="3" t="str">
        <f t="shared" si="56"/>
        <v>Friday</v>
      </c>
      <c r="D951" s="3" t="str">
        <f t="shared" si="57"/>
        <v>September</v>
      </c>
      <c r="E951" s="3" t="str">
        <f t="shared" si="58"/>
        <v>2021</v>
      </c>
      <c r="F951" s="2" t="s">
        <v>5856</v>
      </c>
      <c r="G951" t="s">
        <v>6142</v>
      </c>
      <c r="H951" s="2">
        <v>4</v>
      </c>
      <c r="I951" s="2" t="str">
        <f>_xlfn.XLOOKUP(F951,customers!A:A,customers!B:B)</f>
        <v>Gwenni Ratt</v>
      </c>
      <c r="J951" s="2" t="str">
        <f>_xlfn.XLOOKUP(F951,customers!A:A,customers!C:C)</f>
        <v>grattqd@phpbb.com</v>
      </c>
      <c r="K951" s="2" t="str">
        <f>_xlfn.XLOOKUP(F951,customers!A:A,customers!F:F)</f>
        <v>Castlemartyr</v>
      </c>
      <c r="L951" s="2" t="str">
        <f>_xlfn.XLOOKUP(F951,customers!A:A,customers!G:G)</f>
        <v>Ireland</v>
      </c>
      <c r="M951" t="str">
        <f>_xlfn.XLOOKUP(G951,products!A:A,products!B:B)</f>
        <v>Rob</v>
      </c>
      <c r="N951" t="str">
        <f>_xlfn.XLOOKUP(G951,products!A:A,products!C:C)</f>
        <v>L</v>
      </c>
      <c r="O951">
        <f>_xlfn.XLOOKUP(G951,products!A:A,products!D:D)</f>
        <v>2.5</v>
      </c>
      <c r="P951">
        <f>_xlfn.XLOOKUP(G951,products!A:A,products!E:E)</f>
        <v>27.484999999999996</v>
      </c>
      <c r="Q951">
        <f t="shared" si="59"/>
        <v>109.93999999999998</v>
      </c>
      <c r="R951" t="str" cm="1">
        <f t="array" ref="R951">_xlfn.IFS(Q951&lt;=50,"low sales",Q951&lt;=100,"medium sales",Q951&gt;100,"High sales")</f>
        <v>High sales</v>
      </c>
    </row>
    <row r="952" spans="1:18" x14ac:dyDescent="0.35">
      <c r="A952" s="2" t="s">
        <v>5861</v>
      </c>
      <c r="B952" s="3">
        <v>44703</v>
      </c>
      <c r="C952" s="3" t="str">
        <f t="shared" si="56"/>
        <v>Sunday</v>
      </c>
      <c r="D952" s="3" t="str">
        <f t="shared" si="57"/>
        <v>May</v>
      </c>
      <c r="E952" s="3" t="str">
        <f t="shared" si="58"/>
        <v>2022</v>
      </c>
      <c r="F952" s="2" t="s">
        <v>5862</v>
      </c>
      <c r="G952" t="s">
        <v>6178</v>
      </c>
      <c r="H952" s="2">
        <v>4</v>
      </c>
      <c r="I952" s="2" t="str">
        <f>_xlfn.XLOOKUP(F952,customers!A:A,customers!B:B)</f>
        <v>Johnath Fairebrother</v>
      </c>
      <c r="J952" s="2">
        <f>_xlfn.XLOOKUP(F952,customers!A:A,customers!C:C)</f>
        <v>0</v>
      </c>
      <c r="K952" s="2" t="str">
        <f>_xlfn.XLOOKUP(F952,customers!A:A,customers!F:F)</f>
        <v>Wilmington</v>
      </c>
      <c r="L952" s="2" t="str">
        <f>_xlfn.XLOOKUP(F952,customers!A:A,customers!G:G)</f>
        <v>United States</v>
      </c>
      <c r="M952" t="str">
        <f>_xlfn.XLOOKUP(G952,products!A:A,products!B:B)</f>
        <v>Rob</v>
      </c>
      <c r="N952" t="str">
        <f>_xlfn.XLOOKUP(G952,products!A:A,products!C:C)</f>
        <v>L</v>
      </c>
      <c r="O952">
        <f>_xlfn.XLOOKUP(G952,products!A:A,products!D:D)</f>
        <v>0.2</v>
      </c>
      <c r="P952">
        <f>_xlfn.XLOOKUP(G952,products!A:A,products!E:E)</f>
        <v>3.5849999999999995</v>
      </c>
      <c r="Q952">
        <f t="shared" si="59"/>
        <v>14.339999999999998</v>
      </c>
      <c r="R952" t="str" cm="1">
        <f t="array" ref="R952">_xlfn.IFS(Q952&lt;=50,"low sales",Q952&lt;=100,"medium sales",Q952&gt;100,"High sales")</f>
        <v>low sales</v>
      </c>
    </row>
    <row r="953" spans="1:18" x14ac:dyDescent="0.35">
      <c r="A953" s="2" t="s">
        <v>5866</v>
      </c>
      <c r="B953" s="3">
        <v>44092</v>
      </c>
      <c r="C953" s="3" t="str">
        <f t="shared" si="56"/>
        <v>Friday</v>
      </c>
      <c r="D953" s="3" t="str">
        <f t="shared" si="57"/>
        <v>September</v>
      </c>
      <c r="E953" s="3" t="str">
        <f t="shared" si="58"/>
        <v>2020</v>
      </c>
      <c r="F953" s="2" t="s">
        <v>5867</v>
      </c>
      <c r="G953" t="s">
        <v>6178</v>
      </c>
      <c r="H953" s="2">
        <v>6</v>
      </c>
      <c r="I953" s="2" t="str">
        <f>_xlfn.XLOOKUP(F953,customers!A:A,customers!B:B)</f>
        <v>Ingamar Eberlein</v>
      </c>
      <c r="J953" s="2" t="str">
        <f>_xlfn.XLOOKUP(F953,customers!A:A,customers!C:C)</f>
        <v>ieberleinqf@hc360.com</v>
      </c>
      <c r="K953" s="2" t="str">
        <f>_xlfn.XLOOKUP(F953,customers!A:A,customers!F:F)</f>
        <v>Harrisburg</v>
      </c>
      <c r="L953" s="2" t="str">
        <f>_xlfn.XLOOKUP(F953,customers!A:A,customers!G:G)</f>
        <v>United States</v>
      </c>
      <c r="M953" t="str">
        <f>_xlfn.XLOOKUP(G953,products!A:A,products!B:B)</f>
        <v>Rob</v>
      </c>
      <c r="N953" t="str">
        <f>_xlfn.XLOOKUP(G953,products!A:A,products!C:C)</f>
        <v>L</v>
      </c>
      <c r="O953">
        <f>_xlfn.XLOOKUP(G953,products!A:A,products!D:D)</f>
        <v>0.2</v>
      </c>
      <c r="P953">
        <f>_xlfn.XLOOKUP(G953,products!A:A,products!E:E)</f>
        <v>3.5849999999999995</v>
      </c>
      <c r="Q953">
        <f t="shared" si="59"/>
        <v>21.509999999999998</v>
      </c>
      <c r="R953" t="str" cm="1">
        <f t="array" ref="R953">_xlfn.IFS(Q953&lt;=50,"low sales",Q953&lt;=100,"medium sales",Q953&gt;100,"High sales")</f>
        <v>low sales</v>
      </c>
    </row>
    <row r="954" spans="1:18" x14ac:dyDescent="0.35">
      <c r="A954" s="2" t="s">
        <v>5872</v>
      </c>
      <c r="B954" s="3">
        <v>44439</v>
      </c>
      <c r="C954" s="3" t="str">
        <f t="shared" si="56"/>
        <v>Tuesday</v>
      </c>
      <c r="D954" s="3" t="str">
        <f t="shared" si="57"/>
        <v>August</v>
      </c>
      <c r="E954" s="3" t="str">
        <f t="shared" si="58"/>
        <v>2021</v>
      </c>
      <c r="F954" s="2" t="s">
        <v>5873</v>
      </c>
      <c r="G954" t="s">
        <v>6155</v>
      </c>
      <c r="H954" s="2">
        <v>2</v>
      </c>
      <c r="I954" s="2" t="str">
        <f>_xlfn.XLOOKUP(F954,customers!A:A,customers!B:B)</f>
        <v>Jilly Dreng</v>
      </c>
      <c r="J954" s="2" t="str">
        <f>_xlfn.XLOOKUP(F954,customers!A:A,customers!C:C)</f>
        <v>jdrengqg@uiuc.edu</v>
      </c>
      <c r="K954" s="2" t="str">
        <f>_xlfn.XLOOKUP(F954,customers!A:A,customers!F:F)</f>
        <v>Sallins</v>
      </c>
      <c r="L954" s="2" t="str">
        <f>_xlfn.XLOOKUP(F954,customers!A:A,customers!G:G)</f>
        <v>Ireland</v>
      </c>
      <c r="M954" t="str">
        <f>_xlfn.XLOOKUP(G954,products!A:A,products!B:B)</f>
        <v>Ara</v>
      </c>
      <c r="N954" t="str">
        <f>_xlfn.XLOOKUP(G954,products!A:A,products!C:C)</f>
        <v>M</v>
      </c>
      <c r="O954">
        <f>_xlfn.XLOOKUP(G954,products!A:A,products!D:D)</f>
        <v>1</v>
      </c>
      <c r="P954">
        <f>_xlfn.XLOOKUP(G954,products!A:A,products!E:E)</f>
        <v>11.25</v>
      </c>
      <c r="Q954">
        <f t="shared" si="59"/>
        <v>22.5</v>
      </c>
      <c r="R954" t="str" cm="1">
        <f t="array" ref="R954">_xlfn.IFS(Q954&lt;=50,"low sales",Q954&lt;=100,"medium sales",Q954&gt;100,"High sales")</f>
        <v>low sales</v>
      </c>
    </row>
    <row r="955" spans="1:18" x14ac:dyDescent="0.35">
      <c r="A955" s="2" t="s">
        <v>5878</v>
      </c>
      <c r="B955" s="3">
        <v>44582</v>
      </c>
      <c r="C955" s="3" t="str">
        <f t="shared" si="56"/>
        <v>Friday</v>
      </c>
      <c r="D955" s="3" t="str">
        <f t="shared" si="57"/>
        <v>January</v>
      </c>
      <c r="E955" s="3" t="str">
        <f t="shared" si="58"/>
        <v>2022</v>
      </c>
      <c r="F955" s="2" t="s">
        <v>5764</v>
      </c>
      <c r="G955" t="s">
        <v>6167</v>
      </c>
      <c r="H955" s="2">
        <v>1</v>
      </c>
      <c r="I955" s="2" t="str">
        <f>_xlfn.XLOOKUP(F955,customers!A:A,customers!B:B)</f>
        <v>Brenn Dundredge</v>
      </c>
      <c r="J955" s="2">
        <f>_xlfn.XLOOKUP(F955,customers!A:A,customers!C:C)</f>
        <v>0</v>
      </c>
      <c r="K955" s="2" t="str">
        <f>_xlfn.XLOOKUP(F955,customers!A:A,customers!F:F)</f>
        <v>Oklahoma City</v>
      </c>
      <c r="L955" s="2" t="str">
        <f>_xlfn.XLOOKUP(F955,customers!A:A,customers!G:G)</f>
        <v>United States</v>
      </c>
      <c r="M955" t="str">
        <f>_xlfn.XLOOKUP(G955,products!A:A,products!B:B)</f>
        <v>Ara</v>
      </c>
      <c r="N955" t="str">
        <f>_xlfn.XLOOKUP(G955,products!A:A,products!C:C)</f>
        <v>L</v>
      </c>
      <c r="O955">
        <f>_xlfn.XLOOKUP(G955,products!A:A,products!D:D)</f>
        <v>0.2</v>
      </c>
      <c r="P955">
        <f>_xlfn.XLOOKUP(G955,products!A:A,products!E:E)</f>
        <v>3.8849999999999998</v>
      </c>
      <c r="Q955">
        <f t="shared" si="59"/>
        <v>3.8849999999999998</v>
      </c>
      <c r="R955" t="str" cm="1">
        <f t="array" ref="R955">_xlfn.IFS(Q955&lt;=50,"low sales",Q955&lt;=100,"medium sales",Q955&gt;100,"High sales")</f>
        <v>low sales</v>
      </c>
    </row>
    <row r="956" spans="1:18" x14ac:dyDescent="0.35">
      <c r="A956" s="2" t="s">
        <v>5884</v>
      </c>
      <c r="B956" s="3">
        <v>44722</v>
      </c>
      <c r="C956" s="3" t="str">
        <f t="shared" si="56"/>
        <v>Friday</v>
      </c>
      <c r="D956" s="3" t="str">
        <f t="shared" si="57"/>
        <v>June</v>
      </c>
      <c r="E956" s="3" t="str">
        <f t="shared" si="58"/>
        <v>2022</v>
      </c>
      <c r="F956" s="2" t="s">
        <v>5764</v>
      </c>
      <c r="G956" t="s">
        <v>6185</v>
      </c>
      <c r="H956" s="2">
        <v>1</v>
      </c>
      <c r="I956" s="2" t="str">
        <f>_xlfn.XLOOKUP(F956,customers!A:A,customers!B:B)</f>
        <v>Brenn Dundredge</v>
      </c>
      <c r="J956" s="2">
        <f>_xlfn.XLOOKUP(F956,customers!A:A,customers!C:C)</f>
        <v>0</v>
      </c>
      <c r="K956" s="2" t="str">
        <f>_xlfn.XLOOKUP(F956,customers!A:A,customers!F:F)</f>
        <v>Oklahoma City</v>
      </c>
      <c r="L956" s="2" t="str">
        <f>_xlfn.XLOOKUP(F956,customers!A:A,customers!G:G)</f>
        <v>United States</v>
      </c>
      <c r="M956" t="str">
        <f>_xlfn.XLOOKUP(G956,products!A:A,products!B:B)</f>
        <v>Exc</v>
      </c>
      <c r="N956" t="str">
        <f>_xlfn.XLOOKUP(G956,products!A:A,products!C:C)</f>
        <v>D</v>
      </c>
      <c r="O956">
        <f>_xlfn.XLOOKUP(G956,products!A:A,products!D:D)</f>
        <v>2.5</v>
      </c>
      <c r="P956">
        <f>_xlfn.XLOOKUP(G956,products!A:A,products!E:E)</f>
        <v>27.945</v>
      </c>
      <c r="Q956">
        <f t="shared" si="59"/>
        <v>27.945</v>
      </c>
      <c r="R956" t="str" cm="1">
        <f t="array" ref="R956">_xlfn.IFS(Q956&lt;=50,"low sales",Q956&lt;=100,"medium sales",Q956&gt;100,"High sales")</f>
        <v>low sales</v>
      </c>
    </row>
    <row r="957" spans="1:18" x14ac:dyDescent="0.35">
      <c r="A957" s="2" t="s">
        <v>5890</v>
      </c>
      <c r="B957" s="3">
        <v>43582</v>
      </c>
      <c r="C957" s="3" t="str">
        <f t="shared" si="56"/>
        <v>Saturday</v>
      </c>
      <c r="D957" s="3" t="str">
        <f t="shared" si="57"/>
        <v>April</v>
      </c>
      <c r="E957" s="3" t="str">
        <f t="shared" si="58"/>
        <v>2019</v>
      </c>
      <c r="F957" s="2" t="s">
        <v>5764</v>
      </c>
      <c r="G957" t="s">
        <v>6148</v>
      </c>
      <c r="H957" s="2">
        <v>5</v>
      </c>
      <c r="I957" s="2" t="str">
        <f>_xlfn.XLOOKUP(F957,customers!A:A,customers!B:B)</f>
        <v>Brenn Dundredge</v>
      </c>
      <c r="J957" s="2">
        <f>_xlfn.XLOOKUP(F957,customers!A:A,customers!C:C)</f>
        <v>0</v>
      </c>
      <c r="K957" s="2" t="str">
        <f>_xlfn.XLOOKUP(F957,customers!A:A,customers!F:F)</f>
        <v>Oklahoma City</v>
      </c>
      <c r="L957" s="2" t="str">
        <f>_xlfn.XLOOKUP(F957,customers!A:A,customers!G:G)</f>
        <v>United States</v>
      </c>
      <c r="M957" t="str">
        <f>_xlfn.XLOOKUP(G957,products!A:A,products!B:B)</f>
        <v>Exc</v>
      </c>
      <c r="N957" t="str">
        <f>_xlfn.XLOOKUP(G957,products!A:A,products!C:C)</f>
        <v>L</v>
      </c>
      <c r="O957">
        <f>_xlfn.XLOOKUP(G957,products!A:A,products!D:D)</f>
        <v>2.5</v>
      </c>
      <c r="P957">
        <f>_xlfn.XLOOKUP(G957,products!A:A,products!E:E)</f>
        <v>34.154999999999994</v>
      </c>
      <c r="Q957">
        <f t="shared" si="59"/>
        <v>170.77499999999998</v>
      </c>
      <c r="R957" t="str" cm="1">
        <f t="array" ref="R957">_xlfn.IFS(Q957&lt;=50,"low sales",Q957&lt;=100,"medium sales",Q957&gt;100,"High sales")</f>
        <v>High sales</v>
      </c>
    </row>
    <row r="958" spans="1:18" x14ac:dyDescent="0.35">
      <c r="A958" s="2" t="s">
        <v>5890</v>
      </c>
      <c r="B958" s="3">
        <v>43582</v>
      </c>
      <c r="C958" s="3" t="str">
        <f t="shared" si="56"/>
        <v>Saturday</v>
      </c>
      <c r="D958" s="3" t="str">
        <f t="shared" si="57"/>
        <v>April</v>
      </c>
      <c r="E958" s="3" t="str">
        <f t="shared" si="58"/>
        <v>2019</v>
      </c>
      <c r="F958" s="2" t="s">
        <v>5764</v>
      </c>
      <c r="G958" t="s">
        <v>6142</v>
      </c>
      <c r="H958" s="2">
        <v>2</v>
      </c>
      <c r="I958" s="2" t="str">
        <f>_xlfn.XLOOKUP(F958,customers!A:A,customers!B:B)</f>
        <v>Brenn Dundredge</v>
      </c>
      <c r="J958" s="2">
        <f>_xlfn.XLOOKUP(F958,customers!A:A,customers!C:C)</f>
        <v>0</v>
      </c>
      <c r="K958" s="2" t="str">
        <f>_xlfn.XLOOKUP(F958,customers!A:A,customers!F:F)</f>
        <v>Oklahoma City</v>
      </c>
      <c r="L958" s="2" t="str">
        <f>_xlfn.XLOOKUP(F958,customers!A:A,customers!G:G)</f>
        <v>United States</v>
      </c>
      <c r="M958" t="str">
        <f>_xlfn.XLOOKUP(G958,products!A:A,products!B:B)</f>
        <v>Rob</v>
      </c>
      <c r="N958" t="str">
        <f>_xlfn.XLOOKUP(G958,products!A:A,products!C:C)</f>
        <v>L</v>
      </c>
      <c r="O958">
        <f>_xlfn.XLOOKUP(G958,products!A:A,products!D:D)</f>
        <v>2.5</v>
      </c>
      <c r="P958">
        <f>_xlfn.XLOOKUP(G958,products!A:A,products!E:E)</f>
        <v>27.484999999999996</v>
      </c>
      <c r="Q958">
        <f t="shared" si="59"/>
        <v>54.969999999999992</v>
      </c>
      <c r="R958" t="str" cm="1">
        <f t="array" ref="R958">_xlfn.IFS(Q958&lt;=50,"low sales",Q958&lt;=100,"medium sales",Q958&gt;100,"High sales")</f>
        <v>medium sales</v>
      </c>
    </row>
    <row r="959" spans="1:18" x14ac:dyDescent="0.35">
      <c r="A959" s="2" t="s">
        <v>5890</v>
      </c>
      <c r="B959" s="3">
        <v>43582</v>
      </c>
      <c r="C959" s="3" t="str">
        <f t="shared" si="56"/>
        <v>Saturday</v>
      </c>
      <c r="D959" s="3" t="str">
        <f t="shared" si="57"/>
        <v>April</v>
      </c>
      <c r="E959" s="3" t="str">
        <f t="shared" si="58"/>
        <v>2019</v>
      </c>
      <c r="F959" s="2" t="s">
        <v>5764</v>
      </c>
      <c r="G959" t="s">
        <v>6171</v>
      </c>
      <c r="H959" s="2">
        <v>1</v>
      </c>
      <c r="I959" s="2" t="str">
        <f>_xlfn.XLOOKUP(F959,customers!A:A,customers!B:B)</f>
        <v>Brenn Dundredge</v>
      </c>
      <c r="J959" s="2">
        <f>_xlfn.XLOOKUP(F959,customers!A:A,customers!C:C)</f>
        <v>0</v>
      </c>
      <c r="K959" s="2" t="str">
        <f>_xlfn.XLOOKUP(F959,customers!A:A,customers!F:F)</f>
        <v>Oklahoma City</v>
      </c>
      <c r="L959" s="2" t="str">
        <f>_xlfn.XLOOKUP(F959,customers!A:A,customers!G:G)</f>
        <v>United States</v>
      </c>
      <c r="M959" t="str">
        <f>_xlfn.XLOOKUP(G959,products!A:A,products!B:B)</f>
        <v>Exc</v>
      </c>
      <c r="N959" t="str">
        <f>_xlfn.XLOOKUP(G959,products!A:A,products!C:C)</f>
        <v>L</v>
      </c>
      <c r="O959">
        <f>_xlfn.XLOOKUP(G959,products!A:A,products!D:D)</f>
        <v>1</v>
      </c>
      <c r="P959">
        <f>_xlfn.XLOOKUP(G959,products!A:A,products!E:E)</f>
        <v>14.85</v>
      </c>
      <c r="Q959">
        <f t="shared" si="59"/>
        <v>14.85</v>
      </c>
      <c r="R959" t="str" cm="1">
        <f t="array" ref="R959">_xlfn.IFS(Q959&lt;=50,"low sales",Q959&lt;=100,"medium sales",Q959&gt;100,"High sales")</f>
        <v>low sales</v>
      </c>
    </row>
    <row r="960" spans="1:18" x14ac:dyDescent="0.35">
      <c r="A960" s="2" t="s">
        <v>5890</v>
      </c>
      <c r="B960" s="3">
        <v>43582</v>
      </c>
      <c r="C960" s="3" t="str">
        <f t="shared" si="56"/>
        <v>Saturday</v>
      </c>
      <c r="D960" s="3" t="str">
        <f t="shared" si="57"/>
        <v>April</v>
      </c>
      <c r="E960" s="3" t="str">
        <f t="shared" si="58"/>
        <v>2019</v>
      </c>
      <c r="F960" s="2" t="s">
        <v>5764</v>
      </c>
      <c r="G960" t="s">
        <v>6167</v>
      </c>
      <c r="H960" s="2">
        <v>2</v>
      </c>
      <c r="I960" s="2" t="str">
        <f>_xlfn.XLOOKUP(F960,customers!A:A,customers!B:B)</f>
        <v>Brenn Dundredge</v>
      </c>
      <c r="J960" s="2">
        <f>_xlfn.XLOOKUP(F960,customers!A:A,customers!C:C)</f>
        <v>0</v>
      </c>
      <c r="K960" s="2" t="str">
        <f>_xlfn.XLOOKUP(F960,customers!A:A,customers!F:F)</f>
        <v>Oklahoma City</v>
      </c>
      <c r="L960" s="2" t="str">
        <f>_xlfn.XLOOKUP(F960,customers!A:A,customers!G:G)</f>
        <v>United States</v>
      </c>
      <c r="M960" t="str">
        <f>_xlfn.XLOOKUP(G960,products!A:A,products!B:B)</f>
        <v>Ara</v>
      </c>
      <c r="N960" t="str">
        <f>_xlfn.XLOOKUP(G960,products!A:A,products!C:C)</f>
        <v>L</v>
      </c>
      <c r="O960">
        <f>_xlfn.XLOOKUP(G960,products!A:A,products!D:D)</f>
        <v>0.2</v>
      </c>
      <c r="P960">
        <f>_xlfn.XLOOKUP(G960,products!A:A,products!E:E)</f>
        <v>3.8849999999999998</v>
      </c>
      <c r="Q960">
        <f t="shared" si="59"/>
        <v>7.77</v>
      </c>
      <c r="R960" t="str" cm="1">
        <f t="array" ref="R960">_xlfn.IFS(Q960&lt;=50,"low sales",Q960&lt;=100,"medium sales",Q960&gt;100,"High sales")</f>
        <v>low sales</v>
      </c>
    </row>
    <row r="961" spans="1:18" x14ac:dyDescent="0.35">
      <c r="A961" s="2" t="s">
        <v>5910</v>
      </c>
      <c r="B961" s="3">
        <v>44598</v>
      </c>
      <c r="C961" s="3" t="str">
        <f t="shared" si="56"/>
        <v>Sunday</v>
      </c>
      <c r="D961" s="3" t="str">
        <f t="shared" si="57"/>
        <v>February</v>
      </c>
      <c r="E961" s="3" t="str">
        <f t="shared" si="58"/>
        <v>2022</v>
      </c>
      <c r="F961" s="2" t="s">
        <v>5911</v>
      </c>
      <c r="G961" t="s">
        <v>6145</v>
      </c>
      <c r="H961" s="2">
        <v>5</v>
      </c>
      <c r="I961" s="2" t="str">
        <f>_xlfn.XLOOKUP(F961,customers!A:A,customers!B:B)</f>
        <v>Rhodie Strathern</v>
      </c>
      <c r="J961" s="2" t="str">
        <f>_xlfn.XLOOKUP(F961,customers!A:A,customers!C:C)</f>
        <v>rstrathernqn@devhub.com</v>
      </c>
      <c r="K961" s="2" t="str">
        <f>_xlfn.XLOOKUP(F961,customers!A:A,customers!F:F)</f>
        <v>Little Rock</v>
      </c>
      <c r="L961" s="2" t="str">
        <f>_xlfn.XLOOKUP(F961,customers!A:A,customers!G:G)</f>
        <v>United States</v>
      </c>
      <c r="M961" t="str">
        <f>_xlfn.XLOOKUP(G961,products!A:A,products!B:B)</f>
        <v>Lib</v>
      </c>
      <c r="N961" t="str">
        <f>_xlfn.XLOOKUP(G961,products!A:A,products!C:C)</f>
        <v>L</v>
      </c>
      <c r="O961">
        <f>_xlfn.XLOOKUP(G961,products!A:A,products!D:D)</f>
        <v>0.2</v>
      </c>
      <c r="P961">
        <f>_xlfn.XLOOKUP(G961,products!A:A,products!E:E)</f>
        <v>4.7549999999999999</v>
      </c>
      <c r="Q961">
        <f t="shared" si="59"/>
        <v>23.774999999999999</v>
      </c>
      <c r="R961" t="str" cm="1">
        <f t="array" ref="R961">_xlfn.IFS(Q961&lt;=50,"low sales",Q961&lt;=100,"medium sales",Q961&gt;100,"High sales")</f>
        <v>low sales</v>
      </c>
    </row>
    <row r="962" spans="1:18" x14ac:dyDescent="0.35">
      <c r="A962" s="2" t="s">
        <v>5915</v>
      </c>
      <c r="B962" s="3">
        <v>44591</v>
      </c>
      <c r="C962" s="3" t="str">
        <f t="shared" si="56"/>
        <v>Sunday</v>
      </c>
      <c r="D962" s="3" t="str">
        <f t="shared" si="57"/>
        <v>January</v>
      </c>
      <c r="E962" s="3" t="str">
        <f t="shared" si="58"/>
        <v>2022</v>
      </c>
      <c r="F962" s="2" t="s">
        <v>5916</v>
      </c>
      <c r="G962" t="s">
        <v>6170</v>
      </c>
      <c r="H962" s="2">
        <v>5</v>
      </c>
      <c r="I962" s="2" t="str">
        <f>_xlfn.XLOOKUP(F962,customers!A:A,customers!B:B)</f>
        <v>Chad Miguel</v>
      </c>
      <c r="J962" s="2" t="str">
        <f>_xlfn.XLOOKUP(F962,customers!A:A,customers!C:C)</f>
        <v>cmiguelqo@exblog.jp</v>
      </c>
      <c r="K962" s="2" t="str">
        <f>_xlfn.XLOOKUP(F962,customers!A:A,customers!F:F)</f>
        <v>Hagerstown</v>
      </c>
      <c r="L962" s="2" t="str">
        <f>_xlfn.XLOOKUP(F962,customers!A:A,customers!G:G)</f>
        <v>United States</v>
      </c>
      <c r="M962" t="str">
        <f>_xlfn.XLOOKUP(G962,products!A:A,products!B:B)</f>
        <v>Lib</v>
      </c>
      <c r="N962" t="str">
        <f>_xlfn.XLOOKUP(G962,products!A:A,products!C:C)</f>
        <v>L</v>
      </c>
      <c r="O962">
        <f>_xlfn.XLOOKUP(G962,products!A:A,products!D:D)</f>
        <v>1</v>
      </c>
      <c r="P962">
        <f>_xlfn.XLOOKUP(G962,products!A:A,products!E:E)</f>
        <v>15.85</v>
      </c>
      <c r="Q962">
        <f t="shared" si="59"/>
        <v>79.25</v>
      </c>
      <c r="R962" t="str" cm="1">
        <f t="array" ref="R962">_xlfn.IFS(Q962&lt;=50,"low sales",Q962&lt;=100,"medium sales",Q962&gt;100,"High sales")</f>
        <v>medium sales</v>
      </c>
    </row>
    <row r="963" spans="1:18" x14ac:dyDescent="0.35">
      <c r="A963" s="2" t="s">
        <v>5921</v>
      </c>
      <c r="B963" s="3">
        <v>44158</v>
      </c>
      <c r="C963" s="3" t="str">
        <f t="shared" ref="C963:C1001" si="60">TEXT(B963,"DDDD")</f>
        <v>Monday</v>
      </c>
      <c r="D963" s="3" t="str">
        <f t="shared" ref="D963:D1001" si="61">TEXT(B963,"MMMM")</f>
        <v>November</v>
      </c>
      <c r="E963" s="3" t="str">
        <f t="shared" ref="E963:E1001" si="62">TEXT(B963,"YYYY")</f>
        <v>2020</v>
      </c>
      <c r="F963" s="2" t="s">
        <v>5922</v>
      </c>
      <c r="G963" t="s">
        <v>6168</v>
      </c>
      <c r="H963" s="2">
        <v>2</v>
      </c>
      <c r="I963" s="2" t="str">
        <f>_xlfn.XLOOKUP(F963,customers!A:A,customers!B:B)</f>
        <v>Florinda Matusovsky</v>
      </c>
      <c r="J963" s="2">
        <f>_xlfn.XLOOKUP(F963,customers!A:A,customers!C:C)</f>
        <v>0</v>
      </c>
      <c r="K963" s="2" t="str">
        <f>_xlfn.XLOOKUP(F963,customers!A:A,customers!F:F)</f>
        <v>Albany</v>
      </c>
      <c r="L963" s="2" t="str">
        <f>_xlfn.XLOOKUP(F963,customers!A:A,customers!G:G)</f>
        <v>United States</v>
      </c>
      <c r="M963" t="str">
        <f>_xlfn.XLOOKUP(G963,products!A:A,products!B:B)</f>
        <v>Ara</v>
      </c>
      <c r="N963" t="str">
        <f>_xlfn.XLOOKUP(G963,products!A:A,products!C:C)</f>
        <v>D</v>
      </c>
      <c r="O963">
        <f>_xlfn.XLOOKUP(G963,products!A:A,products!D:D)</f>
        <v>2.5</v>
      </c>
      <c r="P963">
        <f>_xlfn.XLOOKUP(G963,products!A:A,products!E:E)</f>
        <v>22.884999999999998</v>
      </c>
      <c r="Q963">
        <f t="shared" ref="Q963:Q1001" si="63">P963*H963</f>
        <v>45.769999999999996</v>
      </c>
      <c r="R963" t="str" cm="1">
        <f t="array" ref="R963">_xlfn.IFS(Q963&lt;=50,"low sales",Q963&lt;=100,"medium sales",Q963&gt;100,"High sales")</f>
        <v>low sales</v>
      </c>
    </row>
    <row r="964" spans="1:18" x14ac:dyDescent="0.35">
      <c r="A964" s="2" t="s">
        <v>5926</v>
      </c>
      <c r="B964" s="3">
        <v>44664</v>
      </c>
      <c r="C964" s="3" t="str">
        <f t="shared" si="60"/>
        <v>Wednesday</v>
      </c>
      <c r="D964" s="3" t="str">
        <f t="shared" si="61"/>
        <v>April</v>
      </c>
      <c r="E964" s="3" t="str">
        <f t="shared" si="62"/>
        <v>2022</v>
      </c>
      <c r="F964" s="2" t="s">
        <v>5927</v>
      </c>
      <c r="G964" t="s">
        <v>6177</v>
      </c>
      <c r="H964" s="2">
        <v>1</v>
      </c>
      <c r="I964" s="2" t="str">
        <f>_xlfn.XLOOKUP(F964,customers!A:A,customers!B:B)</f>
        <v>Morly Rocks</v>
      </c>
      <c r="J964" s="2" t="str">
        <f>_xlfn.XLOOKUP(F964,customers!A:A,customers!C:C)</f>
        <v>mrocksqq@exblog.jp</v>
      </c>
      <c r="K964" s="2" t="str">
        <f>_xlfn.XLOOKUP(F964,customers!A:A,customers!F:F)</f>
        <v>Crossmolina</v>
      </c>
      <c r="L964" s="2" t="str">
        <f>_xlfn.XLOOKUP(F964,customers!A:A,customers!G:G)</f>
        <v>Ireland</v>
      </c>
      <c r="M964" t="str">
        <f>_xlfn.XLOOKUP(G964,products!A:A,products!B:B)</f>
        <v>Rob</v>
      </c>
      <c r="N964" t="str">
        <f>_xlfn.XLOOKUP(G964,products!A:A,products!C:C)</f>
        <v>D</v>
      </c>
      <c r="O964">
        <f>_xlfn.XLOOKUP(G964,products!A:A,products!D:D)</f>
        <v>1</v>
      </c>
      <c r="P964">
        <f>_xlfn.XLOOKUP(G964,products!A:A,products!E:E)</f>
        <v>8.9499999999999993</v>
      </c>
      <c r="Q964">
        <f t="shared" si="63"/>
        <v>8.9499999999999993</v>
      </c>
      <c r="R964" t="str" cm="1">
        <f t="array" ref="R964">_xlfn.IFS(Q964&lt;=50,"low sales",Q964&lt;=100,"medium sales",Q964&gt;100,"High sales")</f>
        <v>low sales</v>
      </c>
    </row>
    <row r="965" spans="1:18" x14ac:dyDescent="0.35">
      <c r="A965" s="2" t="s">
        <v>5932</v>
      </c>
      <c r="B965" s="3">
        <v>44203</v>
      </c>
      <c r="C965" s="3" t="str">
        <f t="shared" si="60"/>
        <v>Thursday</v>
      </c>
      <c r="D965" s="3" t="str">
        <f t="shared" si="61"/>
        <v>January</v>
      </c>
      <c r="E965" s="3" t="str">
        <f t="shared" si="62"/>
        <v>2021</v>
      </c>
      <c r="F965" s="2" t="s">
        <v>5933</v>
      </c>
      <c r="G965" t="s">
        <v>6146</v>
      </c>
      <c r="H965" s="2">
        <v>4</v>
      </c>
      <c r="I965" s="2" t="str">
        <f>_xlfn.XLOOKUP(F965,customers!A:A,customers!B:B)</f>
        <v>Yuri Burrells</v>
      </c>
      <c r="J965" s="2" t="str">
        <f>_xlfn.XLOOKUP(F965,customers!A:A,customers!C:C)</f>
        <v>yburrellsqr@vinaora.com</v>
      </c>
      <c r="K965" s="2" t="str">
        <f>_xlfn.XLOOKUP(F965,customers!A:A,customers!F:F)</f>
        <v>Lexington</v>
      </c>
      <c r="L965" s="2" t="str">
        <f>_xlfn.XLOOKUP(F965,customers!A:A,customers!G:G)</f>
        <v>United States</v>
      </c>
      <c r="M965" t="str">
        <f>_xlfn.XLOOKUP(G965,products!A:A,products!B:B)</f>
        <v>Rob</v>
      </c>
      <c r="N965" t="str">
        <f>_xlfn.XLOOKUP(G965,products!A:A,products!C:C)</f>
        <v>M</v>
      </c>
      <c r="O965">
        <f>_xlfn.XLOOKUP(G965,products!A:A,products!D:D)</f>
        <v>0.5</v>
      </c>
      <c r="P965">
        <f>_xlfn.XLOOKUP(G965,products!A:A,products!E:E)</f>
        <v>5.97</v>
      </c>
      <c r="Q965">
        <f t="shared" si="63"/>
        <v>23.88</v>
      </c>
      <c r="R965" t="str" cm="1">
        <f t="array" ref="R965">_xlfn.IFS(Q965&lt;=50,"low sales",Q965&lt;=100,"medium sales",Q965&gt;100,"High sales")</f>
        <v>low sales</v>
      </c>
    </row>
    <row r="966" spans="1:18" x14ac:dyDescent="0.35">
      <c r="A966" s="2" t="s">
        <v>5938</v>
      </c>
      <c r="B966" s="3">
        <v>43865</v>
      </c>
      <c r="C966" s="3" t="str">
        <f t="shared" si="60"/>
        <v>Tuesday</v>
      </c>
      <c r="D966" s="3" t="str">
        <f t="shared" si="61"/>
        <v>February</v>
      </c>
      <c r="E966" s="3" t="str">
        <f t="shared" si="62"/>
        <v>2020</v>
      </c>
      <c r="F966" s="2" t="s">
        <v>5939</v>
      </c>
      <c r="G966" t="s">
        <v>6184</v>
      </c>
      <c r="H966" s="2">
        <v>5</v>
      </c>
      <c r="I966" s="2" t="str">
        <f>_xlfn.XLOOKUP(F966,customers!A:A,customers!B:B)</f>
        <v>Cleopatra Goodrum</v>
      </c>
      <c r="J966" s="2" t="str">
        <f>_xlfn.XLOOKUP(F966,customers!A:A,customers!C:C)</f>
        <v>cgoodrumqs@goodreads.com</v>
      </c>
      <c r="K966" s="2" t="str">
        <f>_xlfn.XLOOKUP(F966,customers!A:A,customers!F:F)</f>
        <v>San Diego</v>
      </c>
      <c r="L966" s="2" t="str">
        <f>_xlfn.XLOOKUP(F966,customers!A:A,customers!G:G)</f>
        <v>United States</v>
      </c>
      <c r="M966" t="str">
        <f>_xlfn.XLOOKUP(G966,products!A:A,products!B:B)</f>
        <v>Exc</v>
      </c>
      <c r="N966" t="str">
        <f>_xlfn.XLOOKUP(G966,products!A:A,products!C:C)</f>
        <v>L</v>
      </c>
      <c r="O966">
        <f>_xlfn.XLOOKUP(G966,products!A:A,products!D:D)</f>
        <v>0.2</v>
      </c>
      <c r="P966">
        <f>_xlfn.XLOOKUP(G966,products!A:A,products!E:E)</f>
        <v>4.4550000000000001</v>
      </c>
      <c r="Q966">
        <f t="shared" si="63"/>
        <v>22.274999999999999</v>
      </c>
      <c r="R966" t="str" cm="1">
        <f t="array" ref="R966">_xlfn.IFS(Q966&lt;=50,"low sales",Q966&lt;=100,"medium sales",Q966&gt;100,"High sales")</f>
        <v>low sales</v>
      </c>
    </row>
    <row r="967" spans="1:18" x14ac:dyDescent="0.35">
      <c r="A967" s="2" t="s">
        <v>5944</v>
      </c>
      <c r="B967" s="3">
        <v>43724</v>
      </c>
      <c r="C967" s="3" t="str">
        <f t="shared" si="60"/>
        <v>Monday</v>
      </c>
      <c r="D967" s="3" t="str">
        <f t="shared" si="61"/>
        <v>September</v>
      </c>
      <c r="E967" s="3" t="str">
        <f t="shared" si="62"/>
        <v>2019</v>
      </c>
      <c r="F967" s="2" t="s">
        <v>5945</v>
      </c>
      <c r="G967" t="s">
        <v>6138</v>
      </c>
      <c r="H967" s="2">
        <v>3</v>
      </c>
      <c r="I967" s="2" t="str">
        <f>_xlfn.XLOOKUP(F967,customers!A:A,customers!B:B)</f>
        <v>Joey Jefferys</v>
      </c>
      <c r="J967" s="2" t="str">
        <f>_xlfn.XLOOKUP(F967,customers!A:A,customers!C:C)</f>
        <v>jjefferysqt@blog.com</v>
      </c>
      <c r="K967" s="2" t="str">
        <f>_xlfn.XLOOKUP(F967,customers!A:A,customers!F:F)</f>
        <v>Los Angeles</v>
      </c>
      <c r="L967" s="2" t="str">
        <f>_xlfn.XLOOKUP(F967,customers!A:A,customers!G:G)</f>
        <v>United States</v>
      </c>
      <c r="M967" t="str">
        <f>_xlfn.XLOOKUP(G967,products!A:A,products!B:B)</f>
        <v>Rob</v>
      </c>
      <c r="N967" t="str">
        <f>_xlfn.XLOOKUP(G967,products!A:A,products!C:C)</f>
        <v>M</v>
      </c>
      <c r="O967">
        <f>_xlfn.XLOOKUP(G967,products!A:A,products!D:D)</f>
        <v>1</v>
      </c>
      <c r="P967">
        <f>_xlfn.XLOOKUP(G967,products!A:A,products!E:E)</f>
        <v>9.9499999999999993</v>
      </c>
      <c r="Q967">
        <f t="shared" si="63"/>
        <v>29.849999999999998</v>
      </c>
      <c r="R967" t="str" cm="1">
        <f t="array" ref="R967">_xlfn.IFS(Q967&lt;=50,"low sales",Q967&lt;=100,"medium sales",Q967&gt;100,"High sales")</f>
        <v>low sales</v>
      </c>
    </row>
    <row r="968" spans="1:18" x14ac:dyDescent="0.35">
      <c r="A968" s="2" t="s">
        <v>5949</v>
      </c>
      <c r="B968" s="3">
        <v>43491</v>
      </c>
      <c r="C968" s="3" t="str">
        <f t="shared" si="60"/>
        <v>Saturday</v>
      </c>
      <c r="D968" s="3" t="str">
        <f t="shared" si="61"/>
        <v>January</v>
      </c>
      <c r="E968" s="3" t="str">
        <f t="shared" si="62"/>
        <v>2019</v>
      </c>
      <c r="F968" s="2" t="s">
        <v>5950</v>
      </c>
      <c r="G968" t="s">
        <v>6176</v>
      </c>
      <c r="H968" s="2">
        <v>6</v>
      </c>
      <c r="I968" s="2" t="str">
        <f>_xlfn.XLOOKUP(F968,customers!A:A,customers!B:B)</f>
        <v>Bearnard Wardell</v>
      </c>
      <c r="J968" s="2" t="str">
        <f>_xlfn.XLOOKUP(F968,customers!A:A,customers!C:C)</f>
        <v>bwardellqu@adobe.com</v>
      </c>
      <c r="K968" s="2" t="str">
        <f>_xlfn.XLOOKUP(F968,customers!A:A,customers!F:F)</f>
        <v>Brooklyn</v>
      </c>
      <c r="L968" s="2" t="str">
        <f>_xlfn.XLOOKUP(F968,customers!A:A,customers!G:G)</f>
        <v>United States</v>
      </c>
      <c r="M968" t="str">
        <f>_xlfn.XLOOKUP(G968,products!A:A,products!B:B)</f>
        <v>Exc</v>
      </c>
      <c r="N968" t="str">
        <f>_xlfn.XLOOKUP(G968,products!A:A,products!C:C)</f>
        <v>L</v>
      </c>
      <c r="O968">
        <f>_xlfn.XLOOKUP(G968,products!A:A,products!D:D)</f>
        <v>0.5</v>
      </c>
      <c r="P968">
        <f>_xlfn.XLOOKUP(G968,products!A:A,products!E:E)</f>
        <v>8.91</v>
      </c>
      <c r="Q968">
        <f t="shared" si="63"/>
        <v>53.46</v>
      </c>
      <c r="R968" t="str" cm="1">
        <f t="array" ref="R968">_xlfn.IFS(Q968&lt;=50,"low sales",Q968&lt;=100,"medium sales",Q968&gt;100,"High sales")</f>
        <v>medium sales</v>
      </c>
    </row>
    <row r="969" spans="1:18" x14ac:dyDescent="0.35">
      <c r="A969" s="2" t="s">
        <v>5955</v>
      </c>
      <c r="B969" s="3">
        <v>44246</v>
      </c>
      <c r="C969" s="3" t="str">
        <f t="shared" si="60"/>
        <v>Friday</v>
      </c>
      <c r="D969" s="3" t="str">
        <f t="shared" si="61"/>
        <v>February</v>
      </c>
      <c r="E969" s="3" t="str">
        <f t="shared" si="62"/>
        <v>2021</v>
      </c>
      <c r="F969" s="2" t="s">
        <v>5956</v>
      </c>
      <c r="G969" t="s">
        <v>6163</v>
      </c>
      <c r="H969" s="2">
        <v>1</v>
      </c>
      <c r="I969" s="2" t="str">
        <f>_xlfn.XLOOKUP(F969,customers!A:A,customers!B:B)</f>
        <v>Zeke Walisiak</v>
      </c>
      <c r="J969" s="2" t="str">
        <f>_xlfn.XLOOKUP(F969,customers!A:A,customers!C:C)</f>
        <v>zwalisiakqv@ucsd.edu</v>
      </c>
      <c r="K969" s="2" t="str">
        <f>_xlfn.XLOOKUP(F969,customers!A:A,customers!F:F)</f>
        <v>Booterstown</v>
      </c>
      <c r="L969" s="2" t="str">
        <f>_xlfn.XLOOKUP(F969,customers!A:A,customers!G:G)</f>
        <v>Ireland</v>
      </c>
      <c r="M969" t="str">
        <f>_xlfn.XLOOKUP(G969,products!A:A,products!B:B)</f>
        <v>Rob</v>
      </c>
      <c r="N969" t="str">
        <f>_xlfn.XLOOKUP(G969,products!A:A,products!C:C)</f>
        <v>D</v>
      </c>
      <c r="O969">
        <f>_xlfn.XLOOKUP(G969,products!A:A,products!D:D)</f>
        <v>0.2</v>
      </c>
      <c r="P969">
        <f>_xlfn.XLOOKUP(G969,products!A:A,products!E:E)</f>
        <v>2.6849999999999996</v>
      </c>
      <c r="Q969">
        <f t="shared" si="63"/>
        <v>2.6849999999999996</v>
      </c>
      <c r="R969" t="str" cm="1">
        <f t="array" ref="R969">_xlfn.IFS(Q969&lt;=50,"low sales",Q969&lt;=100,"medium sales",Q969&gt;100,"High sales")</f>
        <v>low sales</v>
      </c>
    </row>
    <row r="970" spans="1:18" x14ac:dyDescent="0.35">
      <c r="A970" s="2" t="s">
        <v>5961</v>
      </c>
      <c r="B970" s="3">
        <v>44642</v>
      </c>
      <c r="C970" s="3" t="str">
        <f t="shared" si="60"/>
        <v>Tuesday</v>
      </c>
      <c r="D970" s="3" t="str">
        <f t="shared" si="61"/>
        <v>March</v>
      </c>
      <c r="E970" s="3" t="str">
        <f t="shared" si="62"/>
        <v>2022</v>
      </c>
      <c r="F970" s="2" t="s">
        <v>5962</v>
      </c>
      <c r="G970" t="s">
        <v>6174</v>
      </c>
      <c r="H970" s="2">
        <v>2</v>
      </c>
      <c r="I970" s="2" t="str">
        <f>_xlfn.XLOOKUP(F970,customers!A:A,customers!B:B)</f>
        <v>Wiley Leopold</v>
      </c>
      <c r="J970" s="2" t="str">
        <f>_xlfn.XLOOKUP(F970,customers!A:A,customers!C:C)</f>
        <v>wleopoldqw@blogspot.com</v>
      </c>
      <c r="K970" s="2" t="str">
        <f>_xlfn.XLOOKUP(F970,customers!A:A,customers!F:F)</f>
        <v>Gainesville</v>
      </c>
      <c r="L970" s="2" t="str">
        <f>_xlfn.XLOOKUP(F970,customers!A:A,customers!G:G)</f>
        <v>United States</v>
      </c>
      <c r="M970" t="str">
        <f>_xlfn.XLOOKUP(G970,products!A:A,products!B:B)</f>
        <v>Rob</v>
      </c>
      <c r="N970" t="str">
        <f>_xlfn.XLOOKUP(G970,products!A:A,products!C:C)</f>
        <v>M</v>
      </c>
      <c r="O970">
        <f>_xlfn.XLOOKUP(G970,products!A:A,products!D:D)</f>
        <v>0.2</v>
      </c>
      <c r="P970">
        <f>_xlfn.XLOOKUP(G970,products!A:A,products!E:E)</f>
        <v>2.9849999999999999</v>
      </c>
      <c r="Q970">
        <f t="shared" si="63"/>
        <v>5.97</v>
      </c>
      <c r="R970" t="str" cm="1">
        <f t="array" ref="R970">_xlfn.IFS(Q970&lt;=50,"low sales",Q970&lt;=100,"medium sales",Q970&gt;100,"High sales")</f>
        <v>low sales</v>
      </c>
    </row>
    <row r="971" spans="1:18" x14ac:dyDescent="0.35">
      <c r="A971" s="2" t="s">
        <v>5967</v>
      </c>
      <c r="B971" s="3">
        <v>43649</v>
      </c>
      <c r="C971" s="3" t="str">
        <f t="shared" si="60"/>
        <v>Wednesday</v>
      </c>
      <c r="D971" s="3" t="str">
        <f t="shared" si="61"/>
        <v>July</v>
      </c>
      <c r="E971" s="3" t="str">
        <f t="shared" si="62"/>
        <v>2019</v>
      </c>
      <c r="F971" s="2" t="s">
        <v>5968</v>
      </c>
      <c r="G971" t="s">
        <v>6143</v>
      </c>
      <c r="H971" s="2">
        <v>1</v>
      </c>
      <c r="I971" s="2" t="str">
        <f>_xlfn.XLOOKUP(F971,customers!A:A,customers!B:B)</f>
        <v>Chiarra Shalders</v>
      </c>
      <c r="J971" s="2" t="str">
        <f>_xlfn.XLOOKUP(F971,customers!A:A,customers!C:C)</f>
        <v>cshaldersqx@cisco.com</v>
      </c>
      <c r="K971" s="2" t="str">
        <f>_xlfn.XLOOKUP(F971,customers!A:A,customers!F:F)</f>
        <v>Clearwater</v>
      </c>
      <c r="L971" s="2" t="str">
        <f>_xlfn.XLOOKUP(F971,customers!A:A,customers!G:G)</f>
        <v>United States</v>
      </c>
      <c r="M971" t="str">
        <f>_xlfn.XLOOKUP(G971,products!A:A,products!B:B)</f>
        <v>Lib</v>
      </c>
      <c r="N971" t="str">
        <f>_xlfn.XLOOKUP(G971,products!A:A,products!C:C)</f>
        <v>D</v>
      </c>
      <c r="O971">
        <f>_xlfn.XLOOKUP(G971,products!A:A,products!D:D)</f>
        <v>1</v>
      </c>
      <c r="P971">
        <f>_xlfn.XLOOKUP(G971,products!A:A,products!E:E)</f>
        <v>12.95</v>
      </c>
      <c r="Q971">
        <f t="shared" si="63"/>
        <v>12.95</v>
      </c>
      <c r="R971" t="str" cm="1">
        <f t="array" ref="R971">_xlfn.IFS(Q971&lt;=50,"low sales",Q971&lt;=100,"medium sales",Q971&gt;100,"High sales")</f>
        <v>low sales</v>
      </c>
    </row>
    <row r="972" spans="1:18" x14ac:dyDescent="0.35">
      <c r="A972" s="2" t="s">
        <v>5973</v>
      </c>
      <c r="B972" s="3">
        <v>43729</v>
      </c>
      <c r="C972" s="3" t="str">
        <f t="shared" si="60"/>
        <v>Saturday</v>
      </c>
      <c r="D972" s="3" t="str">
        <f t="shared" si="61"/>
        <v>September</v>
      </c>
      <c r="E972" s="3" t="str">
        <f t="shared" si="62"/>
        <v>2019</v>
      </c>
      <c r="F972" s="2" t="s">
        <v>5974</v>
      </c>
      <c r="G972" t="s">
        <v>6139</v>
      </c>
      <c r="H972" s="2">
        <v>1</v>
      </c>
      <c r="I972" s="2" t="str">
        <f>_xlfn.XLOOKUP(F972,customers!A:A,customers!B:B)</f>
        <v>Sharl Southerill</v>
      </c>
      <c r="J972" s="2">
        <f>_xlfn.XLOOKUP(F972,customers!A:A,customers!C:C)</f>
        <v>0</v>
      </c>
      <c r="K972" s="2" t="str">
        <f>_xlfn.XLOOKUP(F972,customers!A:A,customers!F:F)</f>
        <v>Amarillo</v>
      </c>
      <c r="L972" s="2" t="str">
        <f>_xlfn.XLOOKUP(F972,customers!A:A,customers!G:G)</f>
        <v>United States</v>
      </c>
      <c r="M972" t="str">
        <f>_xlfn.XLOOKUP(G972,products!A:A,products!B:B)</f>
        <v>Exc</v>
      </c>
      <c r="N972" t="str">
        <f>_xlfn.XLOOKUP(G972,products!A:A,products!C:C)</f>
        <v>M</v>
      </c>
      <c r="O972">
        <f>_xlfn.XLOOKUP(G972,products!A:A,products!D:D)</f>
        <v>0.5</v>
      </c>
      <c r="P972">
        <f>_xlfn.XLOOKUP(G972,products!A:A,products!E:E)</f>
        <v>8.25</v>
      </c>
      <c r="Q972">
        <f t="shared" si="63"/>
        <v>8.25</v>
      </c>
      <c r="R972" t="str" cm="1">
        <f t="array" ref="R972">_xlfn.IFS(Q972&lt;=50,"low sales",Q972&lt;=100,"medium sales",Q972&gt;100,"High sales")</f>
        <v>low sales</v>
      </c>
    </row>
    <row r="973" spans="1:18" x14ac:dyDescent="0.35">
      <c r="A973" s="2" t="s">
        <v>5978</v>
      </c>
      <c r="B973" s="3">
        <v>43703</v>
      </c>
      <c r="C973" s="3" t="str">
        <f t="shared" si="60"/>
        <v>Monday</v>
      </c>
      <c r="D973" s="3" t="str">
        <f t="shared" si="61"/>
        <v>August</v>
      </c>
      <c r="E973" s="3" t="str">
        <f t="shared" si="62"/>
        <v>2019</v>
      </c>
      <c r="F973" s="2" t="s">
        <v>5979</v>
      </c>
      <c r="G973" t="s">
        <v>6182</v>
      </c>
      <c r="H973" s="2">
        <v>5</v>
      </c>
      <c r="I973" s="2" t="str">
        <f>_xlfn.XLOOKUP(F973,customers!A:A,customers!B:B)</f>
        <v>Noni Furber</v>
      </c>
      <c r="J973" s="2" t="str">
        <f>_xlfn.XLOOKUP(F973,customers!A:A,customers!C:C)</f>
        <v>nfurberqz@jugem.jp</v>
      </c>
      <c r="K973" s="2" t="str">
        <f>_xlfn.XLOOKUP(F973,customers!A:A,customers!F:F)</f>
        <v>Fort Worth</v>
      </c>
      <c r="L973" s="2" t="str">
        <f>_xlfn.XLOOKUP(F973,customers!A:A,customers!G:G)</f>
        <v>United States</v>
      </c>
      <c r="M973" t="str">
        <f>_xlfn.XLOOKUP(G973,products!A:A,products!B:B)</f>
        <v>Ara</v>
      </c>
      <c r="N973" t="str">
        <f>_xlfn.XLOOKUP(G973,products!A:A,products!C:C)</f>
        <v>L</v>
      </c>
      <c r="O973">
        <f>_xlfn.XLOOKUP(G973,products!A:A,products!D:D)</f>
        <v>2.5</v>
      </c>
      <c r="P973">
        <f>_xlfn.XLOOKUP(G973,products!A:A,products!E:E)</f>
        <v>29.784999999999997</v>
      </c>
      <c r="Q973">
        <f t="shared" si="63"/>
        <v>148.92499999999998</v>
      </c>
      <c r="R973" t="str" cm="1">
        <f t="array" ref="R973">_xlfn.IFS(Q973&lt;=50,"low sales",Q973&lt;=100,"medium sales",Q973&gt;100,"High sales")</f>
        <v>High sales</v>
      </c>
    </row>
    <row r="974" spans="1:18" x14ac:dyDescent="0.35">
      <c r="A974" s="2" t="s">
        <v>5984</v>
      </c>
      <c r="B974" s="3">
        <v>44411</v>
      </c>
      <c r="C974" s="3" t="str">
        <f t="shared" si="60"/>
        <v>Tuesday</v>
      </c>
      <c r="D974" s="3" t="str">
        <f t="shared" si="61"/>
        <v>August</v>
      </c>
      <c r="E974" s="3" t="str">
        <f t="shared" si="62"/>
        <v>2021</v>
      </c>
      <c r="F974" s="2" t="s">
        <v>5985</v>
      </c>
      <c r="G974" t="s">
        <v>6182</v>
      </c>
      <c r="H974" s="2">
        <v>3</v>
      </c>
      <c r="I974" s="2" t="str">
        <f>_xlfn.XLOOKUP(F974,customers!A:A,customers!B:B)</f>
        <v>Dinah Crutcher</v>
      </c>
      <c r="J974" s="2">
        <f>_xlfn.XLOOKUP(F974,customers!A:A,customers!C:C)</f>
        <v>0</v>
      </c>
      <c r="K974" s="2" t="str">
        <f>_xlfn.XLOOKUP(F974,customers!A:A,customers!F:F)</f>
        <v>Lusk</v>
      </c>
      <c r="L974" s="2" t="str">
        <f>_xlfn.XLOOKUP(F974,customers!A:A,customers!G:G)</f>
        <v>Ireland</v>
      </c>
      <c r="M974" t="str">
        <f>_xlfn.XLOOKUP(G974,products!A:A,products!B:B)</f>
        <v>Ara</v>
      </c>
      <c r="N974" t="str">
        <f>_xlfn.XLOOKUP(G974,products!A:A,products!C:C)</f>
        <v>L</v>
      </c>
      <c r="O974">
        <f>_xlfn.XLOOKUP(G974,products!A:A,products!D:D)</f>
        <v>2.5</v>
      </c>
      <c r="P974">
        <f>_xlfn.XLOOKUP(G974,products!A:A,products!E:E)</f>
        <v>29.784999999999997</v>
      </c>
      <c r="Q974">
        <f t="shared" si="63"/>
        <v>89.35499999999999</v>
      </c>
      <c r="R974" t="str" cm="1">
        <f t="array" ref="R974">_xlfn.IFS(Q974&lt;=50,"low sales",Q974&lt;=100,"medium sales",Q974&gt;100,"High sales")</f>
        <v>medium sales</v>
      </c>
    </row>
    <row r="975" spans="1:18" x14ac:dyDescent="0.35">
      <c r="A975" s="2" t="s">
        <v>5989</v>
      </c>
      <c r="B975" s="3">
        <v>44493</v>
      </c>
      <c r="C975" s="3" t="str">
        <f t="shared" si="60"/>
        <v>Sunday</v>
      </c>
      <c r="D975" s="3" t="str">
        <f t="shared" si="61"/>
        <v>October</v>
      </c>
      <c r="E975" s="3" t="str">
        <f t="shared" si="62"/>
        <v>2021</v>
      </c>
      <c r="F975" s="2" t="s">
        <v>5990</v>
      </c>
      <c r="G975" t="s">
        <v>6162</v>
      </c>
      <c r="H975" s="2">
        <v>6</v>
      </c>
      <c r="I975" s="2" t="str">
        <f>_xlfn.XLOOKUP(F975,customers!A:A,customers!B:B)</f>
        <v>Charlean Keave</v>
      </c>
      <c r="J975" s="2" t="str">
        <f>_xlfn.XLOOKUP(F975,customers!A:A,customers!C:C)</f>
        <v>ckeaver1@ucoz.com</v>
      </c>
      <c r="K975" s="2" t="str">
        <f>_xlfn.XLOOKUP(F975,customers!A:A,customers!F:F)</f>
        <v>Pensacola</v>
      </c>
      <c r="L975" s="2" t="str">
        <f>_xlfn.XLOOKUP(F975,customers!A:A,customers!G:G)</f>
        <v>United States</v>
      </c>
      <c r="M975" t="str">
        <f>_xlfn.XLOOKUP(G975,products!A:A,products!B:B)</f>
        <v>Lib</v>
      </c>
      <c r="N975" t="str">
        <f>_xlfn.XLOOKUP(G975,products!A:A,products!C:C)</f>
        <v>M</v>
      </c>
      <c r="O975">
        <f>_xlfn.XLOOKUP(G975,products!A:A,products!D:D)</f>
        <v>1</v>
      </c>
      <c r="P975">
        <f>_xlfn.XLOOKUP(G975,products!A:A,products!E:E)</f>
        <v>14.55</v>
      </c>
      <c r="Q975">
        <f t="shared" si="63"/>
        <v>87.300000000000011</v>
      </c>
      <c r="R975" t="str" cm="1">
        <f t="array" ref="R975">_xlfn.IFS(Q975&lt;=50,"low sales",Q975&lt;=100,"medium sales",Q975&gt;100,"High sales")</f>
        <v>medium sales</v>
      </c>
    </row>
    <row r="976" spans="1:18" x14ac:dyDescent="0.35">
      <c r="A976" s="2" t="s">
        <v>5995</v>
      </c>
      <c r="B976" s="3">
        <v>43556</v>
      </c>
      <c r="C976" s="3" t="str">
        <f t="shared" si="60"/>
        <v>Monday</v>
      </c>
      <c r="D976" s="3" t="str">
        <f t="shared" si="61"/>
        <v>April</v>
      </c>
      <c r="E976" s="3" t="str">
        <f t="shared" si="62"/>
        <v>2019</v>
      </c>
      <c r="F976" s="2" t="s">
        <v>5996</v>
      </c>
      <c r="G976" t="s">
        <v>6172</v>
      </c>
      <c r="H976" s="2">
        <v>1</v>
      </c>
      <c r="I976" s="2" t="str">
        <f>_xlfn.XLOOKUP(F976,customers!A:A,customers!B:B)</f>
        <v>Sada Roseborough</v>
      </c>
      <c r="J976" s="2" t="str">
        <f>_xlfn.XLOOKUP(F976,customers!A:A,customers!C:C)</f>
        <v>sroseboroughr2@virginia.edu</v>
      </c>
      <c r="K976" s="2" t="str">
        <f>_xlfn.XLOOKUP(F976,customers!A:A,customers!F:F)</f>
        <v>Tacoma</v>
      </c>
      <c r="L976" s="2" t="str">
        <f>_xlfn.XLOOKUP(F976,customers!A:A,customers!G:G)</f>
        <v>United States</v>
      </c>
      <c r="M976" t="str">
        <f>_xlfn.XLOOKUP(G976,products!A:A,products!B:B)</f>
        <v>Rob</v>
      </c>
      <c r="N976" t="str">
        <f>_xlfn.XLOOKUP(G976,products!A:A,products!C:C)</f>
        <v>D</v>
      </c>
      <c r="O976">
        <f>_xlfn.XLOOKUP(G976,products!A:A,products!D:D)</f>
        <v>0.5</v>
      </c>
      <c r="P976">
        <f>_xlfn.XLOOKUP(G976,products!A:A,products!E:E)</f>
        <v>5.3699999999999992</v>
      </c>
      <c r="Q976">
        <f t="shared" si="63"/>
        <v>5.3699999999999992</v>
      </c>
      <c r="R976" t="str" cm="1">
        <f t="array" ref="R976">_xlfn.IFS(Q976&lt;=50,"low sales",Q976&lt;=100,"medium sales",Q976&gt;100,"High sales")</f>
        <v>low sales</v>
      </c>
    </row>
    <row r="977" spans="1:18" x14ac:dyDescent="0.35">
      <c r="A977" s="2" t="s">
        <v>6001</v>
      </c>
      <c r="B977" s="3">
        <v>44538</v>
      </c>
      <c r="C977" s="3" t="str">
        <f t="shared" si="60"/>
        <v>Wednesday</v>
      </c>
      <c r="D977" s="3" t="str">
        <f t="shared" si="61"/>
        <v>December</v>
      </c>
      <c r="E977" s="3" t="str">
        <f t="shared" si="62"/>
        <v>2021</v>
      </c>
      <c r="F977" s="2" t="s">
        <v>6002</v>
      </c>
      <c r="G977" t="s">
        <v>6154</v>
      </c>
      <c r="H977" s="2">
        <v>3</v>
      </c>
      <c r="I977" s="2" t="str">
        <f>_xlfn.XLOOKUP(F977,customers!A:A,customers!B:B)</f>
        <v>Clayton Kingwell</v>
      </c>
      <c r="J977" s="2" t="str">
        <f>_xlfn.XLOOKUP(F977,customers!A:A,customers!C:C)</f>
        <v>ckingwellr3@squarespace.com</v>
      </c>
      <c r="K977" s="2" t="str">
        <f>_xlfn.XLOOKUP(F977,customers!A:A,customers!F:F)</f>
        <v>Rathnew</v>
      </c>
      <c r="L977" s="2" t="str">
        <f>_xlfn.XLOOKUP(F977,customers!A:A,customers!G:G)</f>
        <v>Ireland</v>
      </c>
      <c r="M977" t="str">
        <f>_xlfn.XLOOKUP(G977,products!A:A,products!B:B)</f>
        <v>Ara</v>
      </c>
      <c r="N977" t="str">
        <f>_xlfn.XLOOKUP(G977,products!A:A,products!C:C)</f>
        <v>D</v>
      </c>
      <c r="O977">
        <f>_xlfn.XLOOKUP(G977,products!A:A,products!D:D)</f>
        <v>0.2</v>
      </c>
      <c r="P977">
        <f>_xlfn.XLOOKUP(G977,products!A:A,products!E:E)</f>
        <v>2.9849999999999999</v>
      </c>
      <c r="Q977">
        <f t="shared" si="63"/>
        <v>8.9550000000000001</v>
      </c>
      <c r="R977" t="str" cm="1">
        <f t="array" ref="R977">_xlfn.IFS(Q977&lt;=50,"low sales",Q977&lt;=100,"medium sales",Q977&gt;100,"High sales")</f>
        <v>low sales</v>
      </c>
    </row>
    <row r="978" spans="1:18" x14ac:dyDescent="0.35">
      <c r="A978" s="2" t="s">
        <v>6007</v>
      </c>
      <c r="B978" s="3">
        <v>43643</v>
      </c>
      <c r="C978" s="3" t="str">
        <f t="shared" si="60"/>
        <v>Thursday</v>
      </c>
      <c r="D978" s="3" t="str">
        <f t="shared" si="61"/>
        <v>June</v>
      </c>
      <c r="E978" s="3" t="str">
        <f t="shared" si="62"/>
        <v>2019</v>
      </c>
      <c r="F978" s="2" t="s">
        <v>6008</v>
      </c>
      <c r="G978" t="s">
        <v>6142</v>
      </c>
      <c r="H978" s="2">
        <v>5</v>
      </c>
      <c r="I978" s="2" t="str">
        <f>_xlfn.XLOOKUP(F978,customers!A:A,customers!B:B)</f>
        <v>Kacy Canto</v>
      </c>
      <c r="J978" s="2" t="str">
        <f>_xlfn.XLOOKUP(F978,customers!A:A,customers!C:C)</f>
        <v>kcantor4@gmpg.org</v>
      </c>
      <c r="K978" s="2" t="str">
        <f>_xlfn.XLOOKUP(F978,customers!A:A,customers!F:F)</f>
        <v>Fort Wayne</v>
      </c>
      <c r="L978" s="2" t="str">
        <f>_xlfn.XLOOKUP(F978,customers!A:A,customers!G:G)</f>
        <v>United States</v>
      </c>
      <c r="M978" t="str">
        <f>_xlfn.XLOOKUP(G978,products!A:A,products!B:B)</f>
        <v>Rob</v>
      </c>
      <c r="N978" t="str">
        <f>_xlfn.XLOOKUP(G978,products!A:A,products!C:C)</f>
        <v>L</v>
      </c>
      <c r="O978">
        <f>_xlfn.XLOOKUP(G978,products!A:A,products!D:D)</f>
        <v>2.5</v>
      </c>
      <c r="P978">
        <f>_xlfn.XLOOKUP(G978,products!A:A,products!E:E)</f>
        <v>27.484999999999996</v>
      </c>
      <c r="Q978">
        <f t="shared" si="63"/>
        <v>137.42499999999998</v>
      </c>
      <c r="R978" t="str" cm="1">
        <f t="array" ref="R978">_xlfn.IFS(Q978&lt;=50,"low sales",Q978&lt;=100,"medium sales",Q978&gt;100,"High sales")</f>
        <v>High sales</v>
      </c>
    </row>
    <row r="979" spans="1:18" x14ac:dyDescent="0.35">
      <c r="A979" s="2" t="s">
        <v>6013</v>
      </c>
      <c r="B979" s="3">
        <v>44026</v>
      </c>
      <c r="C979" s="3" t="str">
        <f t="shared" si="60"/>
        <v>Tuesday</v>
      </c>
      <c r="D979" s="3" t="str">
        <f t="shared" si="61"/>
        <v>July</v>
      </c>
      <c r="E979" s="3" t="str">
        <f t="shared" si="62"/>
        <v>2020</v>
      </c>
      <c r="F979" s="2" t="s">
        <v>6014</v>
      </c>
      <c r="G979" t="s">
        <v>6179</v>
      </c>
      <c r="H979" s="2">
        <v>5</v>
      </c>
      <c r="I979" s="2" t="str">
        <f>_xlfn.XLOOKUP(F979,customers!A:A,customers!B:B)</f>
        <v>Mab Blakemore</v>
      </c>
      <c r="J979" s="2" t="str">
        <f>_xlfn.XLOOKUP(F979,customers!A:A,customers!C:C)</f>
        <v>mblakemorer5@nsw.gov.au</v>
      </c>
      <c r="K979" s="2" t="str">
        <f>_xlfn.XLOOKUP(F979,customers!A:A,customers!F:F)</f>
        <v>Amarillo</v>
      </c>
      <c r="L979" s="2" t="str">
        <f>_xlfn.XLOOKUP(F979,customers!A:A,customers!G:G)</f>
        <v>United States</v>
      </c>
      <c r="M979" t="str">
        <f>_xlfn.XLOOKUP(G979,products!A:A,products!B:B)</f>
        <v>Rob</v>
      </c>
      <c r="N979" t="str">
        <f>_xlfn.XLOOKUP(G979,products!A:A,products!C:C)</f>
        <v>L</v>
      </c>
      <c r="O979">
        <f>_xlfn.XLOOKUP(G979,products!A:A,products!D:D)</f>
        <v>1</v>
      </c>
      <c r="P979">
        <f>_xlfn.XLOOKUP(G979,products!A:A,products!E:E)</f>
        <v>11.95</v>
      </c>
      <c r="Q979">
        <f t="shared" si="63"/>
        <v>59.75</v>
      </c>
      <c r="R979" t="str" cm="1">
        <f t="array" ref="R979">_xlfn.IFS(Q979&lt;=50,"low sales",Q979&lt;=100,"medium sales",Q979&gt;100,"High sales")</f>
        <v>medium sales</v>
      </c>
    </row>
    <row r="980" spans="1:18" x14ac:dyDescent="0.35">
      <c r="A980" s="2" t="s">
        <v>6019</v>
      </c>
      <c r="B980" s="3">
        <v>43913</v>
      </c>
      <c r="C980" s="3" t="str">
        <f t="shared" si="60"/>
        <v>Monday</v>
      </c>
      <c r="D980" s="3" t="str">
        <f t="shared" si="61"/>
        <v>March</v>
      </c>
      <c r="E980" s="3" t="str">
        <f t="shared" si="62"/>
        <v>2020</v>
      </c>
      <c r="F980" s="2" t="s">
        <v>5990</v>
      </c>
      <c r="G980" t="s">
        <v>6180</v>
      </c>
      <c r="H980" s="2">
        <v>3</v>
      </c>
      <c r="I980" s="2" t="str">
        <f>_xlfn.XLOOKUP(F980,customers!A:A,customers!B:B)</f>
        <v>Charlean Keave</v>
      </c>
      <c r="J980" s="2" t="str">
        <f>_xlfn.XLOOKUP(F980,customers!A:A,customers!C:C)</f>
        <v>ckeaver1@ucoz.com</v>
      </c>
      <c r="K980" s="2" t="str">
        <f>_xlfn.XLOOKUP(F980,customers!A:A,customers!F:F)</f>
        <v>Pensacola</v>
      </c>
      <c r="L980" s="2" t="str">
        <f>_xlfn.XLOOKUP(F980,customers!A:A,customers!G:G)</f>
        <v>United States</v>
      </c>
      <c r="M980" t="str">
        <f>_xlfn.XLOOKUP(G980,products!A:A,products!B:B)</f>
        <v>Ara</v>
      </c>
      <c r="N980" t="str">
        <f>_xlfn.XLOOKUP(G980,products!A:A,products!C:C)</f>
        <v>L</v>
      </c>
      <c r="O980">
        <f>_xlfn.XLOOKUP(G980,products!A:A,products!D:D)</f>
        <v>0.5</v>
      </c>
      <c r="P980">
        <f>_xlfn.XLOOKUP(G980,products!A:A,products!E:E)</f>
        <v>7.77</v>
      </c>
      <c r="Q980">
        <f t="shared" si="63"/>
        <v>23.31</v>
      </c>
      <c r="R980" t="str" cm="1">
        <f t="array" ref="R980">_xlfn.IFS(Q980&lt;=50,"low sales",Q980&lt;=100,"medium sales",Q980&gt;100,"High sales")</f>
        <v>low sales</v>
      </c>
    </row>
    <row r="981" spans="1:18" x14ac:dyDescent="0.35">
      <c r="A981" s="2" t="s">
        <v>6025</v>
      </c>
      <c r="B981" s="3">
        <v>43856</v>
      </c>
      <c r="C981" s="3" t="str">
        <f t="shared" si="60"/>
        <v>Sunday</v>
      </c>
      <c r="D981" s="3" t="str">
        <f t="shared" si="61"/>
        <v>January</v>
      </c>
      <c r="E981" s="3" t="str">
        <f t="shared" si="62"/>
        <v>2020</v>
      </c>
      <c r="F981" s="2" t="s">
        <v>6026</v>
      </c>
      <c r="G981" t="s">
        <v>6172</v>
      </c>
      <c r="H981" s="2">
        <v>2</v>
      </c>
      <c r="I981" s="2" t="str">
        <f>_xlfn.XLOOKUP(F981,customers!A:A,customers!B:B)</f>
        <v>Javier Causnett</v>
      </c>
      <c r="J981" s="2">
        <f>_xlfn.XLOOKUP(F981,customers!A:A,customers!C:C)</f>
        <v>0</v>
      </c>
      <c r="K981" s="2" t="str">
        <f>_xlfn.XLOOKUP(F981,customers!A:A,customers!F:F)</f>
        <v>Silver Spring</v>
      </c>
      <c r="L981" s="2" t="str">
        <f>_xlfn.XLOOKUP(F981,customers!A:A,customers!G:G)</f>
        <v>United States</v>
      </c>
      <c r="M981" t="str">
        <f>_xlfn.XLOOKUP(G981,products!A:A,products!B:B)</f>
        <v>Rob</v>
      </c>
      <c r="N981" t="str">
        <f>_xlfn.XLOOKUP(G981,products!A:A,products!C:C)</f>
        <v>D</v>
      </c>
      <c r="O981">
        <f>_xlfn.XLOOKUP(G981,products!A:A,products!D:D)</f>
        <v>0.5</v>
      </c>
      <c r="P981">
        <f>_xlfn.XLOOKUP(G981,products!A:A,products!E:E)</f>
        <v>5.3699999999999992</v>
      </c>
      <c r="Q981">
        <f t="shared" si="63"/>
        <v>10.739999999999998</v>
      </c>
      <c r="R981" t="str" cm="1">
        <f t="array" ref="R981">_xlfn.IFS(Q981&lt;=50,"low sales",Q981&lt;=100,"medium sales",Q981&gt;100,"High sales")</f>
        <v>low sales</v>
      </c>
    </row>
    <row r="982" spans="1:18" x14ac:dyDescent="0.35">
      <c r="A982" s="2" t="s">
        <v>6030</v>
      </c>
      <c r="B982" s="3">
        <v>43982</v>
      </c>
      <c r="C982" s="3" t="str">
        <f t="shared" si="60"/>
        <v>Sunday</v>
      </c>
      <c r="D982" s="3" t="str">
        <f t="shared" si="61"/>
        <v>May</v>
      </c>
      <c r="E982" s="3" t="str">
        <f t="shared" si="62"/>
        <v>2020</v>
      </c>
      <c r="F982" s="2" t="s">
        <v>6031</v>
      </c>
      <c r="G982" t="s">
        <v>6185</v>
      </c>
      <c r="H982" s="2">
        <v>6</v>
      </c>
      <c r="I982" s="2" t="str">
        <f>_xlfn.XLOOKUP(F982,customers!A:A,customers!B:B)</f>
        <v>Demetris Micheli</v>
      </c>
      <c r="J982" s="2">
        <f>_xlfn.XLOOKUP(F982,customers!A:A,customers!C:C)</f>
        <v>0</v>
      </c>
      <c r="K982" s="2" t="str">
        <f>_xlfn.XLOOKUP(F982,customers!A:A,customers!F:F)</f>
        <v>Madison</v>
      </c>
      <c r="L982" s="2" t="str">
        <f>_xlfn.XLOOKUP(F982,customers!A:A,customers!G:G)</f>
        <v>United States</v>
      </c>
      <c r="M982" t="str">
        <f>_xlfn.XLOOKUP(G982,products!A:A,products!B:B)</f>
        <v>Exc</v>
      </c>
      <c r="N982" t="str">
        <f>_xlfn.XLOOKUP(G982,products!A:A,products!C:C)</f>
        <v>D</v>
      </c>
      <c r="O982">
        <f>_xlfn.XLOOKUP(G982,products!A:A,products!D:D)</f>
        <v>2.5</v>
      </c>
      <c r="P982">
        <f>_xlfn.XLOOKUP(G982,products!A:A,products!E:E)</f>
        <v>27.945</v>
      </c>
      <c r="Q982">
        <f t="shared" si="63"/>
        <v>167.67000000000002</v>
      </c>
      <c r="R982" t="str" cm="1">
        <f t="array" ref="R982">_xlfn.IFS(Q982&lt;=50,"low sales",Q982&lt;=100,"medium sales",Q982&gt;100,"High sales")</f>
        <v>High sales</v>
      </c>
    </row>
    <row r="983" spans="1:18" x14ac:dyDescent="0.35">
      <c r="A983" s="2" t="s">
        <v>6035</v>
      </c>
      <c r="B983" s="3">
        <v>44397</v>
      </c>
      <c r="C983" s="3" t="str">
        <f t="shared" si="60"/>
        <v>Tuesday</v>
      </c>
      <c r="D983" s="3" t="str">
        <f t="shared" si="61"/>
        <v>July</v>
      </c>
      <c r="E983" s="3" t="str">
        <f t="shared" si="62"/>
        <v>2021</v>
      </c>
      <c r="F983" s="2" t="s">
        <v>6036</v>
      </c>
      <c r="G983" t="s">
        <v>6153</v>
      </c>
      <c r="H983" s="2">
        <v>6</v>
      </c>
      <c r="I983" s="2" t="str">
        <f>_xlfn.XLOOKUP(F983,customers!A:A,customers!B:B)</f>
        <v>Chloette Bernardot</v>
      </c>
      <c r="J983" s="2" t="str">
        <f>_xlfn.XLOOKUP(F983,customers!A:A,customers!C:C)</f>
        <v>cbernardotr9@wix.com</v>
      </c>
      <c r="K983" s="2" t="str">
        <f>_xlfn.XLOOKUP(F983,customers!A:A,customers!F:F)</f>
        <v>Conroe</v>
      </c>
      <c r="L983" s="2" t="str">
        <f>_xlfn.XLOOKUP(F983,customers!A:A,customers!G:G)</f>
        <v>United States</v>
      </c>
      <c r="M983" t="str">
        <f>_xlfn.XLOOKUP(G983,products!A:A,products!B:B)</f>
        <v>Exc</v>
      </c>
      <c r="N983" t="str">
        <f>_xlfn.XLOOKUP(G983,products!A:A,products!C:C)</f>
        <v>D</v>
      </c>
      <c r="O983">
        <f>_xlfn.XLOOKUP(G983,products!A:A,products!D:D)</f>
        <v>0.2</v>
      </c>
      <c r="P983">
        <f>_xlfn.XLOOKUP(G983,products!A:A,products!E:E)</f>
        <v>3.645</v>
      </c>
      <c r="Q983">
        <f t="shared" si="63"/>
        <v>21.87</v>
      </c>
      <c r="R983" t="str" cm="1">
        <f t="array" ref="R983">_xlfn.IFS(Q983&lt;=50,"low sales",Q983&lt;=100,"medium sales",Q983&gt;100,"High sales")</f>
        <v>low sales</v>
      </c>
    </row>
    <row r="984" spans="1:18" x14ac:dyDescent="0.35">
      <c r="A984" s="2" t="s">
        <v>6041</v>
      </c>
      <c r="B984" s="3">
        <v>44785</v>
      </c>
      <c r="C984" s="3" t="str">
        <f t="shared" si="60"/>
        <v>Friday</v>
      </c>
      <c r="D984" s="3" t="str">
        <f t="shared" si="61"/>
        <v>August</v>
      </c>
      <c r="E984" s="3" t="str">
        <f t="shared" si="62"/>
        <v>2022</v>
      </c>
      <c r="F984" s="2" t="s">
        <v>6042</v>
      </c>
      <c r="G984" t="s">
        <v>6179</v>
      </c>
      <c r="H984" s="2">
        <v>2</v>
      </c>
      <c r="I984" s="2" t="str">
        <f>_xlfn.XLOOKUP(F984,customers!A:A,customers!B:B)</f>
        <v>Kim Kemery</v>
      </c>
      <c r="J984" s="2" t="str">
        <f>_xlfn.XLOOKUP(F984,customers!A:A,customers!C:C)</f>
        <v>kkemeryra@t.co</v>
      </c>
      <c r="K984" s="2" t="str">
        <f>_xlfn.XLOOKUP(F984,customers!A:A,customers!F:F)</f>
        <v>Denton</v>
      </c>
      <c r="L984" s="2" t="str">
        <f>_xlfn.XLOOKUP(F984,customers!A:A,customers!G:G)</f>
        <v>United States</v>
      </c>
      <c r="M984" t="str">
        <f>_xlfn.XLOOKUP(G984,products!A:A,products!B:B)</f>
        <v>Rob</v>
      </c>
      <c r="N984" t="str">
        <f>_xlfn.XLOOKUP(G984,products!A:A,products!C:C)</f>
        <v>L</v>
      </c>
      <c r="O984">
        <f>_xlfn.XLOOKUP(G984,products!A:A,products!D:D)</f>
        <v>1</v>
      </c>
      <c r="P984">
        <f>_xlfn.XLOOKUP(G984,products!A:A,products!E:E)</f>
        <v>11.95</v>
      </c>
      <c r="Q984">
        <f t="shared" si="63"/>
        <v>23.9</v>
      </c>
      <c r="R984" t="str" cm="1">
        <f t="array" ref="R984">_xlfn.IFS(Q984&lt;=50,"low sales",Q984&lt;=100,"medium sales",Q984&gt;100,"High sales")</f>
        <v>low sales</v>
      </c>
    </row>
    <row r="985" spans="1:18" x14ac:dyDescent="0.35">
      <c r="A985" s="2" t="s">
        <v>6047</v>
      </c>
      <c r="B985" s="3">
        <v>43831</v>
      </c>
      <c r="C985" s="3" t="str">
        <f t="shared" si="60"/>
        <v>Wednesday</v>
      </c>
      <c r="D985" s="3" t="str">
        <f t="shared" si="61"/>
        <v>January</v>
      </c>
      <c r="E985" s="3" t="str">
        <f t="shared" si="62"/>
        <v>2020</v>
      </c>
      <c r="F985" s="2" t="s">
        <v>6048</v>
      </c>
      <c r="G985" t="s">
        <v>6152</v>
      </c>
      <c r="H985" s="2">
        <v>2</v>
      </c>
      <c r="I985" s="2" t="str">
        <f>_xlfn.XLOOKUP(F985,customers!A:A,customers!B:B)</f>
        <v>Fanchette Parlot</v>
      </c>
      <c r="J985" s="2" t="str">
        <f>_xlfn.XLOOKUP(F985,customers!A:A,customers!C:C)</f>
        <v>fparlotrb@forbes.com</v>
      </c>
      <c r="K985" s="2" t="str">
        <f>_xlfn.XLOOKUP(F985,customers!A:A,customers!F:F)</f>
        <v>Columbus</v>
      </c>
      <c r="L985" s="2" t="str">
        <f>_xlfn.XLOOKUP(F985,customers!A:A,customers!G:G)</f>
        <v>United States</v>
      </c>
      <c r="M985" t="str">
        <f>_xlfn.XLOOKUP(G985,products!A:A,products!B:B)</f>
        <v>Ara</v>
      </c>
      <c r="N985" t="str">
        <f>_xlfn.XLOOKUP(G985,products!A:A,products!C:C)</f>
        <v>M</v>
      </c>
      <c r="O985">
        <f>_xlfn.XLOOKUP(G985,products!A:A,products!D:D)</f>
        <v>0.2</v>
      </c>
      <c r="P985">
        <f>_xlfn.XLOOKUP(G985,products!A:A,products!E:E)</f>
        <v>3.375</v>
      </c>
      <c r="Q985">
        <f t="shared" si="63"/>
        <v>6.75</v>
      </c>
      <c r="R985" t="str" cm="1">
        <f t="array" ref="R985">_xlfn.IFS(Q985&lt;=50,"low sales",Q985&lt;=100,"medium sales",Q985&gt;100,"High sales")</f>
        <v>low sales</v>
      </c>
    </row>
    <row r="986" spans="1:18" x14ac:dyDescent="0.35">
      <c r="A986" s="2" t="s">
        <v>6053</v>
      </c>
      <c r="B986" s="3">
        <v>44214</v>
      </c>
      <c r="C986" s="3" t="str">
        <f t="shared" si="60"/>
        <v>Monday</v>
      </c>
      <c r="D986" s="3" t="str">
        <f t="shared" si="61"/>
        <v>January</v>
      </c>
      <c r="E986" s="3" t="str">
        <f t="shared" si="62"/>
        <v>2021</v>
      </c>
      <c r="F986" s="2" t="s">
        <v>6054</v>
      </c>
      <c r="G986" t="s">
        <v>6166</v>
      </c>
      <c r="H986" s="2">
        <v>1</v>
      </c>
      <c r="I986" s="2" t="str">
        <f>_xlfn.XLOOKUP(F986,customers!A:A,customers!B:B)</f>
        <v>Ramon Cheak</v>
      </c>
      <c r="J986" s="2" t="str">
        <f>_xlfn.XLOOKUP(F986,customers!A:A,customers!C:C)</f>
        <v>rcheakrc@tripadvisor.com</v>
      </c>
      <c r="K986" s="2" t="str">
        <f>_xlfn.XLOOKUP(F986,customers!A:A,customers!F:F)</f>
        <v>Bundoran</v>
      </c>
      <c r="L986" s="2" t="str">
        <f>_xlfn.XLOOKUP(F986,customers!A:A,customers!G:G)</f>
        <v>Ireland</v>
      </c>
      <c r="M986" t="str">
        <f>_xlfn.XLOOKUP(G986,products!A:A,products!B:B)</f>
        <v>Exc</v>
      </c>
      <c r="N986" t="str">
        <f>_xlfn.XLOOKUP(G986,products!A:A,products!C:C)</f>
        <v>M</v>
      </c>
      <c r="O986">
        <f>_xlfn.XLOOKUP(G986,products!A:A,products!D:D)</f>
        <v>2.5</v>
      </c>
      <c r="P986">
        <f>_xlfn.XLOOKUP(G986,products!A:A,products!E:E)</f>
        <v>31.624999999999996</v>
      </c>
      <c r="Q986">
        <f t="shared" si="63"/>
        <v>31.624999999999996</v>
      </c>
      <c r="R986" t="str" cm="1">
        <f t="array" ref="R986">_xlfn.IFS(Q986&lt;=50,"low sales",Q986&lt;=100,"medium sales",Q986&gt;100,"High sales")</f>
        <v>low sales</v>
      </c>
    </row>
    <row r="987" spans="1:18" x14ac:dyDescent="0.35">
      <c r="A987" s="2" t="s">
        <v>6058</v>
      </c>
      <c r="B987" s="3">
        <v>44561</v>
      </c>
      <c r="C987" s="3" t="str">
        <f t="shared" si="60"/>
        <v>Friday</v>
      </c>
      <c r="D987" s="3" t="str">
        <f t="shared" si="61"/>
        <v>December</v>
      </c>
      <c r="E987" s="3" t="str">
        <f t="shared" si="62"/>
        <v>2021</v>
      </c>
      <c r="F987" s="2" t="s">
        <v>6059</v>
      </c>
      <c r="G987" t="s">
        <v>6179</v>
      </c>
      <c r="H987" s="2">
        <v>4</v>
      </c>
      <c r="I987" s="2" t="str">
        <f>_xlfn.XLOOKUP(F987,customers!A:A,customers!B:B)</f>
        <v>Koressa O'Geneay</v>
      </c>
      <c r="J987" s="2" t="str">
        <f>_xlfn.XLOOKUP(F987,customers!A:A,customers!C:C)</f>
        <v>kogeneayrd@utexas.edu</v>
      </c>
      <c r="K987" s="2" t="str">
        <f>_xlfn.XLOOKUP(F987,customers!A:A,customers!F:F)</f>
        <v>Aurora</v>
      </c>
      <c r="L987" s="2" t="str">
        <f>_xlfn.XLOOKUP(F987,customers!A:A,customers!G:G)</f>
        <v>United States</v>
      </c>
      <c r="M987" t="str">
        <f>_xlfn.XLOOKUP(G987,products!A:A,products!B:B)</f>
        <v>Rob</v>
      </c>
      <c r="N987" t="str">
        <f>_xlfn.XLOOKUP(G987,products!A:A,products!C:C)</f>
        <v>L</v>
      </c>
      <c r="O987">
        <f>_xlfn.XLOOKUP(G987,products!A:A,products!D:D)</f>
        <v>1</v>
      </c>
      <c r="P987">
        <f>_xlfn.XLOOKUP(G987,products!A:A,products!E:E)</f>
        <v>11.95</v>
      </c>
      <c r="Q987">
        <f t="shared" si="63"/>
        <v>47.8</v>
      </c>
      <c r="R987" t="str" cm="1">
        <f t="array" ref="R987">_xlfn.IFS(Q987&lt;=50,"low sales",Q987&lt;=100,"medium sales",Q987&gt;100,"High sales")</f>
        <v>low sales</v>
      </c>
    </row>
    <row r="988" spans="1:18" x14ac:dyDescent="0.35">
      <c r="A988" s="2" t="s">
        <v>6064</v>
      </c>
      <c r="B988" s="3">
        <v>43955</v>
      </c>
      <c r="C988" s="3" t="str">
        <f t="shared" si="60"/>
        <v>Monday</v>
      </c>
      <c r="D988" s="3" t="str">
        <f t="shared" si="61"/>
        <v>May</v>
      </c>
      <c r="E988" s="3" t="str">
        <f t="shared" si="62"/>
        <v>2020</v>
      </c>
      <c r="F988" s="2" t="s">
        <v>6065</v>
      </c>
      <c r="G988" t="s">
        <v>6181</v>
      </c>
      <c r="H988" s="2">
        <v>1</v>
      </c>
      <c r="I988" s="2" t="str">
        <f>_xlfn.XLOOKUP(F988,customers!A:A,customers!B:B)</f>
        <v>Claudell Ayre</v>
      </c>
      <c r="J988" s="2" t="str">
        <f>_xlfn.XLOOKUP(F988,customers!A:A,customers!C:C)</f>
        <v>cayrere@symantec.com</v>
      </c>
      <c r="K988" s="2" t="str">
        <f>_xlfn.XLOOKUP(F988,customers!A:A,customers!F:F)</f>
        <v>Daytona Beach</v>
      </c>
      <c r="L988" s="2" t="str">
        <f>_xlfn.XLOOKUP(F988,customers!A:A,customers!G:G)</f>
        <v>United States</v>
      </c>
      <c r="M988" t="str">
        <f>_xlfn.XLOOKUP(G988,products!A:A,products!B:B)</f>
        <v>Lib</v>
      </c>
      <c r="N988" t="str">
        <f>_xlfn.XLOOKUP(G988,products!A:A,products!C:C)</f>
        <v>M</v>
      </c>
      <c r="O988">
        <f>_xlfn.XLOOKUP(G988,products!A:A,products!D:D)</f>
        <v>2.5</v>
      </c>
      <c r="P988">
        <f>_xlfn.XLOOKUP(G988,products!A:A,products!E:E)</f>
        <v>33.464999999999996</v>
      </c>
      <c r="Q988">
        <f t="shared" si="63"/>
        <v>33.464999999999996</v>
      </c>
      <c r="R988" t="str" cm="1">
        <f t="array" ref="R988">_xlfn.IFS(Q988&lt;=50,"low sales",Q988&lt;=100,"medium sales",Q988&gt;100,"High sales")</f>
        <v>low sales</v>
      </c>
    </row>
    <row r="989" spans="1:18" x14ac:dyDescent="0.35">
      <c r="A989" s="2" t="s">
        <v>6070</v>
      </c>
      <c r="B989" s="3">
        <v>44247</v>
      </c>
      <c r="C989" s="3" t="str">
        <f t="shared" si="60"/>
        <v>Saturday</v>
      </c>
      <c r="D989" s="3" t="str">
        <f t="shared" si="61"/>
        <v>February</v>
      </c>
      <c r="E989" s="3" t="str">
        <f t="shared" si="62"/>
        <v>2021</v>
      </c>
      <c r="F989" s="2" t="s">
        <v>6071</v>
      </c>
      <c r="G989" t="s">
        <v>6158</v>
      </c>
      <c r="H989" s="2">
        <v>5</v>
      </c>
      <c r="I989" s="2" t="str">
        <f>_xlfn.XLOOKUP(F989,customers!A:A,customers!B:B)</f>
        <v>Lorianne Kyneton</v>
      </c>
      <c r="J989" s="2" t="str">
        <f>_xlfn.XLOOKUP(F989,customers!A:A,customers!C:C)</f>
        <v>lkynetonrf@macromedia.com</v>
      </c>
      <c r="K989" s="2" t="str">
        <f>_xlfn.XLOOKUP(F989,customers!A:A,customers!F:F)</f>
        <v>Seaton</v>
      </c>
      <c r="L989" s="2" t="str">
        <f>_xlfn.XLOOKUP(F989,customers!A:A,customers!G:G)</f>
        <v>United Kingdom</v>
      </c>
      <c r="M989" t="str">
        <f>_xlfn.XLOOKUP(G989,products!A:A,products!B:B)</f>
        <v>Ara</v>
      </c>
      <c r="N989" t="str">
        <f>_xlfn.XLOOKUP(G989,products!A:A,products!C:C)</f>
        <v>D</v>
      </c>
      <c r="O989">
        <f>_xlfn.XLOOKUP(G989,products!A:A,products!D:D)</f>
        <v>0.5</v>
      </c>
      <c r="P989">
        <f>_xlfn.XLOOKUP(G989,products!A:A,products!E:E)</f>
        <v>5.97</v>
      </c>
      <c r="Q989">
        <f t="shared" si="63"/>
        <v>29.849999999999998</v>
      </c>
      <c r="R989" t="str" cm="1">
        <f t="array" ref="R989">_xlfn.IFS(Q989&lt;=50,"low sales",Q989&lt;=100,"medium sales",Q989&gt;100,"High sales")</f>
        <v>low sales</v>
      </c>
    </row>
    <row r="990" spans="1:18" x14ac:dyDescent="0.35">
      <c r="A990" s="2" t="s">
        <v>6076</v>
      </c>
      <c r="B990" s="3">
        <v>43897</v>
      </c>
      <c r="C990" s="3" t="str">
        <f t="shared" si="60"/>
        <v>Saturday</v>
      </c>
      <c r="D990" s="3" t="str">
        <f t="shared" si="61"/>
        <v>March</v>
      </c>
      <c r="E990" s="3" t="str">
        <f t="shared" si="62"/>
        <v>2020</v>
      </c>
      <c r="F990" s="2" t="s">
        <v>6077</v>
      </c>
      <c r="G990" t="s">
        <v>6138</v>
      </c>
      <c r="H990" s="2">
        <v>3</v>
      </c>
      <c r="I990" s="2" t="str">
        <f>_xlfn.XLOOKUP(F990,customers!A:A,customers!B:B)</f>
        <v>Adele McFayden</v>
      </c>
      <c r="J990" s="2">
        <f>_xlfn.XLOOKUP(F990,customers!A:A,customers!C:C)</f>
        <v>0</v>
      </c>
      <c r="K990" s="2" t="str">
        <f>_xlfn.XLOOKUP(F990,customers!A:A,customers!F:F)</f>
        <v>Wirral</v>
      </c>
      <c r="L990" s="2" t="str">
        <f>_xlfn.XLOOKUP(F990,customers!A:A,customers!G:G)</f>
        <v>United Kingdom</v>
      </c>
      <c r="M990" t="str">
        <f>_xlfn.XLOOKUP(G990,products!A:A,products!B:B)</f>
        <v>Rob</v>
      </c>
      <c r="N990" t="str">
        <f>_xlfn.XLOOKUP(G990,products!A:A,products!C:C)</f>
        <v>M</v>
      </c>
      <c r="O990">
        <f>_xlfn.XLOOKUP(G990,products!A:A,products!D:D)</f>
        <v>1</v>
      </c>
      <c r="P990">
        <f>_xlfn.XLOOKUP(G990,products!A:A,products!E:E)</f>
        <v>9.9499999999999993</v>
      </c>
      <c r="Q990">
        <f t="shared" si="63"/>
        <v>29.849999999999998</v>
      </c>
      <c r="R990" t="str" cm="1">
        <f t="array" ref="R990">_xlfn.IFS(Q990&lt;=50,"low sales",Q990&lt;=100,"medium sales",Q990&gt;100,"High sales")</f>
        <v>low sales</v>
      </c>
    </row>
    <row r="991" spans="1:18" x14ac:dyDescent="0.35">
      <c r="A991" s="2" t="s">
        <v>6081</v>
      </c>
      <c r="B991" s="3">
        <v>43560</v>
      </c>
      <c r="C991" s="3" t="str">
        <f t="shared" si="60"/>
        <v>Friday</v>
      </c>
      <c r="D991" s="3" t="str">
        <f t="shared" si="61"/>
        <v>April</v>
      </c>
      <c r="E991" s="3" t="str">
        <f t="shared" si="62"/>
        <v>2019</v>
      </c>
      <c r="F991" s="2" t="s">
        <v>6082</v>
      </c>
      <c r="G991" t="s">
        <v>6175</v>
      </c>
      <c r="H991" s="2">
        <v>6</v>
      </c>
      <c r="I991" s="2" t="str">
        <f>_xlfn.XLOOKUP(F991,customers!A:A,customers!B:B)</f>
        <v>Herta Layne</v>
      </c>
      <c r="J991" s="2">
        <f>_xlfn.XLOOKUP(F991,customers!A:A,customers!C:C)</f>
        <v>0</v>
      </c>
      <c r="K991" s="2" t="str">
        <f>_xlfn.XLOOKUP(F991,customers!A:A,customers!F:F)</f>
        <v>Saint Louis</v>
      </c>
      <c r="L991" s="2" t="str">
        <f>_xlfn.XLOOKUP(F991,customers!A:A,customers!G:G)</f>
        <v>United States</v>
      </c>
      <c r="M991" t="str">
        <f>_xlfn.XLOOKUP(G991,products!A:A,products!B:B)</f>
        <v>Ara</v>
      </c>
      <c r="N991" t="str">
        <f>_xlfn.XLOOKUP(G991,products!A:A,products!C:C)</f>
        <v>M</v>
      </c>
      <c r="O991">
        <f>_xlfn.XLOOKUP(G991,products!A:A,products!D:D)</f>
        <v>2.5</v>
      </c>
      <c r="P991">
        <f>_xlfn.XLOOKUP(G991,products!A:A,products!E:E)</f>
        <v>25.874999999999996</v>
      </c>
      <c r="Q991">
        <f t="shared" si="63"/>
        <v>155.24999999999997</v>
      </c>
      <c r="R991" t="str" cm="1">
        <f t="array" ref="R991">_xlfn.IFS(Q991&lt;=50,"low sales",Q991&lt;=100,"medium sales",Q991&gt;100,"High sales")</f>
        <v>High sales</v>
      </c>
    </row>
    <row r="992" spans="1:18" x14ac:dyDescent="0.35">
      <c r="A992" s="2" t="s">
        <v>6086</v>
      </c>
      <c r="B992" s="3">
        <v>44718</v>
      </c>
      <c r="C992" s="3" t="str">
        <f t="shared" si="60"/>
        <v>Monday</v>
      </c>
      <c r="D992" s="3" t="str">
        <f t="shared" si="61"/>
        <v>June</v>
      </c>
      <c r="E992" s="3" t="str">
        <f t="shared" si="62"/>
        <v>2022</v>
      </c>
      <c r="F992" s="2" t="s">
        <v>6118</v>
      </c>
      <c r="G992" t="s">
        <v>6153</v>
      </c>
      <c r="H992" s="2">
        <v>5</v>
      </c>
      <c r="I992" s="2" t="str">
        <f>_xlfn.XLOOKUP(F992,customers!A:A,customers!B:B)</f>
        <v>Marguerite Graves</v>
      </c>
      <c r="J992" s="2">
        <f>_xlfn.XLOOKUP(F992,customers!A:A,customers!C:C)</f>
        <v>0</v>
      </c>
      <c r="K992" s="2" t="str">
        <f>_xlfn.XLOOKUP(F992,customers!A:A,customers!F:F)</f>
        <v>Fort Smith</v>
      </c>
      <c r="L992" s="2" t="str">
        <f>_xlfn.XLOOKUP(F992,customers!A:A,customers!G:G)</f>
        <v>United States</v>
      </c>
      <c r="M992" t="str">
        <f>_xlfn.XLOOKUP(G992,products!A:A,products!B:B)</f>
        <v>Exc</v>
      </c>
      <c r="N992" t="str">
        <f>_xlfn.XLOOKUP(G992,products!A:A,products!C:C)</f>
        <v>D</v>
      </c>
      <c r="O992">
        <f>_xlfn.XLOOKUP(G992,products!A:A,products!D:D)</f>
        <v>0.2</v>
      </c>
      <c r="P992">
        <f>_xlfn.XLOOKUP(G992,products!A:A,products!E:E)</f>
        <v>3.645</v>
      </c>
      <c r="Q992">
        <f t="shared" si="63"/>
        <v>18.225000000000001</v>
      </c>
      <c r="R992" t="str" cm="1">
        <f t="array" ref="R992">_xlfn.IFS(Q992&lt;=50,"low sales",Q992&lt;=100,"medium sales",Q992&gt;100,"High sales")</f>
        <v>low sales</v>
      </c>
    </row>
    <row r="993" spans="1:18" x14ac:dyDescent="0.35">
      <c r="A993" s="2" t="s">
        <v>6086</v>
      </c>
      <c r="B993" s="3">
        <v>44718</v>
      </c>
      <c r="C993" s="3" t="str">
        <f t="shared" si="60"/>
        <v>Monday</v>
      </c>
      <c r="D993" s="3" t="str">
        <f t="shared" si="61"/>
        <v>June</v>
      </c>
      <c r="E993" s="3" t="str">
        <f t="shared" si="62"/>
        <v>2022</v>
      </c>
      <c r="F993" s="2" t="s">
        <v>6118</v>
      </c>
      <c r="G993" t="s">
        <v>6169</v>
      </c>
      <c r="H993" s="2">
        <v>2</v>
      </c>
      <c r="I993" s="2" t="str">
        <f>_xlfn.XLOOKUP(F993,customers!A:A,customers!B:B)</f>
        <v>Marguerite Graves</v>
      </c>
      <c r="J993" s="2">
        <f>_xlfn.XLOOKUP(F993,customers!A:A,customers!C:C)</f>
        <v>0</v>
      </c>
      <c r="K993" s="2" t="str">
        <f>_xlfn.XLOOKUP(F993,customers!A:A,customers!F:F)</f>
        <v>Fort Smith</v>
      </c>
      <c r="L993" s="2" t="str">
        <f>_xlfn.XLOOKUP(F993,customers!A:A,customers!G:G)</f>
        <v>United States</v>
      </c>
      <c r="M993" t="str">
        <f>_xlfn.XLOOKUP(G993,products!A:A,products!B:B)</f>
        <v>Lib</v>
      </c>
      <c r="N993" t="str">
        <f>_xlfn.XLOOKUP(G993,products!A:A,products!C:C)</f>
        <v>D</v>
      </c>
      <c r="O993">
        <f>_xlfn.XLOOKUP(G993,products!A:A,products!D:D)</f>
        <v>0.5</v>
      </c>
      <c r="P993">
        <f>_xlfn.XLOOKUP(G993,products!A:A,products!E:E)</f>
        <v>7.77</v>
      </c>
      <c r="Q993">
        <f t="shared" si="63"/>
        <v>15.54</v>
      </c>
      <c r="R993" t="str" cm="1">
        <f t="array" ref="R993">_xlfn.IFS(Q993&lt;=50,"low sales",Q993&lt;=100,"medium sales",Q993&gt;100,"High sales")</f>
        <v>low sales</v>
      </c>
    </row>
    <row r="994" spans="1:18" x14ac:dyDescent="0.35">
      <c r="A994" s="2" t="s">
        <v>6096</v>
      </c>
      <c r="B994" s="3">
        <v>44276</v>
      </c>
      <c r="C994" s="3" t="str">
        <f t="shared" si="60"/>
        <v>Sunday</v>
      </c>
      <c r="D994" s="3" t="str">
        <f t="shared" si="61"/>
        <v>March</v>
      </c>
      <c r="E994" s="3" t="str">
        <f t="shared" si="62"/>
        <v>2021</v>
      </c>
      <c r="F994" s="2" t="s">
        <v>6097</v>
      </c>
      <c r="G994" t="s">
        <v>6164</v>
      </c>
      <c r="H994" s="2">
        <v>3</v>
      </c>
      <c r="I994" s="2" t="str">
        <f>_xlfn.XLOOKUP(F994,customers!A:A,customers!B:B)</f>
        <v>Desdemona Eye</v>
      </c>
      <c r="J994" s="2">
        <f>_xlfn.XLOOKUP(F994,customers!A:A,customers!C:C)</f>
        <v>0</v>
      </c>
      <c r="K994" s="2" t="str">
        <f>_xlfn.XLOOKUP(F994,customers!A:A,customers!F:F)</f>
        <v>Bagenalstown</v>
      </c>
      <c r="L994" s="2" t="str">
        <f>_xlfn.XLOOKUP(F994,customers!A:A,customers!G:G)</f>
        <v>Ireland</v>
      </c>
      <c r="M994" t="str">
        <f>_xlfn.XLOOKUP(G994,products!A:A,products!B:B)</f>
        <v>Lib</v>
      </c>
      <c r="N994" t="str">
        <f>_xlfn.XLOOKUP(G994,products!A:A,products!C:C)</f>
        <v>L</v>
      </c>
      <c r="O994">
        <f>_xlfn.XLOOKUP(G994,products!A:A,products!D:D)</f>
        <v>2.5</v>
      </c>
      <c r="P994">
        <f>_xlfn.XLOOKUP(G994,products!A:A,products!E:E)</f>
        <v>36.454999999999998</v>
      </c>
      <c r="Q994">
        <f t="shared" si="63"/>
        <v>109.36499999999999</v>
      </c>
      <c r="R994" t="str" cm="1">
        <f t="array" ref="R994">_xlfn.IFS(Q994&lt;=50,"low sales",Q994&lt;=100,"medium sales",Q994&gt;100,"High sales")</f>
        <v>High sales</v>
      </c>
    </row>
    <row r="995" spans="1:18" x14ac:dyDescent="0.35">
      <c r="A995" s="2" t="s">
        <v>6101</v>
      </c>
      <c r="B995" s="3">
        <v>44549</v>
      </c>
      <c r="C995" s="3" t="str">
        <f t="shared" si="60"/>
        <v>Sunday</v>
      </c>
      <c r="D995" s="3" t="str">
        <f t="shared" si="61"/>
        <v>December</v>
      </c>
      <c r="E995" s="3" t="str">
        <f t="shared" si="62"/>
        <v>2021</v>
      </c>
      <c r="F995" s="2" t="s">
        <v>6102</v>
      </c>
      <c r="G995" t="s">
        <v>6140</v>
      </c>
      <c r="H995" s="2">
        <v>6</v>
      </c>
      <c r="I995" s="2" t="str">
        <f>_xlfn.XLOOKUP(F995,customers!A:A,customers!B:B)</f>
        <v>Margarette Sterland</v>
      </c>
      <c r="J995" s="2">
        <f>_xlfn.XLOOKUP(F995,customers!A:A,customers!C:C)</f>
        <v>0</v>
      </c>
      <c r="K995" s="2" t="str">
        <f>_xlfn.XLOOKUP(F995,customers!A:A,customers!F:F)</f>
        <v>Philadelphia</v>
      </c>
      <c r="L995" s="2" t="str">
        <f>_xlfn.XLOOKUP(F995,customers!A:A,customers!G:G)</f>
        <v>United States</v>
      </c>
      <c r="M995" t="str">
        <f>_xlfn.XLOOKUP(G995,products!A:A,products!B:B)</f>
        <v>Ara</v>
      </c>
      <c r="N995" t="str">
        <f>_xlfn.XLOOKUP(G995,products!A:A,products!C:C)</f>
        <v>L</v>
      </c>
      <c r="O995">
        <f>_xlfn.XLOOKUP(G995,products!A:A,products!D:D)</f>
        <v>1</v>
      </c>
      <c r="P995">
        <f>_xlfn.XLOOKUP(G995,products!A:A,products!E:E)</f>
        <v>12.95</v>
      </c>
      <c r="Q995">
        <f t="shared" si="63"/>
        <v>77.699999999999989</v>
      </c>
      <c r="R995" t="str" cm="1">
        <f t="array" ref="R995">_xlfn.IFS(Q995&lt;=50,"low sales",Q995&lt;=100,"medium sales",Q995&gt;100,"High sales")</f>
        <v>medium sales</v>
      </c>
    </row>
    <row r="996" spans="1:18" x14ac:dyDescent="0.35">
      <c r="A996" s="2" t="s">
        <v>6106</v>
      </c>
      <c r="B996" s="3">
        <v>44244</v>
      </c>
      <c r="C996" s="3" t="str">
        <f t="shared" si="60"/>
        <v>Wednesday</v>
      </c>
      <c r="D996" s="3" t="str">
        <f t="shared" si="61"/>
        <v>February</v>
      </c>
      <c r="E996" s="3" t="str">
        <f t="shared" si="62"/>
        <v>2021</v>
      </c>
      <c r="F996" s="2" t="s">
        <v>6107</v>
      </c>
      <c r="G996" t="s">
        <v>6154</v>
      </c>
      <c r="H996" s="2">
        <v>3</v>
      </c>
      <c r="I996" s="2" t="str">
        <f>_xlfn.XLOOKUP(F996,customers!A:A,customers!B:B)</f>
        <v>Catharine Scoines</v>
      </c>
      <c r="J996" s="2">
        <f>_xlfn.XLOOKUP(F996,customers!A:A,customers!C:C)</f>
        <v>0</v>
      </c>
      <c r="K996" s="2" t="str">
        <f>_xlfn.XLOOKUP(F996,customers!A:A,customers!F:F)</f>
        <v>Watergrasshill</v>
      </c>
      <c r="L996" s="2" t="str">
        <f>_xlfn.XLOOKUP(F996,customers!A:A,customers!G:G)</f>
        <v>Ireland</v>
      </c>
      <c r="M996" t="str">
        <f>_xlfn.XLOOKUP(G996,products!A:A,products!B:B)</f>
        <v>Ara</v>
      </c>
      <c r="N996" t="str">
        <f>_xlfn.XLOOKUP(G996,products!A:A,products!C:C)</f>
        <v>D</v>
      </c>
      <c r="O996">
        <f>_xlfn.XLOOKUP(G996,products!A:A,products!D:D)</f>
        <v>0.2</v>
      </c>
      <c r="P996">
        <f>_xlfn.XLOOKUP(G996,products!A:A,products!E:E)</f>
        <v>2.9849999999999999</v>
      </c>
      <c r="Q996">
        <f t="shared" si="63"/>
        <v>8.9550000000000001</v>
      </c>
      <c r="R996" t="str" cm="1">
        <f t="array" ref="R996">_xlfn.IFS(Q996&lt;=50,"low sales",Q996&lt;=100,"medium sales",Q996&gt;100,"High sales")</f>
        <v>low sales</v>
      </c>
    </row>
    <row r="997" spans="1:18" x14ac:dyDescent="0.35">
      <c r="A997" s="2" t="s">
        <v>6111</v>
      </c>
      <c r="B997" s="3">
        <v>43836</v>
      </c>
      <c r="C997" s="3" t="str">
        <f t="shared" si="60"/>
        <v>Monday</v>
      </c>
      <c r="D997" s="3" t="str">
        <f t="shared" si="61"/>
        <v>January</v>
      </c>
      <c r="E997" s="3" t="str">
        <f t="shared" si="62"/>
        <v>2020</v>
      </c>
      <c r="F997" s="2" t="s">
        <v>6112</v>
      </c>
      <c r="G997" t="s">
        <v>6142</v>
      </c>
      <c r="H997" s="2">
        <v>1</v>
      </c>
      <c r="I997" s="2" t="str">
        <f>_xlfn.XLOOKUP(F997,customers!A:A,customers!B:B)</f>
        <v>Jennica Tewelson</v>
      </c>
      <c r="J997" s="2" t="str">
        <f>_xlfn.XLOOKUP(F997,customers!A:A,customers!C:C)</f>
        <v>jtewelsonrn@samsung.com</v>
      </c>
      <c r="K997" s="2" t="str">
        <f>_xlfn.XLOOKUP(F997,customers!A:A,customers!F:F)</f>
        <v>Dallas</v>
      </c>
      <c r="L997" s="2" t="str">
        <f>_xlfn.XLOOKUP(F997,customers!A:A,customers!G:G)</f>
        <v>United States</v>
      </c>
      <c r="M997" t="str">
        <f>_xlfn.XLOOKUP(G997,products!A:A,products!B:B)</f>
        <v>Rob</v>
      </c>
      <c r="N997" t="str">
        <f>_xlfn.XLOOKUP(G997,products!A:A,products!C:C)</f>
        <v>L</v>
      </c>
      <c r="O997">
        <f>_xlfn.XLOOKUP(G997,products!A:A,products!D:D)</f>
        <v>2.5</v>
      </c>
      <c r="P997">
        <f>_xlfn.XLOOKUP(G997,products!A:A,products!E:E)</f>
        <v>27.484999999999996</v>
      </c>
      <c r="Q997">
        <f t="shared" si="63"/>
        <v>27.484999999999996</v>
      </c>
      <c r="R997" t="str" cm="1">
        <f t="array" ref="R997">_xlfn.IFS(Q997&lt;=50,"low sales",Q997&lt;=100,"medium sales",Q997&gt;100,"High sales")</f>
        <v>low sales</v>
      </c>
    </row>
    <row r="998" spans="1:18" x14ac:dyDescent="0.35">
      <c r="A998" s="2" t="s">
        <v>6117</v>
      </c>
      <c r="B998" s="3">
        <v>44685</v>
      </c>
      <c r="C998" s="3" t="str">
        <f t="shared" si="60"/>
        <v>Wednesday</v>
      </c>
      <c r="D998" s="3" t="str">
        <f t="shared" si="61"/>
        <v>May</v>
      </c>
      <c r="E998" s="3" t="str">
        <f t="shared" si="62"/>
        <v>2022</v>
      </c>
      <c r="F998" s="2" t="s">
        <v>6118</v>
      </c>
      <c r="G998" t="s">
        <v>6146</v>
      </c>
      <c r="H998" s="2">
        <v>5</v>
      </c>
      <c r="I998" s="2" t="str">
        <f>_xlfn.XLOOKUP(F998,customers!A:A,customers!B:B)</f>
        <v>Marguerite Graves</v>
      </c>
      <c r="J998" s="2">
        <f>_xlfn.XLOOKUP(F998,customers!A:A,customers!C:C)</f>
        <v>0</v>
      </c>
      <c r="K998" s="2" t="str">
        <f>_xlfn.XLOOKUP(F998,customers!A:A,customers!F:F)</f>
        <v>Fort Smith</v>
      </c>
      <c r="L998" s="2" t="str">
        <f>_xlfn.XLOOKUP(F998,customers!A:A,customers!G:G)</f>
        <v>United States</v>
      </c>
      <c r="M998" t="str">
        <f>_xlfn.XLOOKUP(G998,products!A:A,products!B:B)</f>
        <v>Rob</v>
      </c>
      <c r="N998" t="str">
        <f>_xlfn.XLOOKUP(G998,products!A:A,products!C:C)</f>
        <v>M</v>
      </c>
      <c r="O998">
        <f>_xlfn.XLOOKUP(G998,products!A:A,products!D:D)</f>
        <v>0.5</v>
      </c>
      <c r="P998">
        <f>_xlfn.XLOOKUP(G998,products!A:A,products!E:E)</f>
        <v>5.97</v>
      </c>
      <c r="Q998">
        <f t="shared" si="63"/>
        <v>29.849999999999998</v>
      </c>
      <c r="R998" t="str" cm="1">
        <f t="array" ref="R998">_xlfn.IFS(Q998&lt;=50,"low sales",Q998&lt;=100,"medium sales",Q998&gt;100,"High sales")</f>
        <v>low sales</v>
      </c>
    </row>
    <row r="999" spans="1:18" x14ac:dyDescent="0.35">
      <c r="A999" s="2" t="s">
        <v>6122</v>
      </c>
      <c r="B999" s="3">
        <v>43749</v>
      </c>
      <c r="C999" s="3" t="str">
        <f t="shared" si="60"/>
        <v>Friday</v>
      </c>
      <c r="D999" s="3" t="str">
        <f t="shared" si="61"/>
        <v>October</v>
      </c>
      <c r="E999" s="3" t="str">
        <f t="shared" si="62"/>
        <v>2019</v>
      </c>
      <c r="F999" s="2" t="s">
        <v>6118</v>
      </c>
      <c r="G999" t="s">
        <v>6157</v>
      </c>
      <c r="H999" s="2">
        <v>4</v>
      </c>
      <c r="I999" s="2" t="str">
        <f>_xlfn.XLOOKUP(F999,customers!A:A,customers!B:B)</f>
        <v>Marguerite Graves</v>
      </c>
      <c r="J999" s="2">
        <f>_xlfn.XLOOKUP(F999,customers!A:A,customers!C:C)</f>
        <v>0</v>
      </c>
      <c r="K999" s="2" t="str">
        <f>_xlfn.XLOOKUP(F999,customers!A:A,customers!F:F)</f>
        <v>Fort Smith</v>
      </c>
      <c r="L999" s="2" t="str">
        <f>_xlfn.XLOOKUP(F999,customers!A:A,customers!G:G)</f>
        <v>United States</v>
      </c>
      <c r="M999" t="str">
        <f>_xlfn.XLOOKUP(G999,products!A:A,products!B:B)</f>
        <v>Ara</v>
      </c>
      <c r="N999" t="str">
        <f>_xlfn.XLOOKUP(G999,products!A:A,products!C:C)</f>
        <v>M</v>
      </c>
      <c r="O999">
        <f>_xlfn.XLOOKUP(G999,products!A:A,products!D:D)</f>
        <v>0.5</v>
      </c>
      <c r="P999">
        <f>_xlfn.XLOOKUP(G999,products!A:A,products!E:E)</f>
        <v>6.75</v>
      </c>
      <c r="Q999">
        <f t="shared" si="63"/>
        <v>27</v>
      </c>
      <c r="R999" t="str" cm="1">
        <f t="array" ref="R999">_xlfn.IFS(Q999&lt;=50,"low sales",Q999&lt;=100,"medium sales",Q999&gt;100,"High sales")</f>
        <v>low sales</v>
      </c>
    </row>
    <row r="1000" spans="1:18" x14ac:dyDescent="0.35">
      <c r="A1000" s="2" t="s">
        <v>6127</v>
      </c>
      <c r="B1000" s="3">
        <v>44411</v>
      </c>
      <c r="C1000" s="3" t="str">
        <f t="shared" si="60"/>
        <v>Tuesday</v>
      </c>
      <c r="D1000" s="3" t="str">
        <f t="shared" si="61"/>
        <v>August</v>
      </c>
      <c r="E1000" s="3" t="str">
        <f t="shared" si="62"/>
        <v>2021</v>
      </c>
      <c r="F1000" s="2" t="s">
        <v>6128</v>
      </c>
      <c r="G1000" t="s">
        <v>6147</v>
      </c>
      <c r="H1000" s="2">
        <v>1</v>
      </c>
      <c r="I1000" s="2" t="str">
        <f>_xlfn.XLOOKUP(F1000,customers!A:A,customers!B:B)</f>
        <v>Nicolina Jenny</v>
      </c>
      <c r="J1000" s="2" t="str">
        <f>_xlfn.XLOOKUP(F1000,customers!A:A,customers!C:C)</f>
        <v>njennyrq@bigcartel.com</v>
      </c>
      <c r="K1000" s="2" t="str">
        <f>_xlfn.XLOOKUP(F1000,customers!A:A,customers!F:F)</f>
        <v>Whittier</v>
      </c>
      <c r="L1000" s="2" t="str">
        <f>_xlfn.XLOOKUP(F1000,customers!A:A,customers!G:G)</f>
        <v>United States</v>
      </c>
      <c r="M1000" t="str">
        <f>_xlfn.XLOOKUP(G1000,products!A:A,products!B:B)</f>
        <v>Ara</v>
      </c>
      <c r="N1000" t="str">
        <f>_xlfn.XLOOKUP(G1000,products!A:A,products!C:C)</f>
        <v>D</v>
      </c>
      <c r="O1000">
        <f>_xlfn.XLOOKUP(G1000,products!A:A,products!D:D)</f>
        <v>1</v>
      </c>
      <c r="P1000">
        <f>_xlfn.XLOOKUP(G1000,products!A:A,products!E:E)</f>
        <v>9.9499999999999993</v>
      </c>
      <c r="Q1000">
        <f t="shared" si="63"/>
        <v>9.9499999999999993</v>
      </c>
      <c r="R1000" t="str" cm="1">
        <f t="array" ref="R1000">_xlfn.IFS(Q1000&lt;=50,"low sales",Q1000&lt;=100,"medium sales",Q1000&gt;100,"High sales")</f>
        <v>low sales</v>
      </c>
    </row>
    <row r="1001" spans="1:18" x14ac:dyDescent="0.35">
      <c r="A1001" s="2" t="s">
        <v>6133</v>
      </c>
      <c r="B1001" s="3">
        <v>44119</v>
      </c>
      <c r="C1001" s="3" t="str">
        <f t="shared" si="60"/>
        <v>Thursday</v>
      </c>
      <c r="D1001" s="3" t="str">
        <f t="shared" si="61"/>
        <v>October</v>
      </c>
      <c r="E1001" s="3" t="str">
        <f t="shared" si="62"/>
        <v>2020</v>
      </c>
      <c r="F1001" s="2" t="s">
        <v>6134</v>
      </c>
      <c r="G1001" t="s">
        <v>6156</v>
      </c>
      <c r="H1001" s="2">
        <v>3</v>
      </c>
      <c r="I1001" s="2" t="str">
        <f>_xlfn.XLOOKUP(F1001,customers!A:A,customers!B:B)</f>
        <v>Vidovic Antonelli</v>
      </c>
      <c r="J1001" s="2">
        <f>_xlfn.XLOOKUP(F1001,customers!A:A,customers!C:C)</f>
        <v>0</v>
      </c>
      <c r="K1001" s="2" t="str">
        <f>_xlfn.XLOOKUP(F1001,customers!A:A,customers!F:F)</f>
        <v>London</v>
      </c>
      <c r="L1001" s="2" t="str">
        <f>_xlfn.XLOOKUP(F1001,customers!A:A,customers!G:G)</f>
        <v>United Kingdom</v>
      </c>
      <c r="M1001" t="str">
        <f>_xlfn.XLOOKUP(G1001,products!A:A,products!B:B)</f>
        <v>Exc</v>
      </c>
      <c r="N1001" t="str">
        <f>_xlfn.XLOOKUP(G1001,products!A:A,products!C:C)</f>
        <v>M</v>
      </c>
      <c r="O1001">
        <f>_xlfn.XLOOKUP(G1001,products!A:A,products!D:D)</f>
        <v>0.2</v>
      </c>
      <c r="P1001">
        <f>_xlfn.XLOOKUP(G1001,products!A:A,products!E:E)</f>
        <v>4.125</v>
      </c>
      <c r="Q1001">
        <f t="shared" si="63"/>
        <v>12.375</v>
      </c>
      <c r="R1001" t="str" cm="1">
        <f t="array" ref="R1001">_xlfn.IFS(Q1001&lt;=50,"low sales",Q1001&lt;=100,"medium sales",Q1001&gt;100,"High sales")</f>
        <v>low sales</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J5" sqref="J5"/>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B6A36-48CD-4306-A853-38FBBBA31482}">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vt:lpstr>
      <vt:lpstr>sales by coffee type</vt:lpstr>
      <vt:lpstr>Trend Analysis</vt:lpstr>
      <vt:lpstr>Average Weekly Sales</vt:lpstr>
      <vt:lpstr>Sales Contribution</vt:lpstr>
      <vt:lpstr>Sales By Roast Type</vt:lpstr>
      <vt:lpstr>Top 5 Customer Sales</vt:lpstr>
      <vt:lpstr>Top 5 Cities By Sales</vt:lpstr>
      <vt:lpstr>Combination Chart</vt:lpstr>
      <vt:lpstr>orders</vt:lpstr>
      <vt:lpstr>customers</vt:lpstr>
      <vt:lpstr>products</vt:lpstr>
      <vt:lpstr>Sheet9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Rigzen Angmo</cp:lastModifiedBy>
  <cp:revision/>
  <dcterms:created xsi:type="dcterms:W3CDTF">2022-11-26T09:51:45Z</dcterms:created>
  <dcterms:modified xsi:type="dcterms:W3CDTF">2026-07-30T22:11:02Z</dcterms:modified>
  <cp:category/>
  <cp:contentStatus/>
</cp:coreProperties>
</file>